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2c1f13dfe26728/Documents/"/>
    </mc:Choice>
  </mc:AlternateContent>
  <xr:revisionPtr revIDLastSave="550" documentId="8_{D3000F2E-19CF-438B-9F2E-F0AFC39FD318}" xr6:coauthVersionLast="47" xr6:coauthVersionMax="47" xr10:uidLastSave="{975681D2-E287-4790-8917-19AE738D4CC9}"/>
  <bookViews>
    <workbookView xWindow="-120" yWindow="-120" windowWidth="20730" windowHeight="11160" activeTab="3" xr2:uid="{B8009BB1-D889-4B41-BFB4-29AF3688E666}"/>
  </bookViews>
  <sheets>
    <sheet name="Sheet1" sheetId="1" r:id="rId1"/>
    <sheet name="Sheet2" sheetId="2" r:id="rId2"/>
    <sheet name="Sheet3" sheetId="3" r:id="rId3"/>
    <sheet name="Analysis sheet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4" l="1"/>
  <c r="A2" i="4" a="1"/>
  <c r="A2" i="4" s="1"/>
  <c r="B2" i="4" s="1"/>
  <c r="D2" i="4" a="1"/>
  <c r="D2" i="4" s="1"/>
  <c r="E2" i="4" s="1"/>
  <c r="G2" i="4" a="1"/>
  <c r="G2" i="4" s="1"/>
  <c r="H2" i="4" s="1"/>
  <c r="D2" i="2"/>
  <c r="E2" i="2"/>
  <c r="J2" i="2"/>
  <c r="N2" i="2"/>
  <c r="P2" i="2"/>
  <c r="D3" i="2"/>
  <c r="E3" i="2"/>
  <c r="J3" i="2"/>
  <c r="N3" i="2"/>
  <c r="P3" i="2"/>
  <c r="E4" i="2"/>
  <c r="D4" i="2" s="1"/>
  <c r="P4" i="2" s="1"/>
  <c r="J4" i="2"/>
  <c r="N4" i="2"/>
  <c r="E5" i="2"/>
  <c r="D5" i="2" s="1"/>
  <c r="P5" i="2" s="1"/>
  <c r="J5" i="2"/>
  <c r="N5" i="2"/>
  <c r="E6" i="2"/>
  <c r="D6" i="2" s="1"/>
  <c r="P6" i="2" s="1"/>
  <c r="J6" i="2"/>
  <c r="N6" i="2"/>
  <c r="D7" i="2"/>
  <c r="E7" i="2"/>
  <c r="J7" i="2"/>
  <c r="N7" i="2"/>
  <c r="P7" i="2"/>
  <c r="E8" i="2"/>
  <c r="D8" i="2" s="1"/>
  <c r="P8" i="2" s="1"/>
  <c r="J8" i="2"/>
  <c r="N8" i="2"/>
  <c r="E9" i="2"/>
  <c r="D9" i="2" s="1"/>
  <c r="P9" i="2" s="1"/>
  <c r="J9" i="2"/>
  <c r="N9" i="2"/>
  <c r="E10" i="2"/>
  <c r="D10" i="2" s="1"/>
  <c r="P10" i="2" s="1"/>
  <c r="J10" i="2"/>
  <c r="N10" i="2"/>
  <c r="D11" i="2"/>
  <c r="E11" i="2"/>
  <c r="J11" i="2"/>
  <c r="N11" i="2"/>
  <c r="P11" i="2"/>
  <c r="D12" i="2"/>
  <c r="E12" i="2"/>
  <c r="J12" i="2"/>
  <c r="P12" i="2" s="1"/>
  <c r="N12" i="2"/>
  <c r="E13" i="2"/>
  <c r="D13" i="2" s="1"/>
  <c r="P13" i="2" s="1"/>
  <c r="J13" i="2"/>
  <c r="N13" i="2"/>
  <c r="E14" i="2"/>
  <c r="D14" i="2" s="1"/>
  <c r="P14" i="2" s="1"/>
  <c r="J14" i="2"/>
  <c r="N14" i="2"/>
  <c r="D15" i="2"/>
  <c r="E15" i="2"/>
  <c r="J15" i="2"/>
  <c r="N15" i="2"/>
  <c r="P15" i="2"/>
  <c r="D16" i="2"/>
  <c r="E16" i="2"/>
  <c r="J16" i="2"/>
  <c r="P16" i="2" s="1"/>
  <c r="N16" i="2"/>
  <c r="E17" i="2"/>
  <c r="D17" i="2" s="1"/>
  <c r="P17" i="2" s="1"/>
  <c r="J17" i="2"/>
  <c r="N17" i="2"/>
  <c r="E18" i="2"/>
  <c r="D18" i="2" s="1"/>
  <c r="P18" i="2" s="1"/>
  <c r="J18" i="2"/>
  <c r="N18" i="2"/>
  <c r="D19" i="2"/>
  <c r="E19" i="2"/>
  <c r="J19" i="2"/>
  <c r="N19" i="2"/>
  <c r="P19" i="2"/>
  <c r="E20" i="2"/>
  <c r="D20" i="2" s="1"/>
  <c r="P20" i="2" s="1"/>
  <c r="J20" i="2"/>
  <c r="N20" i="2"/>
  <c r="E21" i="2"/>
  <c r="D21" i="2" s="1"/>
  <c r="P21" i="2" s="1"/>
  <c r="J21" i="2"/>
  <c r="N21" i="2"/>
  <c r="E22" i="2"/>
  <c r="D22" i="2" s="1"/>
  <c r="P22" i="2" s="1"/>
  <c r="J22" i="2"/>
  <c r="N22" i="2"/>
  <c r="D23" i="2"/>
  <c r="E23" i="2"/>
  <c r="J23" i="2"/>
  <c r="N23" i="2"/>
  <c r="P23" i="2"/>
  <c r="E24" i="2"/>
  <c r="D24" i="2" s="1"/>
  <c r="P24" i="2" s="1"/>
  <c r="J24" i="2"/>
  <c r="N24" i="2"/>
  <c r="E25" i="2"/>
  <c r="D25" i="2" s="1"/>
  <c r="P25" i="2" s="1"/>
  <c r="J25" i="2"/>
  <c r="N25" i="2"/>
  <c r="E26" i="2"/>
  <c r="D26" i="2" s="1"/>
  <c r="P26" i="2" s="1"/>
  <c r="J26" i="2"/>
  <c r="N26" i="2"/>
  <c r="E27" i="2"/>
  <c r="D27" i="2" s="1"/>
  <c r="P27" i="2" s="1"/>
  <c r="J27" i="2"/>
  <c r="N27" i="2"/>
  <c r="D28" i="2"/>
  <c r="E28" i="2"/>
  <c r="J28" i="2"/>
  <c r="N28" i="2"/>
  <c r="P28" i="2"/>
  <c r="E29" i="2"/>
  <c r="D29" i="2" s="1"/>
  <c r="P29" i="2" s="1"/>
  <c r="J29" i="2"/>
  <c r="N29" i="2"/>
  <c r="E30" i="2"/>
  <c r="D30" i="2" s="1"/>
  <c r="P30" i="2" s="1"/>
  <c r="J30" i="2"/>
  <c r="N30" i="2"/>
  <c r="E31" i="2"/>
  <c r="D31" i="2" s="1"/>
  <c r="P31" i="2" s="1"/>
  <c r="J31" i="2"/>
  <c r="N31" i="2"/>
  <c r="D32" i="2"/>
  <c r="E32" i="2"/>
  <c r="J32" i="2"/>
  <c r="N32" i="2"/>
  <c r="P32" i="2"/>
  <c r="E33" i="2"/>
  <c r="D33" i="2" s="1"/>
  <c r="P33" i="2" s="1"/>
  <c r="J33" i="2"/>
  <c r="N33" i="2"/>
  <c r="E34" i="2"/>
  <c r="D34" i="2" s="1"/>
  <c r="P34" i="2" s="1"/>
  <c r="J34" i="2"/>
  <c r="N34" i="2"/>
  <c r="E35" i="2"/>
  <c r="D35" i="2" s="1"/>
  <c r="P35" i="2" s="1"/>
  <c r="J35" i="2"/>
  <c r="N35" i="2"/>
  <c r="D36" i="2"/>
  <c r="E36" i="2"/>
  <c r="J36" i="2"/>
  <c r="N36" i="2"/>
  <c r="P36" i="2"/>
  <c r="E37" i="2"/>
  <c r="D37" i="2" s="1"/>
  <c r="P37" i="2" s="1"/>
  <c r="J37" i="2"/>
  <c r="N37" i="2"/>
  <c r="E38" i="2"/>
  <c r="D38" i="2" s="1"/>
  <c r="P38" i="2" s="1"/>
  <c r="J38" i="2"/>
  <c r="N38" i="2"/>
  <c r="E39" i="2"/>
  <c r="D39" i="2" s="1"/>
  <c r="P39" i="2" s="1"/>
  <c r="J39" i="2"/>
  <c r="N39" i="2"/>
  <c r="D40" i="2"/>
  <c r="E40" i="2"/>
  <c r="J40" i="2"/>
  <c r="N40" i="2"/>
  <c r="P40" i="2"/>
  <c r="E41" i="2"/>
  <c r="D41" i="2" s="1"/>
  <c r="P41" i="2" s="1"/>
  <c r="J41" i="2"/>
  <c r="N41" i="2"/>
  <c r="E42" i="2"/>
  <c r="D42" i="2" s="1"/>
  <c r="P42" i="2" s="1"/>
  <c r="J42" i="2"/>
  <c r="N42" i="2"/>
  <c r="E43" i="2"/>
  <c r="D43" i="2" s="1"/>
  <c r="P43" i="2" s="1"/>
  <c r="J43" i="2"/>
  <c r="N43" i="2"/>
  <c r="D44" i="2"/>
  <c r="E44" i="2"/>
  <c r="J44" i="2"/>
  <c r="N44" i="2"/>
  <c r="P44" i="2"/>
  <c r="E45" i="2"/>
  <c r="D45" i="2" s="1"/>
  <c r="P45" i="2" s="1"/>
  <c r="J45" i="2"/>
  <c r="N45" i="2"/>
  <c r="E46" i="2"/>
  <c r="D46" i="2" s="1"/>
  <c r="P46" i="2" s="1"/>
  <c r="J46" i="2"/>
  <c r="N46" i="2"/>
  <c r="E47" i="2"/>
  <c r="D47" i="2" s="1"/>
  <c r="P47" i="2" s="1"/>
  <c r="J47" i="2"/>
  <c r="N47" i="2"/>
  <c r="D48" i="2"/>
  <c r="E48" i="2"/>
  <c r="J48" i="2"/>
  <c r="N48" i="2"/>
  <c r="P48" i="2"/>
  <c r="E49" i="2"/>
  <c r="D49" i="2" s="1"/>
  <c r="P49" i="2" s="1"/>
  <c r="J49" i="2"/>
  <c r="N49" i="2"/>
  <c r="E50" i="2"/>
  <c r="D50" i="2" s="1"/>
  <c r="P50" i="2" s="1"/>
  <c r="J50" i="2"/>
  <c r="N50" i="2"/>
  <c r="E51" i="2"/>
  <c r="D51" i="2" s="1"/>
  <c r="P51" i="2" s="1"/>
  <c r="J51" i="2"/>
  <c r="N51" i="2"/>
  <c r="D52" i="2"/>
  <c r="E52" i="2"/>
  <c r="J52" i="2"/>
  <c r="N52" i="2"/>
  <c r="P52" i="2"/>
  <c r="E53" i="2"/>
  <c r="D53" i="2" s="1"/>
  <c r="P53" i="2" s="1"/>
  <c r="J53" i="2"/>
  <c r="N53" i="2"/>
  <c r="E54" i="2"/>
  <c r="D54" i="2" s="1"/>
  <c r="P54" i="2" s="1"/>
  <c r="J54" i="2"/>
  <c r="N54" i="2"/>
  <c r="E55" i="2"/>
  <c r="D55" i="2" s="1"/>
  <c r="P55" i="2" s="1"/>
  <c r="J55" i="2"/>
  <c r="N55" i="2"/>
  <c r="D56" i="2"/>
  <c r="E56" i="2"/>
  <c r="J56" i="2"/>
  <c r="N56" i="2"/>
  <c r="P56" i="2"/>
  <c r="E57" i="2"/>
  <c r="D57" i="2" s="1"/>
  <c r="P57" i="2" s="1"/>
  <c r="J57" i="2"/>
  <c r="N57" i="2"/>
  <c r="E58" i="2"/>
  <c r="D58" i="2" s="1"/>
  <c r="P58" i="2" s="1"/>
  <c r="J58" i="2"/>
  <c r="N58" i="2"/>
  <c r="E59" i="2"/>
  <c r="D59" i="2" s="1"/>
  <c r="P59" i="2" s="1"/>
  <c r="J59" i="2"/>
  <c r="N59" i="2"/>
  <c r="D60" i="2"/>
  <c r="E60" i="2"/>
  <c r="J60" i="2"/>
  <c r="N60" i="2"/>
  <c r="P60" i="2"/>
  <c r="E61" i="2"/>
  <c r="D61" i="2" s="1"/>
  <c r="P61" i="2" s="1"/>
  <c r="J61" i="2"/>
  <c r="N61" i="2"/>
  <c r="E62" i="2"/>
  <c r="D62" i="2" s="1"/>
  <c r="P62" i="2" s="1"/>
  <c r="J62" i="2"/>
  <c r="N62" i="2"/>
  <c r="E63" i="2"/>
  <c r="D63" i="2" s="1"/>
  <c r="P63" i="2" s="1"/>
  <c r="J63" i="2"/>
  <c r="N63" i="2"/>
  <c r="D64" i="2"/>
  <c r="E64" i="2"/>
  <c r="J64" i="2"/>
  <c r="N64" i="2"/>
  <c r="P64" i="2"/>
  <c r="E65" i="2"/>
  <c r="D65" i="2" s="1"/>
  <c r="P65" i="2" s="1"/>
  <c r="J65" i="2"/>
  <c r="N65" i="2"/>
  <c r="E66" i="2"/>
  <c r="D66" i="2" s="1"/>
  <c r="P66" i="2" s="1"/>
  <c r="J66" i="2"/>
  <c r="N66" i="2"/>
  <c r="E67" i="2"/>
  <c r="D67" i="2" s="1"/>
  <c r="P67" i="2" s="1"/>
  <c r="J67" i="2"/>
  <c r="N67" i="2"/>
  <c r="D68" i="2"/>
  <c r="E68" i="2"/>
  <c r="J68" i="2"/>
  <c r="N68" i="2"/>
  <c r="P68" i="2"/>
  <c r="E69" i="2"/>
  <c r="D69" i="2" s="1"/>
  <c r="P69" i="2" s="1"/>
  <c r="J69" i="2"/>
  <c r="N69" i="2"/>
  <c r="E70" i="2"/>
  <c r="D70" i="2" s="1"/>
  <c r="P70" i="2" s="1"/>
  <c r="J70" i="2"/>
  <c r="N70" i="2"/>
  <c r="E71" i="2"/>
  <c r="D71" i="2" s="1"/>
  <c r="P71" i="2" s="1"/>
  <c r="J71" i="2"/>
  <c r="N71" i="2"/>
  <c r="D72" i="2"/>
  <c r="E72" i="2"/>
  <c r="J72" i="2"/>
  <c r="N72" i="2"/>
  <c r="P72" i="2"/>
  <c r="E73" i="2"/>
  <c r="D73" i="2" s="1"/>
  <c r="P73" i="2" s="1"/>
  <c r="J73" i="2"/>
  <c r="N73" i="2"/>
  <c r="E74" i="2"/>
  <c r="D74" i="2" s="1"/>
  <c r="P74" i="2" s="1"/>
  <c r="J74" i="2"/>
  <c r="N74" i="2"/>
  <c r="E75" i="2"/>
  <c r="D75" i="2" s="1"/>
  <c r="P75" i="2" s="1"/>
  <c r="J75" i="2"/>
  <c r="N75" i="2"/>
  <c r="D76" i="2"/>
  <c r="E76" i="2"/>
  <c r="J76" i="2"/>
  <c r="N76" i="2"/>
  <c r="P76" i="2"/>
  <c r="E77" i="2"/>
  <c r="D77" i="2" s="1"/>
  <c r="P77" i="2" s="1"/>
  <c r="J77" i="2"/>
  <c r="N77" i="2"/>
  <c r="E78" i="2"/>
  <c r="D78" i="2" s="1"/>
  <c r="P78" i="2" s="1"/>
  <c r="J78" i="2"/>
  <c r="N78" i="2"/>
  <c r="E79" i="2"/>
  <c r="D79" i="2" s="1"/>
  <c r="P79" i="2" s="1"/>
  <c r="J79" i="2"/>
  <c r="N79" i="2"/>
  <c r="D80" i="2"/>
  <c r="E80" i="2"/>
  <c r="J80" i="2"/>
  <c r="N80" i="2"/>
  <c r="P80" i="2"/>
  <c r="E81" i="2"/>
  <c r="D81" i="2" s="1"/>
  <c r="P81" i="2" s="1"/>
  <c r="J81" i="2"/>
  <c r="N81" i="2"/>
  <c r="E82" i="2"/>
  <c r="D82" i="2" s="1"/>
  <c r="P82" i="2" s="1"/>
  <c r="J82" i="2"/>
  <c r="N82" i="2"/>
  <c r="E83" i="2"/>
  <c r="D83" i="2" s="1"/>
  <c r="P83" i="2" s="1"/>
  <c r="J83" i="2"/>
  <c r="N83" i="2"/>
  <c r="D84" i="2"/>
  <c r="E84" i="2"/>
  <c r="J84" i="2"/>
  <c r="N84" i="2"/>
  <c r="P84" i="2"/>
  <c r="E85" i="2"/>
  <c r="D85" i="2" s="1"/>
  <c r="P85" i="2" s="1"/>
  <c r="J85" i="2"/>
  <c r="N85" i="2"/>
  <c r="E86" i="2"/>
  <c r="D86" i="2" s="1"/>
  <c r="P86" i="2" s="1"/>
  <c r="J86" i="2"/>
  <c r="N86" i="2"/>
  <c r="E87" i="2"/>
  <c r="D87" i="2" s="1"/>
  <c r="P87" i="2" s="1"/>
  <c r="J87" i="2"/>
  <c r="N87" i="2"/>
  <c r="D88" i="2"/>
  <c r="E88" i="2"/>
  <c r="J88" i="2"/>
  <c r="N88" i="2"/>
  <c r="P88" i="2"/>
  <c r="E89" i="2"/>
  <c r="D89" i="2" s="1"/>
  <c r="P89" i="2" s="1"/>
  <c r="J89" i="2"/>
  <c r="N89" i="2"/>
  <c r="E90" i="2"/>
  <c r="D90" i="2" s="1"/>
  <c r="P90" i="2" s="1"/>
  <c r="J90" i="2"/>
  <c r="N90" i="2"/>
  <c r="E91" i="2"/>
  <c r="D91" i="2" s="1"/>
  <c r="P91" i="2" s="1"/>
  <c r="J91" i="2"/>
  <c r="N91" i="2"/>
  <c r="D92" i="2"/>
  <c r="E92" i="2"/>
  <c r="J92" i="2"/>
  <c r="N92" i="2"/>
  <c r="P92" i="2"/>
  <c r="E93" i="2"/>
  <c r="D93" i="2" s="1"/>
  <c r="P93" i="2" s="1"/>
  <c r="J93" i="2"/>
  <c r="N93" i="2"/>
  <c r="E94" i="2"/>
  <c r="D94" i="2" s="1"/>
  <c r="P94" i="2" s="1"/>
  <c r="J94" i="2"/>
  <c r="N94" i="2"/>
  <c r="E95" i="2"/>
  <c r="D95" i="2" s="1"/>
  <c r="P95" i="2" s="1"/>
  <c r="J95" i="2"/>
  <c r="N95" i="2"/>
  <c r="D96" i="2"/>
  <c r="E96" i="2"/>
  <c r="J96" i="2"/>
  <c r="N96" i="2"/>
  <c r="P96" i="2"/>
  <c r="E97" i="2"/>
  <c r="D97" i="2" s="1"/>
  <c r="P97" i="2" s="1"/>
  <c r="J97" i="2"/>
  <c r="N97" i="2"/>
  <c r="E98" i="2"/>
  <c r="D98" i="2" s="1"/>
  <c r="P98" i="2" s="1"/>
  <c r="J98" i="2"/>
  <c r="N98" i="2"/>
  <c r="E99" i="2"/>
  <c r="D99" i="2" s="1"/>
  <c r="P99" i="2" s="1"/>
  <c r="J99" i="2"/>
  <c r="N99" i="2"/>
  <c r="D100" i="2"/>
  <c r="E100" i="2"/>
  <c r="J100" i="2"/>
  <c r="N100" i="2"/>
  <c r="P100" i="2"/>
  <c r="E101" i="2"/>
  <c r="D101" i="2" s="1"/>
  <c r="P101" i="2" s="1"/>
  <c r="J101" i="2"/>
  <c r="N101" i="2"/>
  <c r="E102" i="2"/>
  <c r="D102" i="2" s="1"/>
  <c r="P102" i="2" s="1"/>
  <c r="J102" i="2"/>
  <c r="N102" i="2"/>
  <c r="E103" i="2"/>
  <c r="D103" i="2" s="1"/>
  <c r="P103" i="2" s="1"/>
  <c r="J103" i="2"/>
  <c r="N103" i="2"/>
  <c r="D104" i="2"/>
  <c r="E104" i="2"/>
  <c r="J104" i="2"/>
  <c r="N104" i="2"/>
  <c r="P104" i="2"/>
  <c r="E105" i="2"/>
  <c r="D105" i="2" s="1"/>
  <c r="P105" i="2" s="1"/>
  <c r="J105" i="2"/>
  <c r="N105" i="2"/>
  <c r="E106" i="2"/>
  <c r="D106" i="2" s="1"/>
  <c r="P106" i="2" s="1"/>
  <c r="J106" i="2"/>
  <c r="N106" i="2"/>
  <c r="E107" i="2"/>
  <c r="D107" i="2" s="1"/>
  <c r="P107" i="2" s="1"/>
  <c r="J107" i="2"/>
  <c r="N107" i="2"/>
  <c r="D108" i="2"/>
  <c r="E108" i="2"/>
  <c r="J108" i="2"/>
  <c r="N108" i="2"/>
  <c r="P108" i="2"/>
  <c r="E109" i="2"/>
  <c r="D109" i="2" s="1"/>
  <c r="P109" i="2" s="1"/>
  <c r="J109" i="2"/>
  <c r="N109" i="2"/>
  <c r="E110" i="2"/>
  <c r="D110" i="2" s="1"/>
  <c r="P110" i="2" s="1"/>
  <c r="J110" i="2"/>
  <c r="N110" i="2"/>
  <c r="E111" i="2"/>
  <c r="D111" i="2" s="1"/>
  <c r="P111" i="2" s="1"/>
  <c r="J111" i="2"/>
  <c r="N111" i="2"/>
  <c r="D112" i="2"/>
  <c r="E112" i="2"/>
  <c r="J112" i="2"/>
  <c r="N112" i="2"/>
  <c r="P112" i="2"/>
  <c r="E113" i="2"/>
  <c r="D113" i="2" s="1"/>
  <c r="P113" i="2" s="1"/>
  <c r="J113" i="2"/>
  <c r="N113" i="2"/>
  <c r="E114" i="2"/>
  <c r="D114" i="2" s="1"/>
  <c r="P114" i="2" s="1"/>
  <c r="J114" i="2"/>
  <c r="N114" i="2"/>
  <c r="E115" i="2"/>
  <c r="D115" i="2" s="1"/>
  <c r="P115" i="2" s="1"/>
  <c r="J115" i="2"/>
  <c r="N115" i="2"/>
  <c r="D116" i="2"/>
  <c r="E116" i="2"/>
  <c r="J116" i="2"/>
  <c r="N116" i="2"/>
  <c r="P116" i="2"/>
  <c r="E117" i="2"/>
  <c r="D117" i="2" s="1"/>
  <c r="P117" i="2" s="1"/>
  <c r="J117" i="2"/>
  <c r="N117" i="2"/>
  <c r="E118" i="2"/>
  <c r="D118" i="2" s="1"/>
  <c r="P118" i="2" s="1"/>
  <c r="J118" i="2"/>
  <c r="N118" i="2"/>
  <c r="E119" i="2"/>
  <c r="D119" i="2" s="1"/>
  <c r="P119" i="2" s="1"/>
  <c r="J119" i="2"/>
  <c r="N119" i="2"/>
  <c r="D120" i="2"/>
  <c r="E120" i="2"/>
  <c r="J120" i="2"/>
  <c r="N120" i="2"/>
  <c r="P120" i="2"/>
  <c r="E121" i="2"/>
  <c r="D121" i="2" s="1"/>
  <c r="P121" i="2" s="1"/>
  <c r="J121" i="2"/>
  <c r="N121" i="2"/>
  <c r="E122" i="2"/>
  <c r="D122" i="2" s="1"/>
  <c r="P122" i="2" s="1"/>
  <c r="J122" i="2"/>
  <c r="N122" i="2"/>
  <c r="E123" i="2"/>
  <c r="D123" i="2" s="1"/>
  <c r="P123" i="2" s="1"/>
  <c r="J123" i="2"/>
  <c r="N123" i="2"/>
  <c r="D124" i="2"/>
  <c r="E124" i="2"/>
  <c r="J124" i="2"/>
  <c r="N124" i="2"/>
  <c r="P124" i="2"/>
  <c r="E125" i="2"/>
  <c r="D125" i="2" s="1"/>
  <c r="P125" i="2" s="1"/>
  <c r="J125" i="2"/>
  <c r="N125" i="2"/>
  <c r="E126" i="2"/>
  <c r="D126" i="2" s="1"/>
  <c r="P126" i="2" s="1"/>
  <c r="J126" i="2"/>
  <c r="N126" i="2"/>
  <c r="E127" i="2"/>
  <c r="D127" i="2" s="1"/>
  <c r="P127" i="2" s="1"/>
  <c r="J127" i="2"/>
  <c r="N127" i="2"/>
  <c r="D128" i="2"/>
  <c r="E128" i="2"/>
  <c r="J128" i="2"/>
  <c r="N128" i="2"/>
  <c r="P128" i="2"/>
  <c r="E129" i="2"/>
  <c r="D129" i="2" s="1"/>
  <c r="P129" i="2" s="1"/>
  <c r="J129" i="2"/>
  <c r="N129" i="2"/>
  <c r="E130" i="2"/>
  <c r="D130" i="2" s="1"/>
  <c r="P130" i="2" s="1"/>
  <c r="J130" i="2"/>
  <c r="N130" i="2"/>
  <c r="E131" i="2"/>
  <c r="D131" i="2" s="1"/>
  <c r="P131" i="2" s="1"/>
  <c r="J131" i="2"/>
  <c r="N131" i="2"/>
  <c r="D132" i="2"/>
  <c r="E132" i="2"/>
  <c r="J132" i="2"/>
  <c r="N132" i="2"/>
  <c r="P132" i="2"/>
  <c r="E133" i="2"/>
  <c r="D133" i="2" s="1"/>
  <c r="P133" i="2" s="1"/>
  <c r="J133" i="2"/>
  <c r="N133" i="2"/>
  <c r="E134" i="2"/>
  <c r="D134" i="2" s="1"/>
  <c r="P134" i="2" s="1"/>
  <c r="J134" i="2"/>
  <c r="N134" i="2"/>
  <c r="E135" i="2"/>
  <c r="D135" i="2" s="1"/>
  <c r="P135" i="2" s="1"/>
  <c r="J135" i="2"/>
  <c r="N135" i="2"/>
  <c r="D136" i="2"/>
  <c r="E136" i="2"/>
  <c r="J136" i="2"/>
  <c r="N136" i="2"/>
  <c r="P136" i="2"/>
  <c r="E137" i="2"/>
  <c r="D137" i="2" s="1"/>
  <c r="P137" i="2" s="1"/>
  <c r="J137" i="2"/>
  <c r="N137" i="2"/>
  <c r="E138" i="2"/>
  <c r="D138" i="2" s="1"/>
  <c r="J138" i="2"/>
  <c r="N138" i="2"/>
  <c r="E139" i="2"/>
  <c r="D139" i="2" s="1"/>
  <c r="P139" i="2" s="1"/>
  <c r="J139" i="2"/>
  <c r="N139" i="2"/>
  <c r="D140" i="2"/>
  <c r="E140" i="2"/>
  <c r="J140" i="2"/>
  <c r="N140" i="2"/>
  <c r="P140" i="2"/>
  <c r="E141" i="2"/>
  <c r="D141" i="2" s="1"/>
  <c r="P141" i="2" s="1"/>
  <c r="J141" i="2"/>
  <c r="N141" i="2"/>
  <c r="E142" i="2"/>
  <c r="D142" i="2" s="1"/>
  <c r="J142" i="2"/>
  <c r="N142" i="2"/>
  <c r="E143" i="2"/>
  <c r="D143" i="2" s="1"/>
  <c r="P143" i="2" s="1"/>
  <c r="J143" i="2"/>
  <c r="N143" i="2"/>
  <c r="D144" i="2"/>
  <c r="E144" i="2"/>
  <c r="J144" i="2"/>
  <c r="N144" i="2"/>
  <c r="P144" i="2"/>
  <c r="E145" i="2"/>
  <c r="D145" i="2" s="1"/>
  <c r="P145" i="2" s="1"/>
  <c r="J145" i="2"/>
  <c r="N145" i="2"/>
  <c r="E146" i="2"/>
  <c r="D146" i="2" s="1"/>
  <c r="J146" i="2"/>
  <c r="N146" i="2"/>
  <c r="E147" i="2"/>
  <c r="D147" i="2" s="1"/>
  <c r="P147" i="2" s="1"/>
  <c r="J147" i="2"/>
  <c r="N147" i="2"/>
  <c r="D148" i="2"/>
  <c r="E148" i="2"/>
  <c r="J148" i="2"/>
  <c r="N148" i="2"/>
  <c r="P148" i="2"/>
  <c r="E149" i="2"/>
  <c r="D149" i="2" s="1"/>
  <c r="P149" i="2" s="1"/>
  <c r="J149" i="2"/>
  <c r="N149" i="2"/>
  <c r="E150" i="2"/>
  <c r="D150" i="2" s="1"/>
  <c r="J150" i="2"/>
  <c r="N150" i="2"/>
  <c r="E151" i="2"/>
  <c r="D151" i="2" s="1"/>
  <c r="P151" i="2" s="1"/>
  <c r="J151" i="2"/>
  <c r="N151" i="2"/>
  <c r="D152" i="2"/>
  <c r="E152" i="2"/>
  <c r="J152" i="2"/>
  <c r="N152" i="2"/>
  <c r="P152" i="2"/>
  <c r="E153" i="2"/>
  <c r="D153" i="2" s="1"/>
  <c r="P153" i="2" s="1"/>
  <c r="J153" i="2"/>
  <c r="N153" i="2"/>
  <c r="E154" i="2"/>
  <c r="D154" i="2" s="1"/>
  <c r="J154" i="2"/>
  <c r="N154" i="2"/>
  <c r="D155" i="2"/>
  <c r="E155" i="2"/>
  <c r="J155" i="2"/>
  <c r="N155" i="2"/>
  <c r="P155" i="2"/>
  <c r="D156" i="2"/>
  <c r="E156" i="2"/>
  <c r="J156" i="2"/>
  <c r="N156" i="2"/>
  <c r="P156" i="2"/>
  <c r="E157" i="2"/>
  <c r="D157" i="2" s="1"/>
  <c r="P157" i="2" s="1"/>
  <c r="J157" i="2"/>
  <c r="N157" i="2"/>
  <c r="E158" i="2"/>
  <c r="D158" i="2" s="1"/>
  <c r="J158" i="2"/>
  <c r="N158" i="2"/>
  <c r="D159" i="2"/>
  <c r="E159" i="2"/>
  <c r="J159" i="2"/>
  <c r="N159" i="2"/>
  <c r="P159" i="2"/>
  <c r="D160" i="2"/>
  <c r="E160" i="2"/>
  <c r="J160" i="2"/>
  <c r="N160" i="2"/>
  <c r="P160" i="2"/>
  <c r="E161" i="2"/>
  <c r="D161" i="2" s="1"/>
  <c r="P161" i="2" s="1"/>
  <c r="J161" i="2"/>
  <c r="N161" i="2"/>
  <c r="E162" i="2"/>
  <c r="D162" i="2" s="1"/>
  <c r="J162" i="2"/>
  <c r="N162" i="2"/>
  <c r="D163" i="2"/>
  <c r="E163" i="2"/>
  <c r="J163" i="2"/>
  <c r="N163" i="2"/>
  <c r="P163" i="2"/>
  <c r="D164" i="2"/>
  <c r="E164" i="2"/>
  <c r="J164" i="2"/>
  <c r="N164" i="2"/>
  <c r="P164" i="2"/>
  <c r="E165" i="2"/>
  <c r="D165" i="2" s="1"/>
  <c r="P165" i="2" s="1"/>
  <c r="J165" i="2"/>
  <c r="N165" i="2"/>
  <c r="E166" i="2"/>
  <c r="D166" i="2" s="1"/>
  <c r="J166" i="2"/>
  <c r="N166" i="2"/>
  <c r="D167" i="2"/>
  <c r="E167" i="2"/>
  <c r="J167" i="2"/>
  <c r="N167" i="2"/>
  <c r="P167" i="2"/>
  <c r="D168" i="2"/>
  <c r="E168" i="2"/>
  <c r="J168" i="2"/>
  <c r="N168" i="2"/>
  <c r="P168" i="2"/>
  <c r="E169" i="2"/>
  <c r="D169" i="2" s="1"/>
  <c r="P169" i="2" s="1"/>
  <c r="J169" i="2"/>
  <c r="N169" i="2"/>
  <c r="E170" i="2"/>
  <c r="D170" i="2" s="1"/>
  <c r="P170" i="2" s="1"/>
  <c r="J170" i="2"/>
  <c r="N170" i="2"/>
  <c r="D171" i="2"/>
  <c r="E171" i="2"/>
  <c r="J171" i="2"/>
  <c r="N171" i="2"/>
  <c r="P171" i="2"/>
  <c r="D172" i="2"/>
  <c r="E172" i="2"/>
  <c r="J172" i="2"/>
  <c r="P172" i="2" s="1"/>
  <c r="N172" i="2"/>
  <c r="E173" i="2"/>
  <c r="D173" i="2" s="1"/>
  <c r="P173" i="2" s="1"/>
  <c r="J173" i="2"/>
  <c r="N173" i="2"/>
  <c r="D174" i="2"/>
  <c r="E174" i="2"/>
  <c r="J174" i="2"/>
  <c r="N174" i="2"/>
  <c r="P174" i="2"/>
  <c r="E175" i="2"/>
  <c r="D175" i="2" s="1"/>
  <c r="P175" i="2" s="1"/>
  <c r="J175" i="2"/>
  <c r="N175" i="2"/>
  <c r="D176" i="2"/>
  <c r="E176" i="2"/>
  <c r="J176" i="2"/>
  <c r="P176" i="2" s="1"/>
  <c r="N176" i="2"/>
  <c r="E177" i="2"/>
  <c r="D177" i="2" s="1"/>
  <c r="P177" i="2" s="1"/>
  <c r="J177" i="2"/>
  <c r="N177" i="2"/>
  <c r="D178" i="2"/>
  <c r="E178" i="2"/>
  <c r="J178" i="2"/>
  <c r="N178" i="2"/>
  <c r="P178" i="2"/>
  <c r="E179" i="2"/>
  <c r="D179" i="2" s="1"/>
  <c r="P179" i="2" s="1"/>
  <c r="J179" i="2"/>
  <c r="N179" i="2"/>
  <c r="D180" i="2"/>
  <c r="E180" i="2"/>
  <c r="J180" i="2"/>
  <c r="P180" i="2" s="1"/>
  <c r="N180" i="2"/>
  <c r="E181" i="2"/>
  <c r="D181" i="2" s="1"/>
  <c r="P181" i="2" s="1"/>
  <c r="J181" i="2"/>
  <c r="N181" i="2"/>
  <c r="D182" i="2"/>
  <c r="E182" i="2"/>
  <c r="J182" i="2"/>
  <c r="N182" i="2"/>
  <c r="P182" i="2"/>
  <c r="E183" i="2"/>
  <c r="D183" i="2" s="1"/>
  <c r="P183" i="2" s="1"/>
  <c r="J183" i="2"/>
  <c r="N183" i="2"/>
  <c r="D184" i="2"/>
  <c r="E184" i="2"/>
  <c r="J184" i="2"/>
  <c r="P184" i="2" s="1"/>
  <c r="N184" i="2"/>
  <c r="E185" i="2"/>
  <c r="D185" i="2" s="1"/>
  <c r="P185" i="2" s="1"/>
  <c r="J185" i="2"/>
  <c r="N185" i="2"/>
  <c r="D186" i="2"/>
  <c r="E186" i="2"/>
  <c r="J186" i="2"/>
  <c r="N186" i="2"/>
  <c r="P186" i="2"/>
  <c r="E187" i="2"/>
  <c r="D187" i="2" s="1"/>
  <c r="P187" i="2" s="1"/>
  <c r="J187" i="2"/>
  <c r="N187" i="2"/>
  <c r="D188" i="2"/>
  <c r="E188" i="2"/>
  <c r="J188" i="2"/>
  <c r="P188" i="2" s="1"/>
  <c r="N188" i="2"/>
  <c r="E189" i="2"/>
  <c r="D189" i="2" s="1"/>
  <c r="P189" i="2" s="1"/>
  <c r="J189" i="2"/>
  <c r="N189" i="2"/>
  <c r="D190" i="2"/>
  <c r="E190" i="2"/>
  <c r="J190" i="2"/>
  <c r="N190" i="2"/>
  <c r="P190" i="2"/>
  <c r="E191" i="2"/>
  <c r="D191" i="2" s="1"/>
  <c r="P191" i="2" s="1"/>
  <c r="J191" i="2"/>
  <c r="N191" i="2"/>
  <c r="D192" i="2"/>
  <c r="E192" i="2"/>
  <c r="J192" i="2"/>
  <c r="P192" i="2" s="1"/>
  <c r="N192" i="2"/>
  <c r="E193" i="2"/>
  <c r="D193" i="2" s="1"/>
  <c r="P193" i="2" s="1"/>
  <c r="J193" i="2"/>
  <c r="N193" i="2"/>
  <c r="D194" i="2"/>
  <c r="E194" i="2"/>
  <c r="J194" i="2"/>
  <c r="N194" i="2"/>
  <c r="P194" i="2"/>
  <c r="E195" i="2"/>
  <c r="D195" i="2" s="1"/>
  <c r="P195" i="2" s="1"/>
  <c r="J195" i="2"/>
  <c r="N195" i="2"/>
  <c r="E196" i="2"/>
  <c r="D196" i="2" s="1"/>
  <c r="P196" i="2" s="1"/>
  <c r="J196" i="2"/>
  <c r="N196" i="2"/>
  <c r="D197" i="2"/>
  <c r="E197" i="2"/>
  <c r="J197" i="2"/>
  <c r="N197" i="2"/>
  <c r="P197" i="2"/>
  <c r="D198" i="2"/>
  <c r="E198" i="2"/>
  <c r="J198" i="2"/>
  <c r="N198" i="2"/>
  <c r="P198" i="2"/>
  <c r="E199" i="2"/>
  <c r="D199" i="2" s="1"/>
  <c r="P199" i="2" s="1"/>
  <c r="J199" i="2"/>
  <c r="N199" i="2"/>
  <c r="E200" i="2"/>
  <c r="D200" i="2" s="1"/>
  <c r="P200" i="2" s="1"/>
  <c r="J200" i="2"/>
  <c r="N200" i="2"/>
  <c r="D201" i="2"/>
  <c r="E201" i="2"/>
  <c r="J201" i="2"/>
  <c r="N201" i="2"/>
  <c r="P201" i="2"/>
  <c r="D202" i="2"/>
  <c r="E202" i="2"/>
  <c r="J202" i="2"/>
  <c r="N202" i="2"/>
  <c r="P202" i="2"/>
  <c r="E203" i="2"/>
  <c r="D203" i="2" s="1"/>
  <c r="P203" i="2" s="1"/>
  <c r="J203" i="2"/>
  <c r="N203" i="2"/>
  <c r="E204" i="2"/>
  <c r="D204" i="2" s="1"/>
  <c r="P204" i="2" s="1"/>
  <c r="J204" i="2"/>
  <c r="N204" i="2"/>
  <c r="D205" i="2"/>
  <c r="E205" i="2"/>
  <c r="J205" i="2"/>
  <c r="P205" i="2" s="1"/>
  <c r="N205" i="2"/>
  <c r="E206" i="2"/>
  <c r="D206" i="2" s="1"/>
  <c r="P206" i="2" s="1"/>
  <c r="J206" i="2"/>
  <c r="N206" i="2"/>
  <c r="D207" i="2"/>
  <c r="E207" i="2"/>
  <c r="J207" i="2"/>
  <c r="P207" i="2" s="1"/>
  <c r="N207" i="2"/>
  <c r="E208" i="2"/>
  <c r="D208" i="2" s="1"/>
  <c r="P208" i="2" s="1"/>
  <c r="J208" i="2"/>
  <c r="N208" i="2"/>
  <c r="D209" i="2"/>
  <c r="E209" i="2"/>
  <c r="J209" i="2"/>
  <c r="P209" i="2" s="1"/>
  <c r="N209" i="2"/>
  <c r="E210" i="2"/>
  <c r="D210" i="2" s="1"/>
  <c r="P210" i="2" s="1"/>
  <c r="J210" i="2"/>
  <c r="N210" i="2"/>
  <c r="D211" i="2"/>
  <c r="E211" i="2"/>
  <c r="J211" i="2"/>
  <c r="P211" i="2" s="1"/>
  <c r="N211" i="2"/>
  <c r="E212" i="2"/>
  <c r="D212" i="2" s="1"/>
  <c r="P212" i="2" s="1"/>
  <c r="J212" i="2"/>
  <c r="N212" i="2"/>
  <c r="D213" i="2"/>
  <c r="E213" i="2"/>
  <c r="J213" i="2"/>
  <c r="P213" i="2" s="1"/>
  <c r="N213" i="2"/>
  <c r="E214" i="2"/>
  <c r="D214" i="2" s="1"/>
  <c r="P214" i="2" s="1"/>
  <c r="J214" i="2"/>
  <c r="N214" i="2"/>
  <c r="D215" i="2"/>
  <c r="E215" i="2"/>
  <c r="J215" i="2"/>
  <c r="P215" i="2" s="1"/>
  <c r="N215" i="2"/>
  <c r="E216" i="2"/>
  <c r="D216" i="2" s="1"/>
  <c r="P216" i="2" s="1"/>
  <c r="J216" i="2"/>
  <c r="N216" i="2"/>
  <c r="D217" i="2"/>
  <c r="E217" i="2"/>
  <c r="J217" i="2"/>
  <c r="P217" i="2" s="1"/>
  <c r="N217" i="2"/>
  <c r="E218" i="2"/>
  <c r="D218" i="2" s="1"/>
  <c r="P218" i="2" s="1"/>
  <c r="J218" i="2"/>
  <c r="N218" i="2"/>
  <c r="D219" i="2"/>
  <c r="E219" i="2"/>
  <c r="J219" i="2"/>
  <c r="P219" i="2" s="1"/>
  <c r="N219" i="2"/>
  <c r="E220" i="2"/>
  <c r="D220" i="2" s="1"/>
  <c r="P220" i="2" s="1"/>
  <c r="J220" i="2"/>
  <c r="N220" i="2"/>
  <c r="D221" i="2"/>
  <c r="E221" i="2"/>
  <c r="J221" i="2"/>
  <c r="P221" i="2" s="1"/>
  <c r="N221" i="2"/>
  <c r="E222" i="2"/>
  <c r="D222" i="2" s="1"/>
  <c r="P222" i="2" s="1"/>
  <c r="J222" i="2"/>
  <c r="N222" i="2"/>
  <c r="D223" i="2"/>
  <c r="E223" i="2"/>
  <c r="J223" i="2"/>
  <c r="P223" i="2" s="1"/>
  <c r="N223" i="2"/>
  <c r="E224" i="2"/>
  <c r="D224" i="2" s="1"/>
  <c r="P224" i="2" s="1"/>
  <c r="J224" i="2"/>
  <c r="N224" i="2"/>
  <c r="D225" i="2"/>
  <c r="E225" i="2"/>
  <c r="J225" i="2"/>
  <c r="P225" i="2" s="1"/>
  <c r="N225" i="2"/>
  <c r="E226" i="2"/>
  <c r="D226" i="2" s="1"/>
  <c r="P226" i="2" s="1"/>
  <c r="J226" i="2"/>
  <c r="N226" i="2"/>
  <c r="D227" i="2"/>
  <c r="E227" i="2"/>
  <c r="J227" i="2"/>
  <c r="P227" i="2" s="1"/>
  <c r="N227" i="2"/>
  <c r="E228" i="2"/>
  <c r="D228" i="2" s="1"/>
  <c r="P228" i="2" s="1"/>
  <c r="J228" i="2"/>
  <c r="N228" i="2"/>
  <c r="D229" i="2"/>
  <c r="E229" i="2"/>
  <c r="J229" i="2"/>
  <c r="P229" i="2" s="1"/>
  <c r="N229" i="2"/>
  <c r="E230" i="2"/>
  <c r="D230" i="2" s="1"/>
  <c r="P230" i="2" s="1"/>
  <c r="J230" i="2"/>
  <c r="N230" i="2"/>
  <c r="D231" i="2"/>
  <c r="E231" i="2"/>
  <c r="J231" i="2"/>
  <c r="P231" i="2" s="1"/>
  <c r="N231" i="2"/>
  <c r="E232" i="2"/>
  <c r="D232" i="2" s="1"/>
  <c r="P232" i="2" s="1"/>
  <c r="J232" i="2"/>
  <c r="N232" i="2"/>
  <c r="D233" i="2"/>
  <c r="E233" i="2"/>
  <c r="J233" i="2"/>
  <c r="P233" i="2" s="1"/>
  <c r="N233" i="2"/>
  <c r="E234" i="2"/>
  <c r="D234" i="2" s="1"/>
  <c r="P234" i="2" s="1"/>
  <c r="J234" i="2"/>
  <c r="N234" i="2"/>
  <c r="D235" i="2"/>
  <c r="E235" i="2"/>
  <c r="J235" i="2"/>
  <c r="P235" i="2" s="1"/>
  <c r="N235" i="2"/>
  <c r="E236" i="2"/>
  <c r="D236" i="2" s="1"/>
  <c r="P236" i="2" s="1"/>
  <c r="J236" i="2"/>
  <c r="N236" i="2"/>
  <c r="D237" i="2"/>
  <c r="E237" i="2"/>
  <c r="J237" i="2"/>
  <c r="P237" i="2" s="1"/>
  <c r="N237" i="2"/>
  <c r="E238" i="2"/>
  <c r="D238" i="2" s="1"/>
  <c r="P238" i="2" s="1"/>
  <c r="J238" i="2"/>
  <c r="N238" i="2"/>
  <c r="D239" i="2"/>
  <c r="E239" i="2"/>
  <c r="J239" i="2"/>
  <c r="P239" i="2" s="1"/>
  <c r="N239" i="2"/>
  <c r="E240" i="2"/>
  <c r="D240" i="2" s="1"/>
  <c r="P240" i="2" s="1"/>
  <c r="J240" i="2"/>
  <c r="N240" i="2"/>
  <c r="D241" i="2"/>
  <c r="E241" i="2"/>
  <c r="J241" i="2"/>
  <c r="P241" i="2" s="1"/>
  <c r="N241" i="2"/>
  <c r="E242" i="2"/>
  <c r="D242" i="2" s="1"/>
  <c r="P242" i="2" s="1"/>
  <c r="J242" i="2"/>
  <c r="N242" i="2"/>
  <c r="D243" i="2"/>
  <c r="E243" i="2"/>
  <c r="J243" i="2"/>
  <c r="P243" i="2" s="1"/>
  <c r="N243" i="2"/>
  <c r="E244" i="2"/>
  <c r="D244" i="2" s="1"/>
  <c r="P244" i="2" s="1"/>
  <c r="J244" i="2"/>
  <c r="N244" i="2"/>
  <c r="D245" i="2"/>
  <c r="E245" i="2"/>
  <c r="J245" i="2"/>
  <c r="P245" i="2" s="1"/>
  <c r="N245" i="2"/>
  <c r="E246" i="2"/>
  <c r="D246" i="2" s="1"/>
  <c r="P246" i="2" s="1"/>
  <c r="J246" i="2"/>
  <c r="N246" i="2"/>
  <c r="D247" i="2"/>
  <c r="E247" i="2"/>
  <c r="J247" i="2"/>
  <c r="P247" i="2" s="1"/>
  <c r="N247" i="2"/>
  <c r="E248" i="2"/>
  <c r="D248" i="2" s="1"/>
  <c r="P248" i="2" s="1"/>
  <c r="J248" i="2"/>
  <c r="N248" i="2"/>
  <c r="D249" i="2"/>
  <c r="E249" i="2"/>
  <c r="J249" i="2"/>
  <c r="P249" i="2" s="1"/>
  <c r="N249" i="2"/>
  <c r="E250" i="2"/>
  <c r="D250" i="2" s="1"/>
  <c r="P250" i="2" s="1"/>
  <c r="J250" i="2"/>
  <c r="N250" i="2"/>
  <c r="D251" i="2"/>
  <c r="E251" i="2"/>
  <c r="J251" i="2"/>
  <c r="P251" i="2" s="1"/>
  <c r="N251" i="2"/>
  <c r="E252" i="2"/>
  <c r="D252" i="2" s="1"/>
  <c r="P252" i="2" s="1"/>
  <c r="J252" i="2"/>
  <c r="N252" i="2"/>
  <c r="D253" i="2"/>
  <c r="E253" i="2"/>
  <c r="J253" i="2"/>
  <c r="P253" i="2" s="1"/>
  <c r="N253" i="2"/>
  <c r="E254" i="2"/>
  <c r="D254" i="2" s="1"/>
  <c r="P254" i="2" s="1"/>
  <c r="J254" i="2"/>
  <c r="N254" i="2"/>
  <c r="D255" i="2"/>
  <c r="E255" i="2"/>
  <c r="J255" i="2"/>
  <c r="P255" i="2" s="1"/>
  <c r="N255" i="2"/>
  <c r="E256" i="2"/>
  <c r="D256" i="2" s="1"/>
  <c r="P256" i="2" s="1"/>
  <c r="J256" i="2"/>
  <c r="N256" i="2"/>
  <c r="D257" i="2"/>
  <c r="E257" i="2"/>
  <c r="J257" i="2"/>
  <c r="P257" i="2" s="1"/>
  <c r="N257" i="2"/>
  <c r="E258" i="2"/>
  <c r="D258" i="2" s="1"/>
  <c r="P258" i="2" s="1"/>
  <c r="J258" i="2"/>
  <c r="N258" i="2"/>
  <c r="D259" i="2"/>
  <c r="E259" i="2"/>
  <c r="J259" i="2"/>
  <c r="P259" i="2" s="1"/>
  <c r="N259" i="2"/>
  <c r="E260" i="2"/>
  <c r="D260" i="2" s="1"/>
  <c r="P260" i="2" s="1"/>
  <c r="J260" i="2"/>
  <c r="N260" i="2"/>
  <c r="D261" i="2"/>
  <c r="E261" i="2"/>
  <c r="J261" i="2"/>
  <c r="P261" i="2" s="1"/>
  <c r="N261" i="2"/>
  <c r="E262" i="2"/>
  <c r="D262" i="2" s="1"/>
  <c r="P262" i="2" s="1"/>
  <c r="J262" i="2"/>
  <c r="N262" i="2"/>
  <c r="D263" i="2"/>
  <c r="E263" i="2"/>
  <c r="J263" i="2"/>
  <c r="P263" i="2" s="1"/>
  <c r="N263" i="2"/>
  <c r="E264" i="2"/>
  <c r="D264" i="2" s="1"/>
  <c r="P264" i="2" s="1"/>
  <c r="J264" i="2"/>
  <c r="N264" i="2"/>
  <c r="D265" i="2"/>
  <c r="E265" i="2"/>
  <c r="J265" i="2"/>
  <c r="P265" i="2" s="1"/>
  <c r="N265" i="2"/>
  <c r="E266" i="2"/>
  <c r="D266" i="2" s="1"/>
  <c r="P266" i="2" s="1"/>
  <c r="J266" i="2"/>
  <c r="N266" i="2"/>
  <c r="D267" i="2"/>
  <c r="E267" i="2"/>
  <c r="J267" i="2"/>
  <c r="P267" i="2" s="1"/>
  <c r="N267" i="2"/>
  <c r="E268" i="2"/>
  <c r="D268" i="2" s="1"/>
  <c r="P268" i="2" s="1"/>
  <c r="J268" i="2"/>
  <c r="N268" i="2"/>
  <c r="D269" i="2"/>
  <c r="E269" i="2"/>
  <c r="J269" i="2"/>
  <c r="P269" i="2" s="1"/>
  <c r="N269" i="2"/>
  <c r="E270" i="2"/>
  <c r="D270" i="2" s="1"/>
  <c r="P270" i="2" s="1"/>
  <c r="J270" i="2"/>
  <c r="N270" i="2"/>
  <c r="D271" i="2"/>
  <c r="E271" i="2"/>
  <c r="J271" i="2"/>
  <c r="P271" i="2" s="1"/>
  <c r="N271" i="2"/>
  <c r="E272" i="2"/>
  <c r="D272" i="2" s="1"/>
  <c r="P272" i="2" s="1"/>
  <c r="J272" i="2"/>
  <c r="N272" i="2"/>
  <c r="D273" i="2"/>
  <c r="E273" i="2"/>
  <c r="J273" i="2"/>
  <c r="P273" i="2" s="1"/>
  <c r="N273" i="2"/>
  <c r="E274" i="2"/>
  <c r="D274" i="2" s="1"/>
  <c r="P274" i="2" s="1"/>
  <c r="J274" i="2"/>
  <c r="N274" i="2"/>
  <c r="D275" i="2"/>
  <c r="E275" i="2"/>
  <c r="J275" i="2"/>
  <c r="P275" i="2" s="1"/>
  <c r="N275" i="2"/>
  <c r="E276" i="2"/>
  <c r="D276" i="2" s="1"/>
  <c r="P276" i="2" s="1"/>
  <c r="J276" i="2"/>
  <c r="N276" i="2"/>
  <c r="D277" i="2"/>
  <c r="E277" i="2"/>
  <c r="J277" i="2"/>
  <c r="P277" i="2" s="1"/>
  <c r="N277" i="2"/>
  <c r="E278" i="2"/>
  <c r="D278" i="2" s="1"/>
  <c r="P278" i="2" s="1"/>
  <c r="J278" i="2"/>
  <c r="N278" i="2"/>
  <c r="D279" i="2"/>
  <c r="E279" i="2"/>
  <c r="J279" i="2"/>
  <c r="P279" i="2" s="1"/>
  <c r="N279" i="2"/>
  <c r="E280" i="2"/>
  <c r="D280" i="2" s="1"/>
  <c r="P280" i="2" s="1"/>
  <c r="J280" i="2"/>
  <c r="N280" i="2"/>
  <c r="D281" i="2"/>
  <c r="E281" i="2"/>
  <c r="J281" i="2"/>
  <c r="P281" i="2" s="1"/>
  <c r="N281" i="2"/>
  <c r="E282" i="2"/>
  <c r="D282" i="2" s="1"/>
  <c r="P282" i="2" s="1"/>
  <c r="J282" i="2"/>
  <c r="N282" i="2"/>
  <c r="D283" i="2"/>
  <c r="E283" i="2"/>
  <c r="J283" i="2"/>
  <c r="P283" i="2" s="1"/>
  <c r="N283" i="2"/>
  <c r="E284" i="2"/>
  <c r="D284" i="2" s="1"/>
  <c r="P284" i="2" s="1"/>
  <c r="J284" i="2"/>
  <c r="N284" i="2"/>
  <c r="D285" i="2"/>
  <c r="E285" i="2"/>
  <c r="J285" i="2"/>
  <c r="P285" i="2" s="1"/>
  <c r="N285" i="2"/>
  <c r="E286" i="2"/>
  <c r="D286" i="2" s="1"/>
  <c r="P286" i="2" s="1"/>
  <c r="J286" i="2"/>
  <c r="N286" i="2"/>
  <c r="D287" i="2"/>
  <c r="E287" i="2"/>
  <c r="J287" i="2"/>
  <c r="P287" i="2" s="1"/>
  <c r="N287" i="2"/>
  <c r="E288" i="2"/>
  <c r="D288" i="2" s="1"/>
  <c r="P288" i="2" s="1"/>
  <c r="J288" i="2"/>
  <c r="N288" i="2"/>
  <c r="D289" i="2"/>
  <c r="E289" i="2"/>
  <c r="J289" i="2"/>
  <c r="P289" i="2" s="1"/>
  <c r="N289" i="2"/>
  <c r="E290" i="2"/>
  <c r="D290" i="2" s="1"/>
  <c r="P290" i="2" s="1"/>
  <c r="J290" i="2"/>
  <c r="N290" i="2"/>
  <c r="D291" i="2"/>
  <c r="E291" i="2"/>
  <c r="J291" i="2"/>
  <c r="P291" i="2" s="1"/>
  <c r="N291" i="2"/>
  <c r="E292" i="2"/>
  <c r="D292" i="2" s="1"/>
  <c r="P292" i="2" s="1"/>
  <c r="J292" i="2"/>
  <c r="N292" i="2"/>
  <c r="D293" i="2"/>
  <c r="E293" i="2"/>
  <c r="J293" i="2"/>
  <c r="P293" i="2" s="1"/>
  <c r="N293" i="2"/>
  <c r="E294" i="2"/>
  <c r="D294" i="2" s="1"/>
  <c r="P294" i="2" s="1"/>
  <c r="J294" i="2"/>
  <c r="N294" i="2"/>
  <c r="D295" i="2"/>
  <c r="E295" i="2"/>
  <c r="J295" i="2"/>
  <c r="P295" i="2" s="1"/>
  <c r="N295" i="2"/>
  <c r="E296" i="2"/>
  <c r="D296" i="2" s="1"/>
  <c r="P296" i="2" s="1"/>
  <c r="J296" i="2"/>
  <c r="N296" i="2"/>
  <c r="D297" i="2"/>
  <c r="E297" i="2"/>
  <c r="J297" i="2"/>
  <c r="P297" i="2" s="1"/>
  <c r="N297" i="2"/>
  <c r="E298" i="2"/>
  <c r="D298" i="2" s="1"/>
  <c r="P298" i="2" s="1"/>
  <c r="J298" i="2"/>
  <c r="N298" i="2"/>
  <c r="D299" i="2"/>
  <c r="E299" i="2"/>
  <c r="J299" i="2"/>
  <c r="P299" i="2" s="1"/>
  <c r="N299" i="2"/>
  <c r="E300" i="2"/>
  <c r="D300" i="2" s="1"/>
  <c r="P300" i="2" s="1"/>
  <c r="J300" i="2"/>
  <c r="N300" i="2"/>
  <c r="D301" i="2"/>
  <c r="E301" i="2"/>
  <c r="J301" i="2"/>
  <c r="P301" i="2" s="1"/>
  <c r="N301" i="2"/>
  <c r="E302" i="2"/>
  <c r="D302" i="2" s="1"/>
  <c r="P302" i="2" s="1"/>
  <c r="J302" i="2"/>
  <c r="N302" i="2"/>
  <c r="D303" i="2"/>
  <c r="E303" i="2"/>
  <c r="J303" i="2"/>
  <c r="P303" i="2" s="1"/>
  <c r="N303" i="2"/>
  <c r="E304" i="2"/>
  <c r="D304" i="2" s="1"/>
  <c r="P304" i="2" s="1"/>
  <c r="J304" i="2"/>
  <c r="N304" i="2"/>
  <c r="D305" i="2"/>
  <c r="E305" i="2"/>
  <c r="J305" i="2"/>
  <c r="P305" i="2" s="1"/>
  <c r="N305" i="2"/>
  <c r="E306" i="2"/>
  <c r="D306" i="2" s="1"/>
  <c r="P306" i="2" s="1"/>
  <c r="J306" i="2"/>
  <c r="N306" i="2"/>
  <c r="D307" i="2"/>
  <c r="E307" i="2"/>
  <c r="J307" i="2"/>
  <c r="P307" i="2" s="1"/>
  <c r="N307" i="2"/>
  <c r="E308" i="2"/>
  <c r="D308" i="2" s="1"/>
  <c r="P308" i="2" s="1"/>
  <c r="J308" i="2"/>
  <c r="N308" i="2"/>
  <c r="D309" i="2"/>
  <c r="E309" i="2"/>
  <c r="J309" i="2"/>
  <c r="P309" i="2" s="1"/>
  <c r="N309" i="2"/>
  <c r="E310" i="2"/>
  <c r="D310" i="2" s="1"/>
  <c r="P310" i="2" s="1"/>
  <c r="J310" i="2"/>
  <c r="N310" i="2"/>
  <c r="D311" i="2"/>
  <c r="E311" i="2"/>
  <c r="J311" i="2"/>
  <c r="P311" i="2" s="1"/>
  <c r="N311" i="2"/>
  <c r="E312" i="2"/>
  <c r="D312" i="2" s="1"/>
  <c r="P312" i="2" s="1"/>
  <c r="J312" i="2"/>
  <c r="N312" i="2"/>
  <c r="D313" i="2"/>
  <c r="E313" i="2"/>
  <c r="J313" i="2"/>
  <c r="P313" i="2" s="1"/>
  <c r="N313" i="2"/>
  <c r="E314" i="2"/>
  <c r="D314" i="2" s="1"/>
  <c r="P314" i="2" s="1"/>
  <c r="J314" i="2"/>
  <c r="N314" i="2"/>
  <c r="D315" i="2"/>
  <c r="E315" i="2"/>
  <c r="J315" i="2"/>
  <c r="P315" i="2" s="1"/>
  <c r="N315" i="2"/>
  <c r="E316" i="2"/>
  <c r="D316" i="2" s="1"/>
  <c r="P316" i="2" s="1"/>
  <c r="J316" i="2"/>
  <c r="N316" i="2"/>
  <c r="D317" i="2"/>
  <c r="E317" i="2"/>
  <c r="J317" i="2"/>
  <c r="P317" i="2" s="1"/>
  <c r="N317" i="2"/>
  <c r="E318" i="2"/>
  <c r="D318" i="2" s="1"/>
  <c r="P318" i="2" s="1"/>
  <c r="J318" i="2"/>
  <c r="N318" i="2"/>
  <c r="D319" i="2"/>
  <c r="E319" i="2"/>
  <c r="J319" i="2"/>
  <c r="P319" i="2" s="1"/>
  <c r="N319" i="2"/>
  <c r="E320" i="2"/>
  <c r="D320" i="2" s="1"/>
  <c r="P320" i="2" s="1"/>
  <c r="J320" i="2"/>
  <c r="N320" i="2"/>
  <c r="D321" i="2"/>
  <c r="E321" i="2"/>
  <c r="J321" i="2"/>
  <c r="P321" i="2" s="1"/>
  <c r="N321" i="2"/>
  <c r="E322" i="2"/>
  <c r="D322" i="2" s="1"/>
  <c r="P322" i="2" s="1"/>
  <c r="J322" i="2"/>
  <c r="N322" i="2"/>
  <c r="D323" i="2"/>
  <c r="E323" i="2"/>
  <c r="J323" i="2"/>
  <c r="P323" i="2" s="1"/>
  <c r="N323" i="2"/>
  <c r="E324" i="2"/>
  <c r="D324" i="2" s="1"/>
  <c r="P324" i="2" s="1"/>
  <c r="J324" i="2"/>
  <c r="N324" i="2"/>
  <c r="D325" i="2"/>
  <c r="E325" i="2"/>
  <c r="J325" i="2"/>
  <c r="P325" i="2" s="1"/>
  <c r="N325" i="2"/>
  <c r="E326" i="2"/>
  <c r="D326" i="2" s="1"/>
  <c r="P326" i="2" s="1"/>
  <c r="J326" i="2"/>
  <c r="N326" i="2"/>
  <c r="D327" i="2"/>
  <c r="E327" i="2"/>
  <c r="J327" i="2"/>
  <c r="P327" i="2" s="1"/>
  <c r="N327" i="2"/>
  <c r="E328" i="2"/>
  <c r="D328" i="2" s="1"/>
  <c r="P328" i="2" s="1"/>
  <c r="J328" i="2"/>
  <c r="N328" i="2"/>
  <c r="D329" i="2"/>
  <c r="E329" i="2"/>
  <c r="J329" i="2"/>
  <c r="P329" i="2" s="1"/>
  <c r="N329" i="2"/>
  <c r="E330" i="2"/>
  <c r="D330" i="2" s="1"/>
  <c r="P330" i="2" s="1"/>
  <c r="J330" i="2"/>
  <c r="N330" i="2"/>
  <c r="D331" i="2"/>
  <c r="E331" i="2"/>
  <c r="J331" i="2"/>
  <c r="P331" i="2" s="1"/>
  <c r="N331" i="2"/>
  <c r="E332" i="2"/>
  <c r="D332" i="2" s="1"/>
  <c r="P332" i="2" s="1"/>
  <c r="J332" i="2"/>
  <c r="N332" i="2"/>
  <c r="D333" i="2"/>
  <c r="E333" i="2"/>
  <c r="J333" i="2"/>
  <c r="P333" i="2" s="1"/>
  <c r="N333" i="2"/>
  <c r="E334" i="2"/>
  <c r="D334" i="2" s="1"/>
  <c r="P334" i="2" s="1"/>
  <c r="J334" i="2"/>
  <c r="N334" i="2"/>
  <c r="D335" i="2"/>
  <c r="E335" i="2"/>
  <c r="J335" i="2"/>
  <c r="P335" i="2" s="1"/>
  <c r="N335" i="2"/>
  <c r="E336" i="2"/>
  <c r="D336" i="2" s="1"/>
  <c r="P336" i="2" s="1"/>
  <c r="J336" i="2"/>
  <c r="N336" i="2"/>
  <c r="D337" i="2"/>
  <c r="E337" i="2"/>
  <c r="J337" i="2"/>
  <c r="P337" i="2" s="1"/>
  <c r="N337" i="2"/>
  <c r="E338" i="2"/>
  <c r="D338" i="2" s="1"/>
  <c r="P338" i="2" s="1"/>
  <c r="J338" i="2"/>
  <c r="N338" i="2"/>
  <c r="D339" i="2"/>
  <c r="E339" i="2"/>
  <c r="J339" i="2"/>
  <c r="P339" i="2" s="1"/>
  <c r="N339" i="2"/>
  <c r="E340" i="2"/>
  <c r="D340" i="2" s="1"/>
  <c r="P340" i="2" s="1"/>
  <c r="J340" i="2"/>
  <c r="N340" i="2"/>
  <c r="D341" i="2"/>
  <c r="E341" i="2"/>
  <c r="J341" i="2"/>
  <c r="P341" i="2" s="1"/>
  <c r="N341" i="2"/>
  <c r="E342" i="2"/>
  <c r="D342" i="2" s="1"/>
  <c r="P342" i="2" s="1"/>
  <c r="J342" i="2"/>
  <c r="N342" i="2"/>
  <c r="D343" i="2"/>
  <c r="E343" i="2"/>
  <c r="J343" i="2"/>
  <c r="P343" i="2" s="1"/>
  <c r="N343" i="2"/>
  <c r="E344" i="2"/>
  <c r="D344" i="2" s="1"/>
  <c r="J344" i="2"/>
  <c r="N344" i="2"/>
  <c r="E345" i="2"/>
  <c r="D345" i="2" s="1"/>
  <c r="P345" i="2" s="1"/>
  <c r="J345" i="2"/>
  <c r="N345" i="2"/>
  <c r="E346" i="2"/>
  <c r="D346" i="2" s="1"/>
  <c r="P346" i="2" s="1"/>
  <c r="J346" i="2"/>
  <c r="N346" i="2"/>
  <c r="D347" i="2"/>
  <c r="E347" i="2"/>
  <c r="J347" i="2"/>
  <c r="N347" i="2"/>
  <c r="P347" i="2"/>
  <c r="E348" i="2"/>
  <c r="D348" i="2" s="1"/>
  <c r="P348" i="2" s="1"/>
  <c r="J348" i="2"/>
  <c r="N348" i="2"/>
  <c r="E349" i="2"/>
  <c r="D349" i="2" s="1"/>
  <c r="P349" i="2" s="1"/>
  <c r="J349" i="2"/>
  <c r="N349" i="2"/>
  <c r="D350" i="2"/>
  <c r="E350" i="2"/>
  <c r="J350" i="2"/>
  <c r="N350" i="2"/>
  <c r="P350" i="2"/>
  <c r="D351" i="2"/>
  <c r="E351" i="2"/>
  <c r="J351" i="2"/>
  <c r="P351" i="2" s="1"/>
  <c r="N351" i="2"/>
  <c r="E352" i="2"/>
  <c r="D352" i="2" s="1"/>
  <c r="J352" i="2"/>
  <c r="N352" i="2"/>
  <c r="E353" i="2"/>
  <c r="D353" i="2" s="1"/>
  <c r="J353" i="2"/>
  <c r="N353" i="2"/>
  <c r="E354" i="2"/>
  <c r="D354" i="2" s="1"/>
  <c r="J354" i="2"/>
  <c r="N354" i="2"/>
  <c r="E355" i="2"/>
  <c r="D355" i="2" s="1"/>
  <c r="P355" i="2" s="1"/>
  <c r="J355" i="2"/>
  <c r="N355" i="2"/>
  <c r="D356" i="2"/>
  <c r="E356" i="2"/>
  <c r="J356" i="2"/>
  <c r="N356" i="2"/>
  <c r="P356" i="2"/>
  <c r="E357" i="2"/>
  <c r="D357" i="2" s="1"/>
  <c r="J357" i="2"/>
  <c r="N357" i="2"/>
  <c r="E358" i="2"/>
  <c r="D358" i="2" s="1"/>
  <c r="J358" i="2"/>
  <c r="N358" i="2"/>
  <c r="E359" i="2"/>
  <c r="D359" i="2" s="1"/>
  <c r="P359" i="2" s="1"/>
  <c r="J359" i="2"/>
  <c r="N359" i="2"/>
  <c r="D360" i="2"/>
  <c r="E360" i="2"/>
  <c r="J360" i="2"/>
  <c r="N360" i="2"/>
  <c r="P360" i="2"/>
  <c r="E361" i="2"/>
  <c r="D361" i="2" s="1"/>
  <c r="J361" i="2"/>
  <c r="N361" i="2"/>
  <c r="E362" i="2"/>
  <c r="D362" i="2" s="1"/>
  <c r="J362" i="2"/>
  <c r="N362" i="2"/>
  <c r="D363" i="2"/>
  <c r="E363" i="2"/>
  <c r="J363" i="2"/>
  <c r="N363" i="2"/>
  <c r="P363" i="2"/>
  <c r="D364" i="2"/>
  <c r="E364" i="2"/>
  <c r="J364" i="2"/>
  <c r="N364" i="2"/>
  <c r="P364" i="2"/>
  <c r="E365" i="2"/>
  <c r="D365" i="2" s="1"/>
  <c r="J365" i="2"/>
  <c r="N365" i="2"/>
  <c r="E366" i="2"/>
  <c r="D366" i="2" s="1"/>
  <c r="J366" i="2"/>
  <c r="N366" i="2"/>
  <c r="D367" i="2"/>
  <c r="E367" i="2"/>
  <c r="J367" i="2"/>
  <c r="N367" i="2"/>
  <c r="P367" i="2"/>
  <c r="D368" i="2"/>
  <c r="E368" i="2"/>
  <c r="J368" i="2"/>
  <c r="N368" i="2"/>
  <c r="P368" i="2"/>
  <c r="E369" i="2"/>
  <c r="D369" i="2" s="1"/>
  <c r="J369" i="2"/>
  <c r="N369" i="2"/>
  <c r="E370" i="2"/>
  <c r="D370" i="2" s="1"/>
  <c r="J370" i="2"/>
  <c r="N370" i="2"/>
  <c r="D371" i="2"/>
  <c r="E371" i="2"/>
  <c r="J371" i="2"/>
  <c r="N371" i="2"/>
  <c r="P371" i="2"/>
  <c r="D372" i="2"/>
  <c r="E372" i="2"/>
  <c r="J372" i="2"/>
  <c r="N372" i="2"/>
  <c r="P372" i="2"/>
  <c r="E373" i="2"/>
  <c r="D373" i="2" s="1"/>
  <c r="J373" i="2"/>
  <c r="N373" i="2"/>
  <c r="E374" i="2"/>
  <c r="D374" i="2" s="1"/>
  <c r="J374" i="2"/>
  <c r="N374" i="2"/>
  <c r="D375" i="2"/>
  <c r="E375" i="2"/>
  <c r="J375" i="2"/>
  <c r="N375" i="2"/>
  <c r="P375" i="2"/>
  <c r="D376" i="2"/>
  <c r="E376" i="2"/>
  <c r="J376" i="2"/>
  <c r="N376" i="2"/>
  <c r="P376" i="2"/>
  <c r="E377" i="2"/>
  <c r="D377" i="2" s="1"/>
  <c r="J377" i="2"/>
  <c r="N377" i="2"/>
  <c r="E378" i="2"/>
  <c r="D378" i="2" s="1"/>
  <c r="J378" i="2"/>
  <c r="N378" i="2"/>
  <c r="D379" i="2"/>
  <c r="E379" i="2"/>
  <c r="J379" i="2"/>
  <c r="N379" i="2"/>
  <c r="P379" i="2"/>
  <c r="D380" i="2"/>
  <c r="E380" i="2"/>
  <c r="J380" i="2"/>
  <c r="N380" i="2"/>
  <c r="P380" i="2"/>
  <c r="E381" i="2"/>
  <c r="D381" i="2" s="1"/>
  <c r="J381" i="2"/>
  <c r="N381" i="2"/>
  <c r="E382" i="2"/>
  <c r="D382" i="2" s="1"/>
  <c r="J382" i="2"/>
  <c r="N382" i="2"/>
  <c r="D383" i="2"/>
  <c r="E383" i="2"/>
  <c r="J383" i="2"/>
  <c r="N383" i="2"/>
  <c r="P383" i="2"/>
  <c r="D384" i="2"/>
  <c r="E384" i="2"/>
  <c r="J384" i="2"/>
  <c r="N384" i="2"/>
  <c r="P384" i="2"/>
  <c r="E385" i="2"/>
  <c r="D385" i="2" s="1"/>
  <c r="J385" i="2"/>
  <c r="N385" i="2"/>
  <c r="E386" i="2"/>
  <c r="D386" i="2" s="1"/>
  <c r="J386" i="2"/>
  <c r="N386" i="2"/>
  <c r="D387" i="2"/>
  <c r="E387" i="2"/>
  <c r="J387" i="2"/>
  <c r="N387" i="2"/>
  <c r="P387" i="2"/>
  <c r="D388" i="2"/>
  <c r="E388" i="2"/>
  <c r="J388" i="2"/>
  <c r="N388" i="2"/>
  <c r="P388" i="2"/>
  <c r="E389" i="2"/>
  <c r="D389" i="2" s="1"/>
  <c r="J389" i="2"/>
  <c r="N389" i="2"/>
  <c r="E390" i="2"/>
  <c r="D390" i="2" s="1"/>
  <c r="J390" i="2"/>
  <c r="N390" i="2"/>
  <c r="D391" i="2"/>
  <c r="E391" i="2"/>
  <c r="J391" i="2"/>
  <c r="N391" i="2"/>
  <c r="P391" i="2"/>
  <c r="D392" i="2"/>
  <c r="E392" i="2"/>
  <c r="J392" i="2"/>
  <c r="N392" i="2"/>
  <c r="P392" i="2"/>
  <c r="E393" i="2"/>
  <c r="D393" i="2" s="1"/>
  <c r="J393" i="2"/>
  <c r="N393" i="2"/>
  <c r="E394" i="2"/>
  <c r="D394" i="2" s="1"/>
  <c r="J394" i="2"/>
  <c r="N394" i="2"/>
  <c r="D395" i="2"/>
  <c r="E395" i="2"/>
  <c r="J395" i="2"/>
  <c r="N395" i="2"/>
  <c r="P395" i="2"/>
  <c r="D396" i="2"/>
  <c r="E396" i="2"/>
  <c r="J396" i="2"/>
  <c r="N396" i="2"/>
  <c r="P396" i="2"/>
  <c r="E397" i="2"/>
  <c r="D397" i="2" s="1"/>
  <c r="J397" i="2"/>
  <c r="N397" i="2"/>
  <c r="E398" i="2"/>
  <c r="D398" i="2" s="1"/>
  <c r="J398" i="2"/>
  <c r="N398" i="2"/>
  <c r="D399" i="2"/>
  <c r="E399" i="2"/>
  <c r="J399" i="2"/>
  <c r="N399" i="2"/>
  <c r="P399" i="2"/>
  <c r="D400" i="2"/>
  <c r="E400" i="2"/>
  <c r="J400" i="2"/>
  <c r="N400" i="2"/>
  <c r="P400" i="2"/>
  <c r="E401" i="2"/>
  <c r="D401" i="2" s="1"/>
  <c r="J401" i="2"/>
  <c r="N401" i="2"/>
  <c r="E402" i="2"/>
  <c r="D402" i="2" s="1"/>
  <c r="J402" i="2"/>
  <c r="N402" i="2"/>
  <c r="D403" i="2"/>
  <c r="E403" i="2"/>
  <c r="J403" i="2"/>
  <c r="N403" i="2"/>
  <c r="P403" i="2"/>
  <c r="D404" i="2"/>
  <c r="E404" i="2"/>
  <c r="J404" i="2"/>
  <c r="N404" i="2"/>
  <c r="P404" i="2"/>
  <c r="E405" i="2"/>
  <c r="D405" i="2" s="1"/>
  <c r="J405" i="2"/>
  <c r="N405" i="2"/>
  <c r="E406" i="2"/>
  <c r="D406" i="2" s="1"/>
  <c r="J406" i="2"/>
  <c r="N406" i="2"/>
  <c r="D407" i="2"/>
  <c r="E407" i="2"/>
  <c r="J407" i="2"/>
  <c r="N407" i="2"/>
  <c r="P407" i="2"/>
  <c r="D408" i="2"/>
  <c r="E408" i="2"/>
  <c r="J408" i="2"/>
  <c r="N408" i="2"/>
  <c r="P408" i="2"/>
  <c r="E409" i="2"/>
  <c r="D409" i="2" s="1"/>
  <c r="J409" i="2"/>
  <c r="N409" i="2"/>
  <c r="E410" i="2"/>
  <c r="D410" i="2" s="1"/>
  <c r="J410" i="2"/>
  <c r="N410" i="2"/>
  <c r="D411" i="2"/>
  <c r="E411" i="2"/>
  <c r="J411" i="2"/>
  <c r="N411" i="2"/>
  <c r="P411" i="2"/>
  <c r="D412" i="2"/>
  <c r="E412" i="2"/>
  <c r="J412" i="2"/>
  <c r="N412" i="2"/>
  <c r="P412" i="2"/>
  <c r="E413" i="2"/>
  <c r="D413" i="2" s="1"/>
  <c r="J413" i="2"/>
  <c r="N413" i="2"/>
  <c r="E414" i="2"/>
  <c r="D414" i="2" s="1"/>
  <c r="J414" i="2"/>
  <c r="N414" i="2"/>
  <c r="D415" i="2"/>
  <c r="E415" i="2"/>
  <c r="J415" i="2"/>
  <c r="N415" i="2"/>
  <c r="P415" i="2"/>
  <c r="D416" i="2"/>
  <c r="E416" i="2"/>
  <c r="J416" i="2"/>
  <c r="N416" i="2"/>
  <c r="P416" i="2"/>
  <c r="E417" i="2"/>
  <c r="D417" i="2" s="1"/>
  <c r="J417" i="2"/>
  <c r="N417" i="2"/>
  <c r="E418" i="2"/>
  <c r="D418" i="2" s="1"/>
  <c r="J418" i="2"/>
  <c r="N418" i="2"/>
  <c r="D419" i="2"/>
  <c r="E419" i="2"/>
  <c r="J419" i="2"/>
  <c r="N419" i="2"/>
  <c r="P419" i="2"/>
  <c r="D420" i="2"/>
  <c r="E420" i="2"/>
  <c r="J420" i="2"/>
  <c r="N420" i="2"/>
  <c r="P420" i="2"/>
  <c r="E421" i="2"/>
  <c r="D421" i="2" s="1"/>
  <c r="J421" i="2"/>
  <c r="N421" i="2"/>
  <c r="E422" i="2"/>
  <c r="D422" i="2" s="1"/>
  <c r="J422" i="2"/>
  <c r="N422" i="2"/>
  <c r="D423" i="2"/>
  <c r="E423" i="2"/>
  <c r="J423" i="2"/>
  <c r="N423" i="2"/>
  <c r="P423" i="2"/>
  <c r="D424" i="2"/>
  <c r="E424" i="2"/>
  <c r="J424" i="2"/>
  <c r="N424" i="2"/>
  <c r="P424" i="2"/>
  <c r="E425" i="2"/>
  <c r="D425" i="2" s="1"/>
  <c r="J425" i="2"/>
  <c r="N425" i="2"/>
  <c r="E426" i="2"/>
  <c r="D426" i="2" s="1"/>
  <c r="P426" i="2" s="1"/>
  <c r="J426" i="2"/>
  <c r="N426" i="2"/>
  <c r="D427" i="2"/>
  <c r="E427" i="2"/>
  <c r="J427" i="2"/>
  <c r="N427" i="2"/>
  <c r="P427" i="2"/>
  <c r="D428" i="2"/>
  <c r="E428" i="2"/>
  <c r="J428" i="2"/>
  <c r="N428" i="2"/>
  <c r="P428" i="2"/>
  <c r="E429" i="2"/>
  <c r="D429" i="2" s="1"/>
  <c r="J429" i="2"/>
  <c r="N429" i="2"/>
  <c r="E430" i="2"/>
  <c r="D430" i="2" s="1"/>
  <c r="P430" i="2" s="1"/>
  <c r="J430" i="2"/>
  <c r="N430" i="2"/>
  <c r="D431" i="2"/>
  <c r="E431" i="2"/>
  <c r="J431" i="2"/>
  <c r="N431" i="2"/>
  <c r="P431" i="2"/>
  <c r="D432" i="2"/>
  <c r="E432" i="2"/>
  <c r="J432" i="2"/>
  <c r="N432" i="2"/>
  <c r="P432" i="2"/>
  <c r="E433" i="2"/>
  <c r="D433" i="2" s="1"/>
  <c r="J433" i="2"/>
  <c r="N433" i="2"/>
  <c r="E434" i="2"/>
  <c r="D434" i="2" s="1"/>
  <c r="P434" i="2" s="1"/>
  <c r="J434" i="2"/>
  <c r="N434" i="2"/>
  <c r="D435" i="2"/>
  <c r="E435" i="2"/>
  <c r="J435" i="2"/>
  <c r="N435" i="2"/>
  <c r="P435" i="2"/>
  <c r="D436" i="2"/>
  <c r="E436" i="2"/>
  <c r="J436" i="2"/>
  <c r="N436" i="2"/>
  <c r="P436" i="2"/>
  <c r="E437" i="2"/>
  <c r="D437" i="2" s="1"/>
  <c r="J437" i="2"/>
  <c r="N437" i="2"/>
  <c r="E438" i="2"/>
  <c r="D438" i="2" s="1"/>
  <c r="P438" i="2" s="1"/>
  <c r="J438" i="2"/>
  <c r="N438" i="2"/>
  <c r="D439" i="2"/>
  <c r="E439" i="2"/>
  <c r="J439" i="2"/>
  <c r="N439" i="2"/>
  <c r="P439" i="2"/>
  <c r="D440" i="2"/>
  <c r="E440" i="2"/>
  <c r="J440" i="2"/>
  <c r="N440" i="2"/>
  <c r="P440" i="2"/>
  <c r="E441" i="2"/>
  <c r="D441" i="2" s="1"/>
  <c r="J441" i="2"/>
  <c r="N441" i="2"/>
  <c r="E442" i="2"/>
  <c r="D442" i="2" s="1"/>
  <c r="P442" i="2" s="1"/>
  <c r="J442" i="2"/>
  <c r="N442" i="2"/>
  <c r="D443" i="2"/>
  <c r="E443" i="2"/>
  <c r="J443" i="2"/>
  <c r="N443" i="2"/>
  <c r="P443" i="2"/>
  <c r="D444" i="2"/>
  <c r="E444" i="2"/>
  <c r="J444" i="2"/>
  <c r="N444" i="2"/>
  <c r="P444" i="2"/>
  <c r="E445" i="2"/>
  <c r="D445" i="2" s="1"/>
  <c r="J445" i="2"/>
  <c r="N445" i="2"/>
  <c r="E446" i="2"/>
  <c r="D446" i="2" s="1"/>
  <c r="P446" i="2" s="1"/>
  <c r="J446" i="2"/>
  <c r="N446" i="2"/>
  <c r="D447" i="2"/>
  <c r="E447" i="2"/>
  <c r="J447" i="2"/>
  <c r="N447" i="2"/>
  <c r="P447" i="2"/>
  <c r="D448" i="2"/>
  <c r="E448" i="2"/>
  <c r="J448" i="2"/>
  <c r="N448" i="2"/>
  <c r="P448" i="2"/>
  <c r="E449" i="2"/>
  <c r="D449" i="2" s="1"/>
  <c r="J449" i="2"/>
  <c r="N449" i="2"/>
  <c r="E450" i="2"/>
  <c r="D450" i="2" s="1"/>
  <c r="P450" i="2" s="1"/>
  <c r="J450" i="2"/>
  <c r="N450" i="2"/>
  <c r="D451" i="2"/>
  <c r="E451" i="2"/>
  <c r="J451" i="2"/>
  <c r="N451" i="2"/>
  <c r="P451" i="2"/>
  <c r="D452" i="2"/>
  <c r="E452" i="2"/>
  <c r="J452" i="2"/>
  <c r="N452" i="2"/>
  <c r="P452" i="2"/>
  <c r="E453" i="2"/>
  <c r="D453" i="2" s="1"/>
  <c r="J453" i="2"/>
  <c r="N453" i="2"/>
  <c r="E454" i="2"/>
  <c r="D454" i="2" s="1"/>
  <c r="P454" i="2" s="1"/>
  <c r="J454" i="2"/>
  <c r="N454" i="2"/>
  <c r="D455" i="2"/>
  <c r="E455" i="2"/>
  <c r="J455" i="2"/>
  <c r="N455" i="2"/>
  <c r="P455" i="2"/>
  <c r="D456" i="2"/>
  <c r="E456" i="2"/>
  <c r="J456" i="2"/>
  <c r="N456" i="2"/>
  <c r="P456" i="2"/>
  <c r="E457" i="2"/>
  <c r="D457" i="2" s="1"/>
  <c r="J457" i="2"/>
  <c r="N457" i="2"/>
  <c r="E458" i="2"/>
  <c r="D458" i="2" s="1"/>
  <c r="P458" i="2" s="1"/>
  <c r="J458" i="2"/>
  <c r="N458" i="2"/>
  <c r="D459" i="2"/>
  <c r="E459" i="2"/>
  <c r="J459" i="2"/>
  <c r="N459" i="2"/>
  <c r="P459" i="2"/>
  <c r="D460" i="2"/>
  <c r="E460" i="2"/>
  <c r="J460" i="2"/>
  <c r="N460" i="2"/>
  <c r="P460" i="2"/>
  <c r="E461" i="2"/>
  <c r="D461" i="2" s="1"/>
  <c r="J461" i="2"/>
  <c r="N461" i="2"/>
  <c r="E462" i="2"/>
  <c r="D462" i="2" s="1"/>
  <c r="P462" i="2" s="1"/>
  <c r="J462" i="2"/>
  <c r="N462" i="2"/>
  <c r="D463" i="2"/>
  <c r="E463" i="2"/>
  <c r="J463" i="2"/>
  <c r="N463" i="2"/>
  <c r="P463" i="2"/>
  <c r="D464" i="2"/>
  <c r="E464" i="2"/>
  <c r="J464" i="2"/>
  <c r="N464" i="2"/>
  <c r="P464" i="2"/>
  <c r="E465" i="2"/>
  <c r="D465" i="2" s="1"/>
  <c r="J465" i="2"/>
  <c r="N465" i="2"/>
  <c r="E466" i="2"/>
  <c r="D466" i="2" s="1"/>
  <c r="P466" i="2" s="1"/>
  <c r="J466" i="2"/>
  <c r="N466" i="2"/>
  <c r="D467" i="2"/>
  <c r="E467" i="2"/>
  <c r="J467" i="2"/>
  <c r="N467" i="2"/>
  <c r="P467" i="2"/>
  <c r="D468" i="2"/>
  <c r="E468" i="2"/>
  <c r="J468" i="2"/>
  <c r="N468" i="2"/>
  <c r="P468" i="2"/>
  <c r="E469" i="2"/>
  <c r="D469" i="2" s="1"/>
  <c r="J469" i="2"/>
  <c r="N469" i="2"/>
  <c r="E470" i="2"/>
  <c r="D470" i="2" s="1"/>
  <c r="P470" i="2" s="1"/>
  <c r="J470" i="2"/>
  <c r="N470" i="2"/>
  <c r="D471" i="2"/>
  <c r="E471" i="2"/>
  <c r="J471" i="2"/>
  <c r="N471" i="2"/>
  <c r="P471" i="2"/>
  <c r="D472" i="2"/>
  <c r="E472" i="2"/>
  <c r="J472" i="2"/>
  <c r="N472" i="2"/>
  <c r="P472" i="2"/>
  <c r="E473" i="2"/>
  <c r="D473" i="2" s="1"/>
  <c r="J473" i="2"/>
  <c r="N473" i="2"/>
  <c r="E474" i="2"/>
  <c r="D474" i="2" s="1"/>
  <c r="P474" i="2" s="1"/>
  <c r="J474" i="2"/>
  <c r="N474" i="2"/>
  <c r="D475" i="2"/>
  <c r="E475" i="2"/>
  <c r="J475" i="2"/>
  <c r="N475" i="2"/>
  <c r="P475" i="2"/>
  <c r="D476" i="2"/>
  <c r="E476" i="2"/>
  <c r="J476" i="2"/>
  <c r="N476" i="2"/>
  <c r="P476" i="2"/>
  <c r="E477" i="2"/>
  <c r="D477" i="2" s="1"/>
  <c r="J477" i="2"/>
  <c r="N477" i="2"/>
  <c r="E478" i="2"/>
  <c r="D478" i="2" s="1"/>
  <c r="P478" i="2" s="1"/>
  <c r="J478" i="2"/>
  <c r="N478" i="2"/>
  <c r="D479" i="2"/>
  <c r="E479" i="2"/>
  <c r="J479" i="2"/>
  <c r="N479" i="2"/>
  <c r="P479" i="2"/>
  <c r="D480" i="2"/>
  <c r="E480" i="2"/>
  <c r="J480" i="2"/>
  <c r="N480" i="2"/>
  <c r="P480" i="2"/>
  <c r="E481" i="2"/>
  <c r="D481" i="2" s="1"/>
  <c r="J481" i="2"/>
  <c r="N481" i="2"/>
  <c r="E482" i="2"/>
  <c r="D482" i="2" s="1"/>
  <c r="P482" i="2" s="1"/>
  <c r="J482" i="2"/>
  <c r="N482" i="2"/>
  <c r="D483" i="2"/>
  <c r="E483" i="2"/>
  <c r="J483" i="2"/>
  <c r="N483" i="2"/>
  <c r="P483" i="2"/>
  <c r="D484" i="2"/>
  <c r="E484" i="2"/>
  <c r="J484" i="2"/>
  <c r="N484" i="2"/>
  <c r="P484" i="2"/>
  <c r="E485" i="2"/>
  <c r="D485" i="2" s="1"/>
  <c r="J485" i="2"/>
  <c r="N485" i="2"/>
  <c r="E486" i="2"/>
  <c r="D486" i="2" s="1"/>
  <c r="P486" i="2" s="1"/>
  <c r="J486" i="2"/>
  <c r="N486" i="2"/>
  <c r="D487" i="2"/>
  <c r="E487" i="2"/>
  <c r="J487" i="2"/>
  <c r="N487" i="2"/>
  <c r="P487" i="2"/>
  <c r="D488" i="2"/>
  <c r="E488" i="2"/>
  <c r="J488" i="2"/>
  <c r="N488" i="2"/>
  <c r="P488" i="2"/>
  <c r="E489" i="2"/>
  <c r="D489" i="2" s="1"/>
  <c r="J489" i="2"/>
  <c r="N489" i="2"/>
  <c r="E490" i="2"/>
  <c r="D490" i="2" s="1"/>
  <c r="P490" i="2" s="1"/>
  <c r="J490" i="2"/>
  <c r="N490" i="2"/>
  <c r="D491" i="2"/>
  <c r="E491" i="2"/>
  <c r="J491" i="2"/>
  <c r="N491" i="2"/>
  <c r="P491" i="2"/>
  <c r="D492" i="2"/>
  <c r="E492" i="2"/>
  <c r="J492" i="2"/>
  <c r="N492" i="2"/>
  <c r="P492" i="2"/>
  <c r="E493" i="2"/>
  <c r="D493" i="2" s="1"/>
  <c r="J493" i="2"/>
  <c r="N493" i="2"/>
  <c r="E494" i="2"/>
  <c r="D494" i="2" s="1"/>
  <c r="P494" i="2" s="1"/>
  <c r="J494" i="2"/>
  <c r="N494" i="2"/>
  <c r="D495" i="2"/>
  <c r="E495" i="2"/>
  <c r="J495" i="2"/>
  <c r="N495" i="2"/>
  <c r="P495" i="2"/>
  <c r="D496" i="2"/>
  <c r="E496" i="2"/>
  <c r="J496" i="2"/>
  <c r="N496" i="2"/>
  <c r="P496" i="2"/>
  <c r="E497" i="2"/>
  <c r="D497" i="2" s="1"/>
  <c r="J497" i="2"/>
  <c r="N497" i="2"/>
  <c r="E498" i="2"/>
  <c r="D498" i="2" s="1"/>
  <c r="P498" i="2" s="1"/>
  <c r="J498" i="2"/>
  <c r="N498" i="2"/>
  <c r="D499" i="2"/>
  <c r="E499" i="2"/>
  <c r="J499" i="2"/>
  <c r="N499" i="2"/>
  <c r="P499" i="2"/>
  <c r="D500" i="2"/>
  <c r="E500" i="2"/>
  <c r="J500" i="2"/>
  <c r="N500" i="2"/>
  <c r="P500" i="2"/>
  <c r="E501" i="2"/>
  <c r="D501" i="2" s="1"/>
  <c r="J501" i="2"/>
  <c r="N501" i="2"/>
  <c r="E502" i="2"/>
  <c r="D502" i="2" s="1"/>
  <c r="P502" i="2" s="1"/>
  <c r="J502" i="2"/>
  <c r="N502" i="2"/>
  <c r="D503" i="2"/>
  <c r="E503" i="2"/>
  <c r="J503" i="2"/>
  <c r="N503" i="2"/>
  <c r="P503" i="2"/>
  <c r="D504" i="2"/>
  <c r="E504" i="2"/>
  <c r="J504" i="2"/>
  <c r="N504" i="2"/>
  <c r="P504" i="2"/>
  <c r="E505" i="2"/>
  <c r="D505" i="2" s="1"/>
  <c r="J505" i="2"/>
  <c r="N505" i="2"/>
  <c r="E506" i="2"/>
  <c r="D506" i="2" s="1"/>
  <c r="P506" i="2" s="1"/>
  <c r="J506" i="2"/>
  <c r="N506" i="2"/>
  <c r="D507" i="2"/>
  <c r="E507" i="2"/>
  <c r="J507" i="2"/>
  <c r="N507" i="2"/>
  <c r="P507" i="2"/>
  <c r="D508" i="2"/>
  <c r="E508" i="2"/>
  <c r="J508" i="2"/>
  <c r="N508" i="2"/>
  <c r="P508" i="2"/>
  <c r="E509" i="2"/>
  <c r="D509" i="2" s="1"/>
  <c r="J509" i="2"/>
  <c r="N509" i="2"/>
  <c r="E510" i="2"/>
  <c r="D510" i="2" s="1"/>
  <c r="P510" i="2" s="1"/>
  <c r="J510" i="2"/>
  <c r="N510" i="2"/>
  <c r="D511" i="2"/>
  <c r="E511" i="2"/>
  <c r="J511" i="2"/>
  <c r="N511" i="2"/>
  <c r="P511" i="2"/>
  <c r="D512" i="2"/>
  <c r="E512" i="2"/>
  <c r="J512" i="2"/>
  <c r="N512" i="2"/>
  <c r="P512" i="2"/>
  <c r="E513" i="2"/>
  <c r="D513" i="2" s="1"/>
  <c r="J513" i="2"/>
  <c r="N513" i="2"/>
  <c r="E514" i="2"/>
  <c r="D514" i="2" s="1"/>
  <c r="J514" i="2"/>
  <c r="N514" i="2"/>
  <c r="P514" i="2"/>
  <c r="D515" i="2"/>
  <c r="E515" i="2"/>
  <c r="J515" i="2"/>
  <c r="N515" i="2"/>
  <c r="P515" i="2"/>
  <c r="D516" i="2"/>
  <c r="E516" i="2"/>
  <c r="J516" i="2"/>
  <c r="P516" i="2" s="1"/>
  <c r="N516" i="2"/>
  <c r="E517" i="2"/>
  <c r="D517" i="2" s="1"/>
  <c r="P517" i="2" s="1"/>
  <c r="J517" i="2"/>
  <c r="N517" i="2"/>
  <c r="E518" i="2"/>
  <c r="D518" i="2" s="1"/>
  <c r="P518" i="2" s="1"/>
  <c r="J518" i="2"/>
  <c r="N518" i="2"/>
  <c r="D519" i="2"/>
  <c r="E519" i="2"/>
  <c r="J519" i="2"/>
  <c r="N519" i="2"/>
  <c r="P519" i="2"/>
  <c r="D520" i="2"/>
  <c r="E520" i="2"/>
  <c r="J520" i="2"/>
  <c r="N520" i="2"/>
  <c r="P520" i="2"/>
  <c r="E521" i="2"/>
  <c r="D521" i="2" s="1"/>
  <c r="P521" i="2" s="1"/>
  <c r="J521" i="2"/>
  <c r="N521" i="2"/>
  <c r="D522" i="2"/>
  <c r="E522" i="2"/>
  <c r="J522" i="2"/>
  <c r="N522" i="2"/>
  <c r="P522" i="2"/>
  <c r="D523" i="2"/>
  <c r="E523" i="2"/>
  <c r="J523" i="2"/>
  <c r="N523" i="2"/>
  <c r="P523" i="2"/>
  <c r="D524" i="2"/>
  <c r="E524" i="2"/>
  <c r="J524" i="2"/>
  <c r="P524" i="2" s="1"/>
  <c r="N524" i="2"/>
  <c r="E525" i="2"/>
  <c r="D525" i="2" s="1"/>
  <c r="P525" i="2" s="1"/>
  <c r="J525" i="2"/>
  <c r="N525" i="2"/>
  <c r="E526" i="2"/>
  <c r="D526" i="2" s="1"/>
  <c r="P526" i="2" s="1"/>
  <c r="J526" i="2"/>
  <c r="N526" i="2"/>
  <c r="D527" i="2"/>
  <c r="E527" i="2"/>
  <c r="J527" i="2"/>
  <c r="N527" i="2"/>
  <c r="P527" i="2"/>
  <c r="D528" i="2"/>
  <c r="E528" i="2"/>
  <c r="J528" i="2"/>
  <c r="N528" i="2"/>
  <c r="P528" i="2"/>
  <c r="D529" i="2"/>
  <c r="E529" i="2"/>
  <c r="J529" i="2"/>
  <c r="P529" i="2" s="1"/>
  <c r="N529" i="2"/>
  <c r="E530" i="2"/>
  <c r="D530" i="2" s="1"/>
  <c r="P530" i="2" s="1"/>
  <c r="J530" i="2"/>
  <c r="N530" i="2"/>
  <c r="D531" i="2"/>
  <c r="E531" i="2"/>
  <c r="J531" i="2"/>
  <c r="N531" i="2"/>
  <c r="P531" i="2"/>
  <c r="D532" i="2"/>
  <c r="E532" i="2"/>
  <c r="J532" i="2"/>
  <c r="N532" i="2"/>
  <c r="P532" i="2"/>
  <c r="D533" i="2"/>
  <c r="E533" i="2"/>
  <c r="J533" i="2"/>
  <c r="P533" i="2" s="1"/>
  <c r="N533" i="2"/>
  <c r="E534" i="2"/>
  <c r="D534" i="2" s="1"/>
  <c r="P534" i="2" s="1"/>
  <c r="J534" i="2"/>
  <c r="N534" i="2"/>
  <c r="D535" i="2"/>
  <c r="E535" i="2"/>
  <c r="J535" i="2"/>
  <c r="N535" i="2"/>
  <c r="P535" i="2"/>
  <c r="D536" i="2"/>
  <c r="E536" i="2"/>
  <c r="J536" i="2"/>
  <c r="N536" i="2"/>
  <c r="P536" i="2"/>
  <c r="D537" i="2"/>
  <c r="E537" i="2"/>
  <c r="J537" i="2"/>
  <c r="P537" i="2" s="1"/>
  <c r="N537" i="2"/>
  <c r="E538" i="2"/>
  <c r="D538" i="2" s="1"/>
  <c r="P538" i="2" s="1"/>
  <c r="J538" i="2"/>
  <c r="N538" i="2"/>
  <c r="D539" i="2"/>
  <c r="E539" i="2"/>
  <c r="J539" i="2"/>
  <c r="N539" i="2"/>
  <c r="P539" i="2"/>
  <c r="D540" i="2"/>
  <c r="E540" i="2"/>
  <c r="J540" i="2"/>
  <c r="N540" i="2"/>
  <c r="P540" i="2"/>
  <c r="D541" i="2"/>
  <c r="E541" i="2"/>
  <c r="J541" i="2"/>
  <c r="P541" i="2" s="1"/>
  <c r="N541" i="2"/>
  <c r="E542" i="2"/>
  <c r="D542" i="2" s="1"/>
  <c r="P542" i="2" s="1"/>
  <c r="J542" i="2"/>
  <c r="N542" i="2"/>
  <c r="D543" i="2"/>
  <c r="E543" i="2"/>
  <c r="J543" i="2"/>
  <c r="N543" i="2"/>
  <c r="P543" i="2"/>
  <c r="D544" i="2"/>
  <c r="E544" i="2"/>
  <c r="J544" i="2"/>
  <c r="N544" i="2"/>
  <c r="P544" i="2"/>
  <c r="D545" i="2"/>
  <c r="E545" i="2"/>
  <c r="J545" i="2"/>
  <c r="P545" i="2" s="1"/>
  <c r="N545" i="2"/>
  <c r="E546" i="2"/>
  <c r="D546" i="2" s="1"/>
  <c r="P546" i="2" s="1"/>
  <c r="J546" i="2"/>
  <c r="N546" i="2"/>
  <c r="D547" i="2"/>
  <c r="E547" i="2"/>
  <c r="J547" i="2"/>
  <c r="N547" i="2"/>
  <c r="P547" i="2"/>
  <c r="D548" i="2"/>
  <c r="E548" i="2"/>
  <c r="J548" i="2"/>
  <c r="N548" i="2"/>
  <c r="P548" i="2"/>
  <c r="D549" i="2"/>
  <c r="E549" i="2"/>
  <c r="J549" i="2"/>
  <c r="P549" i="2" s="1"/>
  <c r="N549" i="2"/>
  <c r="E550" i="2"/>
  <c r="D550" i="2" s="1"/>
  <c r="P550" i="2" s="1"/>
  <c r="J550" i="2"/>
  <c r="N550" i="2"/>
  <c r="D551" i="2"/>
  <c r="E551" i="2"/>
  <c r="J551" i="2"/>
  <c r="N551" i="2"/>
  <c r="P551" i="2"/>
  <c r="D552" i="2"/>
  <c r="E552" i="2"/>
  <c r="J552" i="2"/>
  <c r="N552" i="2"/>
  <c r="P552" i="2"/>
  <c r="D553" i="2"/>
  <c r="E553" i="2"/>
  <c r="J553" i="2"/>
  <c r="P553" i="2" s="1"/>
  <c r="N553" i="2"/>
  <c r="E554" i="2"/>
  <c r="D554" i="2" s="1"/>
  <c r="P554" i="2" s="1"/>
  <c r="J554" i="2"/>
  <c r="N554" i="2"/>
  <c r="D555" i="2"/>
  <c r="E555" i="2"/>
  <c r="J555" i="2"/>
  <c r="N555" i="2"/>
  <c r="P555" i="2"/>
  <c r="D556" i="2"/>
  <c r="E556" i="2"/>
  <c r="J556" i="2"/>
  <c r="N556" i="2"/>
  <c r="P556" i="2"/>
  <c r="D557" i="2"/>
  <c r="E557" i="2"/>
  <c r="J557" i="2"/>
  <c r="P557" i="2" s="1"/>
  <c r="N557" i="2"/>
  <c r="E558" i="2"/>
  <c r="D558" i="2" s="1"/>
  <c r="P558" i="2" s="1"/>
  <c r="J558" i="2"/>
  <c r="N558" i="2"/>
  <c r="D559" i="2"/>
  <c r="E559" i="2"/>
  <c r="J559" i="2"/>
  <c r="N559" i="2"/>
  <c r="P559" i="2"/>
  <c r="D560" i="2"/>
  <c r="E560" i="2"/>
  <c r="J560" i="2"/>
  <c r="N560" i="2"/>
  <c r="P560" i="2"/>
  <c r="D561" i="2"/>
  <c r="E561" i="2"/>
  <c r="J561" i="2"/>
  <c r="P561" i="2" s="1"/>
  <c r="N561" i="2"/>
  <c r="E562" i="2"/>
  <c r="D562" i="2" s="1"/>
  <c r="P562" i="2" s="1"/>
  <c r="J562" i="2"/>
  <c r="N562" i="2"/>
  <c r="D563" i="2"/>
  <c r="E563" i="2"/>
  <c r="J563" i="2"/>
  <c r="N563" i="2"/>
  <c r="P563" i="2"/>
  <c r="D564" i="2"/>
  <c r="E564" i="2"/>
  <c r="J564" i="2"/>
  <c r="N564" i="2"/>
  <c r="P564" i="2"/>
  <c r="D565" i="2"/>
  <c r="E565" i="2"/>
  <c r="J565" i="2"/>
  <c r="P565" i="2" s="1"/>
  <c r="N565" i="2"/>
  <c r="E566" i="2"/>
  <c r="D566" i="2" s="1"/>
  <c r="P566" i="2" s="1"/>
  <c r="J566" i="2"/>
  <c r="N566" i="2"/>
  <c r="D567" i="2"/>
  <c r="E567" i="2"/>
  <c r="J567" i="2"/>
  <c r="N567" i="2"/>
  <c r="P567" i="2"/>
  <c r="D568" i="2"/>
  <c r="E568" i="2"/>
  <c r="J568" i="2"/>
  <c r="N568" i="2"/>
  <c r="P568" i="2"/>
  <c r="D569" i="2"/>
  <c r="E569" i="2"/>
  <c r="J569" i="2"/>
  <c r="P569" i="2" s="1"/>
  <c r="N569" i="2"/>
  <c r="E570" i="2"/>
  <c r="D570" i="2" s="1"/>
  <c r="P570" i="2" s="1"/>
  <c r="J570" i="2"/>
  <c r="N570" i="2"/>
  <c r="D571" i="2"/>
  <c r="E571" i="2"/>
  <c r="J571" i="2"/>
  <c r="N571" i="2"/>
  <c r="P571" i="2"/>
  <c r="D572" i="2"/>
  <c r="E572" i="2"/>
  <c r="J572" i="2"/>
  <c r="N572" i="2"/>
  <c r="P572" i="2"/>
  <c r="D573" i="2"/>
  <c r="E573" i="2"/>
  <c r="J573" i="2"/>
  <c r="P573" i="2" s="1"/>
  <c r="N573" i="2"/>
  <c r="E574" i="2"/>
  <c r="D574" i="2" s="1"/>
  <c r="P574" i="2" s="1"/>
  <c r="J574" i="2"/>
  <c r="N574" i="2"/>
  <c r="D575" i="2"/>
  <c r="E575" i="2"/>
  <c r="J575" i="2"/>
  <c r="N575" i="2"/>
  <c r="P575" i="2"/>
  <c r="D576" i="2"/>
  <c r="E576" i="2"/>
  <c r="J576" i="2"/>
  <c r="N576" i="2"/>
  <c r="P576" i="2"/>
  <c r="D577" i="2"/>
  <c r="E577" i="2"/>
  <c r="J577" i="2"/>
  <c r="P577" i="2" s="1"/>
  <c r="N577" i="2"/>
  <c r="E578" i="2"/>
  <c r="D578" i="2" s="1"/>
  <c r="P578" i="2" s="1"/>
  <c r="J578" i="2"/>
  <c r="N578" i="2"/>
  <c r="D579" i="2"/>
  <c r="E579" i="2"/>
  <c r="J579" i="2"/>
  <c r="N579" i="2"/>
  <c r="P579" i="2"/>
  <c r="D580" i="2"/>
  <c r="E580" i="2"/>
  <c r="J580" i="2"/>
  <c r="N580" i="2"/>
  <c r="P580" i="2"/>
  <c r="E581" i="2"/>
  <c r="D581" i="2" s="1"/>
  <c r="J581" i="2"/>
  <c r="N581" i="2"/>
  <c r="E582" i="2"/>
  <c r="D582" i="2" s="1"/>
  <c r="P582" i="2" s="1"/>
  <c r="J582" i="2"/>
  <c r="N582" i="2"/>
  <c r="D583" i="2"/>
  <c r="E583" i="2"/>
  <c r="J583" i="2"/>
  <c r="N583" i="2"/>
  <c r="P583" i="2"/>
  <c r="D584" i="2"/>
  <c r="E584" i="2"/>
  <c r="J584" i="2"/>
  <c r="N584" i="2"/>
  <c r="P584" i="2"/>
  <c r="E585" i="2"/>
  <c r="D585" i="2" s="1"/>
  <c r="J585" i="2"/>
  <c r="N585" i="2"/>
  <c r="E586" i="2"/>
  <c r="D586" i="2" s="1"/>
  <c r="P586" i="2" s="1"/>
  <c r="J586" i="2"/>
  <c r="N586" i="2"/>
  <c r="D587" i="2"/>
  <c r="E587" i="2"/>
  <c r="J587" i="2"/>
  <c r="N587" i="2"/>
  <c r="P587" i="2"/>
  <c r="D588" i="2"/>
  <c r="E588" i="2"/>
  <c r="J588" i="2"/>
  <c r="N588" i="2"/>
  <c r="P588" i="2"/>
  <c r="E589" i="2"/>
  <c r="D589" i="2" s="1"/>
  <c r="J589" i="2"/>
  <c r="N589" i="2"/>
  <c r="E590" i="2"/>
  <c r="D590" i="2" s="1"/>
  <c r="P590" i="2" s="1"/>
  <c r="J590" i="2"/>
  <c r="N590" i="2"/>
  <c r="D591" i="2"/>
  <c r="E591" i="2"/>
  <c r="J591" i="2"/>
  <c r="N591" i="2"/>
  <c r="P591" i="2"/>
  <c r="D592" i="2"/>
  <c r="E592" i="2"/>
  <c r="J592" i="2"/>
  <c r="N592" i="2"/>
  <c r="P592" i="2"/>
  <c r="E593" i="2"/>
  <c r="D593" i="2" s="1"/>
  <c r="J593" i="2"/>
  <c r="N593" i="2"/>
  <c r="E594" i="2"/>
  <c r="D594" i="2" s="1"/>
  <c r="P594" i="2" s="1"/>
  <c r="J594" i="2"/>
  <c r="N594" i="2"/>
  <c r="D595" i="2"/>
  <c r="E595" i="2"/>
  <c r="J595" i="2"/>
  <c r="N595" i="2"/>
  <c r="P595" i="2"/>
  <c r="D596" i="2"/>
  <c r="E596" i="2"/>
  <c r="J596" i="2"/>
  <c r="N596" i="2"/>
  <c r="P596" i="2"/>
  <c r="E597" i="2"/>
  <c r="D597" i="2" s="1"/>
  <c r="J597" i="2"/>
  <c r="N597" i="2"/>
  <c r="E598" i="2"/>
  <c r="D598" i="2" s="1"/>
  <c r="P598" i="2" s="1"/>
  <c r="J598" i="2"/>
  <c r="N598" i="2"/>
  <c r="D599" i="2"/>
  <c r="E599" i="2"/>
  <c r="J599" i="2"/>
  <c r="N599" i="2"/>
  <c r="P599" i="2"/>
  <c r="D600" i="2"/>
  <c r="E600" i="2"/>
  <c r="J600" i="2"/>
  <c r="N600" i="2"/>
  <c r="P600" i="2"/>
  <c r="E601" i="2"/>
  <c r="D601" i="2" s="1"/>
  <c r="J601" i="2"/>
  <c r="N601" i="2"/>
  <c r="E602" i="2"/>
  <c r="D602" i="2" s="1"/>
  <c r="P602" i="2" s="1"/>
  <c r="J602" i="2"/>
  <c r="N602" i="2"/>
  <c r="D603" i="2"/>
  <c r="E603" i="2"/>
  <c r="J603" i="2"/>
  <c r="N603" i="2"/>
  <c r="P603" i="2"/>
  <c r="D604" i="2"/>
  <c r="E604" i="2"/>
  <c r="J604" i="2"/>
  <c r="N604" i="2"/>
  <c r="P604" i="2"/>
  <c r="E605" i="2"/>
  <c r="D605" i="2" s="1"/>
  <c r="J605" i="2"/>
  <c r="N605" i="2"/>
  <c r="E606" i="2"/>
  <c r="D606" i="2" s="1"/>
  <c r="P606" i="2" s="1"/>
  <c r="J606" i="2"/>
  <c r="N606" i="2"/>
  <c r="D607" i="2"/>
  <c r="E607" i="2"/>
  <c r="J607" i="2"/>
  <c r="N607" i="2"/>
  <c r="P607" i="2"/>
  <c r="D608" i="2"/>
  <c r="E608" i="2"/>
  <c r="J608" i="2"/>
  <c r="N608" i="2"/>
  <c r="P608" i="2"/>
  <c r="E609" i="2"/>
  <c r="D609" i="2" s="1"/>
  <c r="J609" i="2"/>
  <c r="N609" i="2"/>
  <c r="E610" i="2"/>
  <c r="D610" i="2" s="1"/>
  <c r="P610" i="2" s="1"/>
  <c r="J610" i="2"/>
  <c r="N610" i="2"/>
  <c r="D611" i="2"/>
  <c r="E611" i="2"/>
  <c r="J611" i="2"/>
  <c r="N611" i="2"/>
  <c r="P611" i="2"/>
  <c r="D612" i="2"/>
  <c r="E612" i="2"/>
  <c r="J612" i="2"/>
  <c r="N612" i="2"/>
  <c r="P612" i="2"/>
  <c r="E613" i="2"/>
  <c r="D613" i="2" s="1"/>
  <c r="J613" i="2"/>
  <c r="N613" i="2"/>
  <c r="E614" i="2"/>
  <c r="D614" i="2" s="1"/>
  <c r="P614" i="2" s="1"/>
  <c r="J614" i="2"/>
  <c r="N614" i="2"/>
  <c r="D615" i="2"/>
  <c r="E615" i="2"/>
  <c r="J615" i="2"/>
  <c r="N615" i="2"/>
  <c r="P615" i="2"/>
  <c r="D616" i="2"/>
  <c r="E616" i="2"/>
  <c r="J616" i="2"/>
  <c r="N616" i="2"/>
  <c r="P616" i="2"/>
  <c r="E617" i="2"/>
  <c r="D617" i="2" s="1"/>
  <c r="J617" i="2"/>
  <c r="N617" i="2"/>
  <c r="E618" i="2"/>
  <c r="D618" i="2" s="1"/>
  <c r="P618" i="2" s="1"/>
  <c r="J618" i="2"/>
  <c r="N618" i="2"/>
  <c r="D619" i="2"/>
  <c r="E619" i="2"/>
  <c r="J619" i="2"/>
  <c r="N619" i="2"/>
  <c r="P619" i="2"/>
  <c r="D620" i="2"/>
  <c r="E620" i="2"/>
  <c r="J620" i="2"/>
  <c r="N620" i="2"/>
  <c r="P620" i="2"/>
  <c r="E621" i="2"/>
  <c r="D621" i="2" s="1"/>
  <c r="J621" i="2"/>
  <c r="N621" i="2"/>
  <c r="E622" i="2"/>
  <c r="D622" i="2" s="1"/>
  <c r="P622" i="2" s="1"/>
  <c r="J622" i="2"/>
  <c r="N622" i="2"/>
  <c r="D623" i="2"/>
  <c r="E623" i="2"/>
  <c r="J623" i="2"/>
  <c r="N623" i="2"/>
  <c r="P623" i="2"/>
  <c r="D624" i="2"/>
  <c r="E624" i="2"/>
  <c r="J624" i="2"/>
  <c r="N624" i="2"/>
  <c r="P624" i="2"/>
  <c r="E625" i="2"/>
  <c r="D625" i="2" s="1"/>
  <c r="J625" i="2"/>
  <c r="N625" i="2"/>
  <c r="E626" i="2"/>
  <c r="D626" i="2" s="1"/>
  <c r="P626" i="2" s="1"/>
  <c r="J626" i="2"/>
  <c r="N626" i="2"/>
  <c r="D627" i="2"/>
  <c r="E627" i="2"/>
  <c r="J627" i="2"/>
  <c r="N627" i="2"/>
  <c r="P627" i="2"/>
  <c r="D628" i="2"/>
  <c r="E628" i="2"/>
  <c r="J628" i="2"/>
  <c r="N628" i="2"/>
  <c r="P628" i="2"/>
  <c r="E629" i="2"/>
  <c r="D629" i="2" s="1"/>
  <c r="J629" i="2"/>
  <c r="N629" i="2"/>
  <c r="E630" i="2"/>
  <c r="D630" i="2" s="1"/>
  <c r="P630" i="2" s="1"/>
  <c r="J630" i="2"/>
  <c r="N630" i="2"/>
  <c r="D631" i="2"/>
  <c r="E631" i="2"/>
  <c r="J631" i="2"/>
  <c r="N631" i="2"/>
  <c r="P631" i="2"/>
  <c r="D632" i="2"/>
  <c r="E632" i="2"/>
  <c r="J632" i="2"/>
  <c r="N632" i="2"/>
  <c r="P632" i="2"/>
  <c r="E633" i="2"/>
  <c r="D633" i="2" s="1"/>
  <c r="J633" i="2"/>
  <c r="N633" i="2"/>
  <c r="E634" i="2"/>
  <c r="D634" i="2" s="1"/>
  <c r="P634" i="2" s="1"/>
  <c r="J634" i="2"/>
  <c r="N634" i="2"/>
  <c r="D635" i="2"/>
  <c r="E635" i="2"/>
  <c r="J635" i="2"/>
  <c r="N635" i="2"/>
  <c r="P635" i="2"/>
  <c r="D636" i="2"/>
  <c r="E636" i="2"/>
  <c r="J636" i="2"/>
  <c r="N636" i="2"/>
  <c r="P636" i="2"/>
  <c r="E637" i="2"/>
  <c r="D637" i="2" s="1"/>
  <c r="J637" i="2"/>
  <c r="N637" i="2"/>
  <c r="E638" i="2"/>
  <c r="D638" i="2" s="1"/>
  <c r="P638" i="2" s="1"/>
  <c r="J638" i="2"/>
  <c r="N638" i="2"/>
  <c r="D639" i="2"/>
  <c r="E639" i="2"/>
  <c r="J639" i="2"/>
  <c r="N639" i="2"/>
  <c r="P639" i="2"/>
  <c r="D640" i="2"/>
  <c r="E640" i="2"/>
  <c r="J640" i="2"/>
  <c r="N640" i="2"/>
  <c r="P640" i="2"/>
  <c r="E641" i="2"/>
  <c r="D641" i="2" s="1"/>
  <c r="J641" i="2"/>
  <c r="N641" i="2"/>
  <c r="E642" i="2"/>
  <c r="D642" i="2" s="1"/>
  <c r="P642" i="2" s="1"/>
  <c r="J642" i="2"/>
  <c r="N642" i="2"/>
  <c r="D643" i="2"/>
  <c r="E643" i="2"/>
  <c r="J643" i="2"/>
  <c r="N643" i="2"/>
  <c r="P643" i="2"/>
  <c r="D644" i="2"/>
  <c r="E644" i="2"/>
  <c r="J644" i="2"/>
  <c r="N644" i="2"/>
  <c r="P644" i="2"/>
  <c r="E645" i="2"/>
  <c r="D645" i="2" s="1"/>
  <c r="J645" i="2"/>
  <c r="N645" i="2"/>
  <c r="E646" i="2"/>
  <c r="D646" i="2" s="1"/>
  <c r="P646" i="2" s="1"/>
  <c r="J646" i="2"/>
  <c r="N646" i="2"/>
  <c r="D647" i="2"/>
  <c r="E647" i="2"/>
  <c r="J647" i="2"/>
  <c r="N647" i="2"/>
  <c r="P647" i="2"/>
  <c r="D648" i="2"/>
  <c r="E648" i="2"/>
  <c r="J648" i="2"/>
  <c r="N648" i="2"/>
  <c r="P648" i="2"/>
  <c r="E649" i="2"/>
  <c r="D649" i="2" s="1"/>
  <c r="J649" i="2"/>
  <c r="N649" i="2"/>
  <c r="E650" i="2"/>
  <c r="D650" i="2" s="1"/>
  <c r="P650" i="2" s="1"/>
  <c r="J650" i="2"/>
  <c r="N650" i="2"/>
  <c r="D651" i="2"/>
  <c r="E651" i="2"/>
  <c r="J651" i="2"/>
  <c r="N651" i="2"/>
  <c r="P651" i="2"/>
  <c r="D652" i="2"/>
  <c r="E652" i="2"/>
  <c r="J652" i="2"/>
  <c r="N652" i="2"/>
  <c r="P652" i="2"/>
  <c r="E653" i="2"/>
  <c r="D653" i="2" s="1"/>
  <c r="J653" i="2"/>
  <c r="N653" i="2"/>
  <c r="E654" i="2"/>
  <c r="D654" i="2" s="1"/>
  <c r="P654" i="2" s="1"/>
  <c r="J654" i="2"/>
  <c r="N654" i="2"/>
  <c r="D655" i="2"/>
  <c r="E655" i="2"/>
  <c r="J655" i="2"/>
  <c r="N655" i="2"/>
  <c r="P655" i="2"/>
  <c r="D656" i="2"/>
  <c r="E656" i="2"/>
  <c r="J656" i="2"/>
  <c r="N656" i="2"/>
  <c r="P656" i="2"/>
  <c r="E657" i="2"/>
  <c r="D657" i="2" s="1"/>
  <c r="J657" i="2"/>
  <c r="N657" i="2"/>
  <c r="E658" i="2"/>
  <c r="D658" i="2" s="1"/>
  <c r="P658" i="2" s="1"/>
  <c r="J658" i="2"/>
  <c r="N658" i="2"/>
  <c r="D659" i="2"/>
  <c r="E659" i="2"/>
  <c r="J659" i="2"/>
  <c r="N659" i="2"/>
  <c r="P659" i="2"/>
  <c r="D660" i="2"/>
  <c r="E660" i="2"/>
  <c r="J660" i="2"/>
  <c r="N660" i="2"/>
  <c r="P660" i="2"/>
  <c r="E661" i="2"/>
  <c r="D661" i="2" s="1"/>
  <c r="J661" i="2"/>
  <c r="N661" i="2"/>
  <c r="E662" i="2"/>
  <c r="D662" i="2" s="1"/>
  <c r="P662" i="2" s="1"/>
  <c r="J662" i="2"/>
  <c r="N662" i="2"/>
  <c r="D663" i="2"/>
  <c r="E663" i="2"/>
  <c r="J663" i="2"/>
  <c r="N663" i="2"/>
  <c r="P663" i="2"/>
  <c r="D664" i="2"/>
  <c r="E664" i="2"/>
  <c r="J664" i="2"/>
  <c r="N664" i="2"/>
  <c r="P664" i="2"/>
  <c r="E665" i="2"/>
  <c r="D665" i="2" s="1"/>
  <c r="J665" i="2"/>
  <c r="N665" i="2"/>
  <c r="E666" i="2"/>
  <c r="D666" i="2" s="1"/>
  <c r="P666" i="2" s="1"/>
  <c r="J666" i="2"/>
  <c r="N666" i="2"/>
  <c r="D667" i="2"/>
  <c r="E667" i="2"/>
  <c r="J667" i="2"/>
  <c r="N667" i="2"/>
  <c r="P667" i="2"/>
  <c r="D668" i="2"/>
  <c r="E668" i="2"/>
  <c r="J668" i="2"/>
  <c r="N668" i="2"/>
  <c r="P668" i="2"/>
  <c r="E669" i="2"/>
  <c r="D669" i="2" s="1"/>
  <c r="J669" i="2"/>
  <c r="N669" i="2"/>
  <c r="E670" i="2"/>
  <c r="D670" i="2" s="1"/>
  <c r="P670" i="2" s="1"/>
  <c r="J670" i="2"/>
  <c r="N670" i="2"/>
  <c r="D671" i="2"/>
  <c r="E671" i="2"/>
  <c r="J671" i="2"/>
  <c r="N671" i="2"/>
  <c r="P671" i="2"/>
  <c r="D672" i="2"/>
  <c r="E672" i="2"/>
  <c r="J672" i="2"/>
  <c r="N672" i="2"/>
  <c r="P672" i="2"/>
  <c r="E673" i="2"/>
  <c r="D673" i="2" s="1"/>
  <c r="J673" i="2"/>
  <c r="N673" i="2"/>
  <c r="E674" i="2"/>
  <c r="D674" i="2" s="1"/>
  <c r="P674" i="2" s="1"/>
  <c r="J674" i="2"/>
  <c r="N674" i="2"/>
  <c r="D675" i="2"/>
  <c r="E675" i="2"/>
  <c r="J675" i="2"/>
  <c r="N675" i="2"/>
  <c r="P675" i="2"/>
  <c r="D676" i="2"/>
  <c r="E676" i="2"/>
  <c r="J676" i="2"/>
  <c r="N676" i="2"/>
  <c r="P676" i="2"/>
  <c r="E677" i="2"/>
  <c r="D677" i="2" s="1"/>
  <c r="J677" i="2"/>
  <c r="N677" i="2"/>
  <c r="E678" i="2"/>
  <c r="D678" i="2" s="1"/>
  <c r="P678" i="2" s="1"/>
  <c r="J678" i="2"/>
  <c r="N678" i="2"/>
  <c r="D679" i="2"/>
  <c r="E679" i="2"/>
  <c r="J679" i="2"/>
  <c r="N679" i="2"/>
  <c r="P679" i="2"/>
  <c r="D680" i="2"/>
  <c r="E680" i="2"/>
  <c r="J680" i="2"/>
  <c r="N680" i="2"/>
  <c r="P680" i="2"/>
  <c r="E681" i="2"/>
  <c r="D681" i="2" s="1"/>
  <c r="J681" i="2"/>
  <c r="N681" i="2"/>
  <c r="E682" i="2"/>
  <c r="D682" i="2" s="1"/>
  <c r="P682" i="2" s="1"/>
  <c r="J682" i="2"/>
  <c r="N682" i="2"/>
  <c r="D683" i="2"/>
  <c r="E683" i="2"/>
  <c r="J683" i="2"/>
  <c r="N683" i="2"/>
  <c r="P683" i="2"/>
  <c r="D684" i="2"/>
  <c r="E684" i="2"/>
  <c r="J684" i="2"/>
  <c r="N684" i="2"/>
  <c r="P684" i="2"/>
  <c r="E685" i="2"/>
  <c r="D685" i="2" s="1"/>
  <c r="J685" i="2"/>
  <c r="N685" i="2"/>
  <c r="E686" i="2"/>
  <c r="D686" i="2" s="1"/>
  <c r="P686" i="2" s="1"/>
  <c r="J686" i="2"/>
  <c r="N686" i="2"/>
  <c r="D687" i="2"/>
  <c r="E687" i="2"/>
  <c r="J687" i="2"/>
  <c r="N687" i="2"/>
  <c r="P687" i="2"/>
  <c r="D688" i="2"/>
  <c r="E688" i="2"/>
  <c r="J688" i="2"/>
  <c r="N688" i="2"/>
  <c r="P688" i="2"/>
  <c r="E689" i="2"/>
  <c r="D689" i="2" s="1"/>
  <c r="J689" i="2"/>
  <c r="N689" i="2"/>
  <c r="E690" i="2"/>
  <c r="D690" i="2" s="1"/>
  <c r="P690" i="2" s="1"/>
  <c r="J690" i="2"/>
  <c r="N690" i="2"/>
  <c r="D691" i="2"/>
  <c r="E691" i="2"/>
  <c r="J691" i="2"/>
  <c r="N691" i="2"/>
  <c r="P691" i="2"/>
  <c r="D692" i="2"/>
  <c r="E692" i="2"/>
  <c r="J692" i="2"/>
  <c r="N692" i="2"/>
  <c r="P692" i="2"/>
  <c r="E693" i="2"/>
  <c r="D693" i="2" s="1"/>
  <c r="J693" i="2"/>
  <c r="N693" i="2"/>
  <c r="E694" i="2"/>
  <c r="D694" i="2" s="1"/>
  <c r="P694" i="2" s="1"/>
  <c r="J694" i="2"/>
  <c r="N694" i="2"/>
  <c r="D695" i="2"/>
  <c r="E695" i="2"/>
  <c r="J695" i="2"/>
  <c r="N695" i="2"/>
  <c r="P695" i="2"/>
  <c r="D696" i="2"/>
  <c r="E696" i="2"/>
  <c r="J696" i="2"/>
  <c r="N696" i="2"/>
  <c r="P696" i="2"/>
  <c r="E697" i="2"/>
  <c r="D697" i="2" s="1"/>
  <c r="J697" i="2"/>
  <c r="N697" i="2"/>
  <c r="E698" i="2"/>
  <c r="D698" i="2" s="1"/>
  <c r="P698" i="2" s="1"/>
  <c r="J698" i="2"/>
  <c r="N698" i="2"/>
  <c r="D699" i="2"/>
  <c r="E699" i="2"/>
  <c r="J699" i="2"/>
  <c r="N699" i="2"/>
  <c r="P699" i="2"/>
  <c r="D700" i="2"/>
  <c r="E700" i="2"/>
  <c r="J700" i="2"/>
  <c r="N700" i="2"/>
  <c r="P700" i="2"/>
  <c r="E701" i="2"/>
  <c r="D701" i="2" s="1"/>
  <c r="J701" i="2"/>
  <c r="N701" i="2"/>
  <c r="E702" i="2"/>
  <c r="D702" i="2" s="1"/>
  <c r="P702" i="2" s="1"/>
  <c r="J702" i="2"/>
  <c r="N702" i="2"/>
  <c r="D703" i="2"/>
  <c r="E703" i="2"/>
  <c r="J703" i="2"/>
  <c r="N703" i="2"/>
  <c r="P703" i="2"/>
  <c r="D704" i="2"/>
  <c r="E704" i="2"/>
  <c r="J704" i="2"/>
  <c r="N704" i="2"/>
  <c r="P704" i="2"/>
  <c r="E705" i="2"/>
  <c r="D705" i="2" s="1"/>
  <c r="J705" i="2"/>
  <c r="N705" i="2"/>
  <c r="E706" i="2"/>
  <c r="D706" i="2" s="1"/>
  <c r="P706" i="2" s="1"/>
  <c r="J706" i="2"/>
  <c r="N706" i="2"/>
  <c r="D707" i="2"/>
  <c r="E707" i="2"/>
  <c r="J707" i="2"/>
  <c r="N707" i="2"/>
  <c r="P707" i="2"/>
  <c r="D708" i="2"/>
  <c r="E708" i="2"/>
  <c r="J708" i="2"/>
  <c r="N708" i="2"/>
  <c r="P708" i="2"/>
  <c r="E709" i="2"/>
  <c r="D709" i="2" s="1"/>
  <c r="J709" i="2"/>
  <c r="N709" i="2"/>
  <c r="E710" i="2"/>
  <c r="D710" i="2" s="1"/>
  <c r="P710" i="2" s="1"/>
  <c r="J710" i="2"/>
  <c r="N710" i="2"/>
  <c r="D711" i="2"/>
  <c r="E711" i="2"/>
  <c r="J711" i="2"/>
  <c r="N711" i="2"/>
  <c r="P711" i="2"/>
  <c r="D712" i="2"/>
  <c r="E712" i="2"/>
  <c r="J712" i="2"/>
  <c r="N712" i="2"/>
  <c r="P712" i="2"/>
  <c r="E713" i="2"/>
  <c r="D713" i="2" s="1"/>
  <c r="J713" i="2"/>
  <c r="N713" i="2"/>
  <c r="E714" i="2"/>
  <c r="D714" i="2" s="1"/>
  <c r="P714" i="2" s="1"/>
  <c r="J714" i="2"/>
  <c r="N714" i="2"/>
  <c r="D715" i="2"/>
  <c r="E715" i="2"/>
  <c r="J715" i="2"/>
  <c r="N715" i="2"/>
  <c r="P715" i="2"/>
  <c r="D716" i="2"/>
  <c r="E716" i="2"/>
  <c r="J716" i="2"/>
  <c r="N716" i="2"/>
  <c r="P716" i="2"/>
  <c r="E717" i="2"/>
  <c r="D717" i="2" s="1"/>
  <c r="J717" i="2"/>
  <c r="N717" i="2"/>
  <c r="E718" i="2"/>
  <c r="D718" i="2" s="1"/>
  <c r="P718" i="2" s="1"/>
  <c r="J718" i="2"/>
  <c r="N718" i="2"/>
  <c r="D719" i="2"/>
  <c r="E719" i="2"/>
  <c r="J719" i="2"/>
  <c r="N719" i="2"/>
  <c r="P719" i="2"/>
  <c r="D720" i="2"/>
  <c r="E720" i="2"/>
  <c r="J720" i="2"/>
  <c r="N720" i="2"/>
  <c r="P720" i="2"/>
  <c r="E721" i="2"/>
  <c r="D721" i="2" s="1"/>
  <c r="J721" i="2"/>
  <c r="N721" i="2"/>
  <c r="E722" i="2"/>
  <c r="D722" i="2" s="1"/>
  <c r="P722" i="2" s="1"/>
  <c r="J722" i="2"/>
  <c r="N722" i="2"/>
  <c r="D723" i="2"/>
  <c r="E723" i="2"/>
  <c r="J723" i="2"/>
  <c r="N723" i="2"/>
  <c r="P723" i="2"/>
  <c r="D724" i="2"/>
  <c r="E724" i="2"/>
  <c r="J724" i="2"/>
  <c r="N724" i="2"/>
  <c r="P724" i="2"/>
  <c r="E725" i="2"/>
  <c r="D725" i="2" s="1"/>
  <c r="J725" i="2"/>
  <c r="N725" i="2"/>
  <c r="E726" i="2"/>
  <c r="D726" i="2" s="1"/>
  <c r="P726" i="2" s="1"/>
  <c r="J726" i="2"/>
  <c r="N726" i="2"/>
  <c r="D727" i="2"/>
  <c r="E727" i="2"/>
  <c r="J727" i="2"/>
  <c r="N727" i="2"/>
  <c r="P727" i="2"/>
  <c r="D728" i="2"/>
  <c r="E728" i="2"/>
  <c r="J728" i="2"/>
  <c r="N728" i="2"/>
  <c r="P728" i="2"/>
  <c r="E729" i="2"/>
  <c r="D729" i="2" s="1"/>
  <c r="J729" i="2"/>
  <c r="N729" i="2"/>
  <c r="E730" i="2"/>
  <c r="D730" i="2" s="1"/>
  <c r="P730" i="2" s="1"/>
  <c r="J730" i="2"/>
  <c r="N730" i="2"/>
  <c r="D731" i="2"/>
  <c r="E731" i="2"/>
  <c r="J731" i="2"/>
  <c r="N731" i="2"/>
  <c r="P731" i="2"/>
  <c r="D732" i="2"/>
  <c r="E732" i="2"/>
  <c r="J732" i="2"/>
  <c r="N732" i="2"/>
  <c r="P732" i="2"/>
  <c r="E733" i="2"/>
  <c r="D733" i="2" s="1"/>
  <c r="J733" i="2"/>
  <c r="N733" i="2"/>
  <c r="E734" i="2"/>
  <c r="D734" i="2" s="1"/>
  <c r="P734" i="2" s="1"/>
  <c r="J734" i="2"/>
  <c r="N734" i="2"/>
  <c r="D735" i="2"/>
  <c r="E735" i="2"/>
  <c r="J735" i="2"/>
  <c r="N735" i="2"/>
  <c r="P735" i="2"/>
  <c r="D736" i="2"/>
  <c r="E736" i="2"/>
  <c r="J736" i="2"/>
  <c r="N736" i="2"/>
  <c r="P736" i="2"/>
  <c r="E737" i="2"/>
  <c r="D737" i="2" s="1"/>
  <c r="J737" i="2"/>
  <c r="N737" i="2"/>
  <c r="E738" i="2"/>
  <c r="D738" i="2" s="1"/>
  <c r="P738" i="2" s="1"/>
  <c r="J738" i="2"/>
  <c r="N738" i="2"/>
  <c r="D739" i="2"/>
  <c r="E739" i="2"/>
  <c r="J739" i="2"/>
  <c r="N739" i="2"/>
  <c r="P739" i="2"/>
  <c r="D740" i="2"/>
  <c r="E740" i="2"/>
  <c r="J740" i="2"/>
  <c r="N740" i="2"/>
  <c r="P740" i="2"/>
  <c r="E741" i="2"/>
  <c r="D741" i="2" s="1"/>
  <c r="J741" i="2"/>
  <c r="N741" i="2"/>
  <c r="E742" i="2"/>
  <c r="D742" i="2" s="1"/>
  <c r="P742" i="2" s="1"/>
  <c r="J742" i="2"/>
  <c r="N742" i="2"/>
  <c r="D743" i="2"/>
  <c r="E743" i="2"/>
  <c r="J743" i="2"/>
  <c r="N743" i="2"/>
  <c r="P743" i="2"/>
  <c r="D744" i="2"/>
  <c r="E744" i="2"/>
  <c r="J744" i="2"/>
  <c r="N744" i="2"/>
  <c r="P744" i="2"/>
  <c r="E745" i="2"/>
  <c r="D745" i="2" s="1"/>
  <c r="J745" i="2"/>
  <c r="N745" i="2"/>
  <c r="E746" i="2"/>
  <c r="D746" i="2" s="1"/>
  <c r="P746" i="2" s="1"/>
  <c r="J746" i="2"/>
  <c r="N746" i="2"/>
  <c r="D747" i="2"/>
  <c r="E747" i="2"/>
  <c r="J747" i="2"/>
  <c r="N747" i="2"/>
  <c r="P747" i="2"/>
  <c r="D748" i="2"/>
  <c r="E748" i="2"/>
  <c r="J748" i="2"/>
  <c r="N748" i="2"/>
  <c r="P748" i="2"/>
  <c r="E749" i="2"/>
  <c r="D749" i="2" s="1"/>
  <c r="J749" i="2"/>
  <c r="N749" i="2"/>
  <c r="E750" i="2"/>
  <c r="D750" i="2" s="1"/>
  <c r="P750" i="2" s="1"/>
  <c r="J750" i="2"/>
  <c r="N750" i="2"/>
  <c r="D751" i="2"/>
  <c r="E751" i="2"/>
  <c r="J751" i="2"/>
  <c r="N751" i="2"/>
  <c r="P751" i="2"/>
  <c r="D752" i="2"/>
  <c r="E752" i="2"/>
  <c r="J752" i="2"/>
  <c r="N752" i="2"/>
  <c r="P752" i="2"/>
  <c r="E753" i="2"/>
  <c r="D753" i="2" s="1"/>
  <c r="J753" i="2"/>
  <c r="N753" i="2"/>
  <c r="E754" i="2"/>
  <c r="D754" i="2" s="1"/>
  <c r="P754" i="2" s="1"/>
  <c r="J754" i="2"/>
  <c r="N754" i="2"/>
  <c r="D755" i="2"/>
  <c r="E755" i="2"/>
  <c r="J755" i="2"/>
  <c r="N755" i="2"/>
  <c r="P755" i="2"/>
  <c r="D756" i="2"/>
  <c r="E756" i="2"/>
  <c r="J756" i="2"/>
  <c r="N756" i="2"/>
  <c r="P756" i="2"/>
  <c r="E757" i="2"/>
  <c r="D757" i="2" s="1"/>
  <c r="J757" i="2"/>
  <c r="N757" i="2"/>
  <c r="E758" i="2"/>
  <c r="D758" i="2" s="1"/>
  <c r="P758" i="2" s="1"/>
  <c r="J758" i="2"/>
  <c r="N758" i="2"/>
  <c r="D759" i="2"/>
  <c r="E759" i="2"/>
  <c r="J759" i="2"/>
  <c r="N759" i="2"/>
  <c r="P759" i="2"/>
  <c r="D760" i="2"/>
  <c r="E760" i="2"/>
  <c r="J760" i="2"/>
  <c r="N760" i="2"/>
  <c r="P760" i="2"/>
  <c r="E761" i="2"/>
  <c r="D761" i="2" s="1"/>
  <c r="J761" i="2"/>
  <c r="N761" i="2"/>
  <c r="E762" i="2"/>
  <c r="D762" i="2" s="1"/>
  <c r="P762" i="2" s="1"/>
  <c r="J762" i="2"/>
  <c r="N762" i="2"/>
  <c r="D763" i="2"/>
  <c r="E763" i="2"/>
  <c r="J763" i="2"/>
  <c r="N763" i="2"/>
  <c r="P763" i="2"/>
  <c r="D764" i="2"/>
  <c r="E764" i="2"/>
  <c r="J764" i="2"/>
  <c r="N764" i="2"/>
  <c r="P764" i="2"/>
  <c r="E765" i="2"/>
  <c r="D765" i="2" s="1"/>
  <c r="J765" i="2"/>
  <c r="N765" i="2"/>
  <c r="E766" i="2"/>
  <c r="D766" i="2" s="1"/>
  <c r="P766" i="2" s="1"/>
  <c r="J766" i="2"/>
  <c r="N766" i="2"/>
  <c r="D767" i="2"/>
  <c r="E767" i="2"/>
  <c r="J767" i="2"/>
  <c r="N767" i="2"/>
  <c r="P767" i="2"/>
  <c r="D768" i="2"/>
  <c r="E768" i="2"/>
  <c r="J768" i="2"/>
  <c r="N768" i="2"/>
  <c r="P768" i="2"/>
  <c r="E769" i="2"/>
  <c r="D769" i="2" s="1"/>
  <c r="J769" i="2"/>
  <c r="N769" i="2"/>
  <c r="E770" i="2"/>
  <c r="D770" i="2" s="1"/>
  <c r="P770" i="2" s="1"/>
  <c r="J770" i="2"/>
  <c r="N770" i="2"/>
  <c r="D771" i="2"/>
  <c r="E771" i="2"/>
  <c r="J771" i="2"/>
  <c r="N771" i="2"/>
  <c r="P771" i="2"/>
  <c r="D772" i="2"/>
  <c r="E772" i="2"/>
  <c r="J772" i="2"/>
  <c r="N772" i="2"/>
  <c r="P772" i="2"/>
  <c r="E773" i="2"/>
  <c r="D773" i="2" s="1"/>
  <c r="J773" i="2"/>
  <c r="N773" i="2"/>
  <c r="E774" i="2"/>
  <c r="D774" i="2" s="1"/>
  <c r="J774" i="2"/>
  <c r="N774" i="2"/>
  <c r="P774" i="2"/>
  <c r="D775" i="2"/>
  <c r="E775" i="2"/>
  <c r="J775" i="2"/>
  <c r="N775" i="2"/>
  <c r="P775" i="2"/>
  <c r="D776" i="2"/>
  <c r="E776" i="2"/>
  <c r="J776" i="2"/>
  <c r="P776" i="2" s="1"/>
  <c r="N776" i="2"/>
  <c r="E777" i="2"/>
  <c r="D777" i="2" s="1"/>
  <c r="P777" i="2" s="1"/>
  <c r="J777" i="2"/>
  <c r="N777" i="2"/>
  <c r="E778" i="2"/>
  <c r="D778" i="2" s="1"/>
  <c r="P778" i="2" s="1"/>
  <c r="J778" i="2"/>
  <c r="N778" i="2"/>
  <c r="E779" i="2"/>
  <c r="D779" i="2" s="1"/>
  <c r="P779" i="2" s="1"/>
  <c r="J779" i="2"/>
  <c r="N779" i="2"/>
  <c r="D780" i="2"/>
  <c r="E780" i="2"/>
  <c r="J780" i="2"/>
  <c r="N780" i="2"/>
  <c r="P780" i="2"/>
  <c r="E781" i="2"/>
  <c r="D781" i="2" s="1"/>
  <c r="P781" i="2" s="1"/>
  <c r="J781" i="2"/>
  <c r="N781" i="2"/>
  <c r="D782" i="2"/>
  <c r="E782" i="2"/>
  <c r="J782" i="2"/>
  <c r="N782" i="2"/>
  <c r="P782" i="2"/>
  <c r="D783" i="2"/>
  <c r="E783" i="2"/>
  <c r="J783" i="2"/>
  <c r="N783" i="2"/>
  <c r="P783" i="2"/>
  <c r="D784" i="2"/>
  <c r="E784" i="2"/>
  <c r="J784" i="2"/>
  <c r="P784" i="2" s="1"/>
  <c r="N784" i="2"/>
  <c r="E785" i="2"/>
  <c r="D785" i="2" s="1"/>
  <c r="J785" i="2"/>
  <c r="N785" i="2"/>
  <c r="E786" i="2"/>
  <c r="D786" i="2" s="1"/>
  <c r="P786" i="2" s="1"/>
  <c r="J786" i="2"/>
  <c r="N786" i="2"/>
  <c r="E787" i="2"/>
  <c r="D787" i="2" s="1"/>
  <c r="P787" i="2" s="1"/>
  <c r="J787" i="2"/>
  <c r="N787" i="2"/>
  <c r="D788" i="2"/>
  <c r="E788" i="2"/>
  <c r="J788" i="2"/>
  <c r="N788" i="2"/>
  <c r="P788" i="2"/>
  <c r="E789" i="2"/>
  <c r="D789" i="2" s="1"/>
  <c r="P789" i="2" s="1"/>
  <c r="J789" i="2"/>
  <c r="N789" i="2"/>
  <c r="D790" i="2"/>
  <c r="E790" i="2"/>
  <c r="J790" i="2"/>
  <c r="N790" i="2"/>
  <c r="P790" i="2"/>
  <c r="D791" i="2"/>
  <c r="E791" i="2"/>
  <c r="J791" i="2"/>
  <c r="N791" i="2"/>
  <c r="P791" i="2"/>
  <c r="D792" i="2"/>
  <c r="E792" i="2"/>
  <c r="J792" i="2"/>
  <c r="P792" i="2" s="1"/>
  <c r="N792" i="2"/>
  <c r="E793" i="2"/>
  <c r="D793" i="2" s="1"/>
  <c r="J793" i="2"/>
  <c r="N793" i="2"/>
  <c r="E794" i="2"/>
  <c r="D794" i="2" s="1"/>
  <c r="P794" i="2" s="1"/>
  <c r="J794" i="2"/>
  <c r="N794" i="2"/>
  <c r="E795" i="2"/>
  <c r="D795" i="2" s="1"/>
  <c r="P795" i="2" s="1"/>
  <c r="J795" i="2"/>
  <c r="N795" i="2"/>
  <c r="D796" i="2"/>
  <c r="E796" i="2"/>
  <c r="J796" i="2"/>
  <c r="N796" i="2"/>
  <c r="P796" i="2"/>
  <c r="E797" i="2"/>
  <c r="D797" i="2" s="1"/>
  <c r="P797" i="2" s="1"/>
  <c r="J797" i="2"/>
  <c r="N797" i="2"/>
  <c r="D798" i="2"/>
  <c r="E798" i="2"/>
  <c r="J798" i="2"/>
  <c r="N798" i="2"/>
  <c r="P798" i="2"/>
  <c r="D799" i="2"/>
  <c r="E799" i="2"/>
  <c r="J799" i="2"/>
  <c r="N799" i="2"/>
  <c r="P799" i="2"/>
  <c r="D800" i="2"/>
  <c r="E800" i="2"/>
  <c r="J800" i="2"/>
  <c r="P800" i="2" s="1"/>
  <c r="N800" i="2"/>
  <c r="E801" i="2"/>
  <c r="D801" i="2" s="1"/>
  <c r="J801" i="2"/>
  <c r="N801" i="2"/>
  <c r="E802" i="2"/>
  <c r="D802" i="2" s="1"/>
  <c r="P802" i="2" s="1"/>
  <c r="J802" i="2"/>
  <c r="N802" i="2"/>
  <c r="E803" i="2"/>
  <c r="D803" i="2" s="1"/>
  <c r="P803" i="2" s="1"/>
  <c r="J803" i="2"/>
  <c r="N803" i="2"/>
  <c r="D804" i="2"/>
  <c r="E804" i="2"/>
  <c r="J804" i="2"/>
  <c r="N804" i="2"/>
  <c r="P804" i="2"/>
  <c r="E805" i="2"/>
  <c r="D805" i="2" s="1"/>
  <c r="P805" i="2" s="1"/>
  <c r="J805" i="2"/>
  <c r="N805" i="2"/>
  <c r="D806" i="2"/>
  <c r="E806" i="2"/>
  <c r="J806" i="2"/>
  <c r="N806" i="2"/>
  <c r="P806" i="2"/>
  <c r="D807" i="2"/>
  <c r="E807" i="2"/>
  <c r="J807" i="2"/>
  <c r="N807" i="2"/>
  <c r="P807" i="2"/>
  <c r="D808" i="2"/>
  <c r="E808" i="2"/>
  <c r="J808" i="2"/>
  <c r="P808" i="2" s="1"/>
  <c r="N808" i="2"/>
  <c r="E809" i="2"/>
  <c r="D809" i="2" s="1"/>
  <c r="J809" i="2"/>
  <c r="N809" i="2"/>
  <c r="E810" i="2"/>
  <c r="D810" i="2" s="1"/>
  <c r="P810" i="2" s="1"/>
  <c r="J810" i="2"/>
  <c r="N810" i="2"/>
  <c r="E811" i="2"/>
  <c r="D811" i="2" s="1"/>
  <c r="P811" i="2" s="1"/>
  <c r="J811" i="2"/>
  <c r="N811" i="2"/>
  <c r="D812" i="2"/>
  <c r="E812" i="2"/>
  <c r="J812" i="2"/>
  <c r="N812" i="2"/>
  <c r="P812" i="2"/>
  <c r="E813" i="2"/>
  <c r="D813" i="2" s="1"/>
  <c r="P813" i="2" s="1"/>
  <c r="J813" i="2"/>
  <c r="N813" i="2"/>
  <c r="D814" i="2"/>
  <c r="E814" i="2"/>
  <c r="J814" i="2"/>
  <c r="N814" i="2"/>
  <c r="P814" i="2"/>
  <c r="D815" i="2"/>
  <c r="E815" i="2"/>
  <c r="J815" i="2"/>
  <c r="N815" i="2"/>
  <c r="P815" i="2"/>
  <c r="D816" i="2"/>
  <c r="E816" i="2"/>
  <c r="J816" i="2"/>
  <c r="P816" i="2" s="1"/>
  <c r="N816" i="2"/>
  <c r="E817" i="2"/>
  <c r="D817" i="2" s="1"/>
  <c r="J817" i="2"/>
  <c r="N817" i="2"/>
  <c r="E818" i="2"/>
  <c r="D818" i="2" s="1"/>
  <c r="P818" i="2" s="1"/>
  <c r="J818" i="2"/>
  <c r="N818" i="2"/>
  <c r="E819" i="2"/>
  <c r="D819" i="2" s="1"/>
  <c r="P819" i="2" s="1"/>
  <c r="J819" i="2"/>
  <c r="N819" i="2"/>
  <c r="D820" i="2"/>
  <c r="E820" i="2"/>
  <c r="J820" i="2"/>
  <c r="N820" i="2"/>
  <c r="P820" i="2"/>
  <c r="E821" i="2"/>
  <c r="D821" i="2" s="1"/>
  <c r="P821" i="2" s="1"/>
  <c r="J821" i="2"/>
  <c r="N821" i="2"/>
  <c r="D822" i="2"/>
  <c r="E822" i="2"/>
  <c r="J822" i="2"/>
  <c r="N822" i="2"/>
  <c r="P822" i="2"/>
  <c r="D823" i="2"/>
  <c r="E823" i="2"/>
  <c r="J823" i="2"/>
  <c r="N823" i="2"/>
  <c r="P823" i="2"/>
  <c r="D824" i="2"/>
  <c r="E824" i="2"/>
  <c r="J824" i="2"/>
  <c r="P824" i="2" s="1"/>
  <c r="N824" i="2"/>
  <c r="E825" i="2"/>
  <c r="D825" i="2" s="1"/>
  <c r="J825" i="2"/>
  <c r="N825" i="2"/>
  <c r="E826" i="2"/>
  <c r="D826" i="2" s="1"/>
  <c r="P826" i="2" s="1"/>
  <c r="J826" i="2"/>
  <c r="N826" i="2"/>
  <c r="E827" i="2"/>
  <c r="D827" i="2" s="1"/>
  <c r="P827" i="2" s="1"/>
  <c r="J827" i="2"/>
  <c r="N827" i="2"/>
  <c r="D828" i="2"/>
  <c r="E828" i="2"/>
  <c r="J828" i="2"/>
  <c r="N828" i="2"/>
  <c r="P828" i="2"/>
  <c r="E829" i="2"/>
  <c r="D829" i="2" s="1"/>
  <c r="P829" i="2" s="1"/>
  <c r="J829" i="2"/>
  <c r="N829" i="2"/>
  <c r="D830" i="2"/>
  <c r="E830" i="2"/>
  <c r="J830" i="2"/>
  <c r="N830" i="2"/>
  <c r="P830" i="2"/>
  <c r="D831" i="2"/>
  <c r="E831" i="2"/>
  <c r="J831" i="2"/>
  <c r="N831" i="2"/>
  <c r="P831" i="2"/>
  <c r="D832" i="2"/>
  <c r="E832" i="2"/>
  <c r="J832" i="2"/>
  <c r="P832" i="2" s="1"/>
  <c r="N832" i="2"/>
  <c r="E833" i="2"/>
  <c r="D833" i="2" s="1"/>
  <c r="J833" i="2"/>
  <c r="N833" i="2"/>
  <c r="E834" i="2"/>
  <c r="D834" i="2" s="1"/>
  <c r="P834" i="2" s="1"/>
  <c r="J834" i="2"/>
  <c r="N834" i="2"/>
  <c r="E835" i="2"/>
  <c r="D835" i="2" s="1"/>
  <c r="P835" i="2" s="1"/>
  <c r="J835" i="2"/>
  <c r="N835" i="2"/>
  <c r="D836" i="2"/>
  <c r="E836" i="2"/>
  <c r="J836" i="2"/>
  <c r="N836" i="2"/>
  <c r="P836" i="2"/>
  <c r="E837" i="2"/>
  <c r="D837" i="2" s="1"/>
  <c r="P837" i="2" s="1"/>
  <c r="J837" i="2"/>
  <c r="N837" i="2"/>
  <c r="D838" i="2"/>
  <c r="E838" i="2"/>
  <c r="J838" i="2"/>
  <c r="N838" i="2"/>
  <c r="P838" i="2"/>
  <c r="D839" i="2"/>
  <c r="E839" i="2"/>
  <c r="J839" i="2"/>
  <c r="N839" i="2"/>
  <c r="P839" i="2"/>
  <c r="D840" i="2"/>
  <c r="E840" i="2"/>
  <c r="J840" i="2"/>
  <c r="P840" i="2" s="1"/>
  <c r="N840" i="2"/>
  <c r="E841" i="2"/>
  <c r="D841" i="2" s="1"/>
  <c r="J841" i="2"/>
  <c r="N841" i="2"/>
  <c r="E842" i="2"/>
  <c r="D842" i="2" s="1"/>
  <c r="P842" i="2" s="1"/>
  <c r="J842" i="2"/>
  <c r="N842" i="2"/>
  <c r="E843" i="2"/>
  <c r="D843" i="2" s="1"/>
  <c r="P843" i="2" s="1"/>
  <c r="J843" i="2"/>
  <c r="N843" i="2"/>
  <c r="D844" i="2"/>
  <c r="E844" i="2"/>
  <c r="J844" i="2"/>
  <c r="N844" i="2"/>
  <c r="P844" i="2"/>
  <c r="E845" i="2"/>
  <c r="D845" i="2" s="1"/>
  <c r="J845" i="2"/>
  <c r="N845" i="2"/>
  <c r="P845" i="2"/>
  <c r="D846" i="2"/>
  <c r="E846" i="2"/>
  <c r="J846" i="2"/>
  <c r="P846" i="2" s="1"/>
  <c r="N846" i="2"/>
  <c r="E847" i="2"/>
  <c r="D847" i="2" s="1"/>
  <c r="P847" i="2" s="1"/>
  <c r="J847" i="2"/>
  <c r="N847" i="2"/>
  <c r="E848" i="2"/>
  <c r="D848" i="2" s="1"/>
  <c r="P848" i="2" s="1"/>
  <c r="J848" i="2"/>
  <c r="N848" i="2"/>
  <c r="D849" i="2"/>
  <c r="E849" i="2"/>
  <c r="J849" i="2"/>
  <c r="N849" i="2"/>
  <c r="P849" i="2"/>
  <c r="D850" i="2"/>
  <c r="E850" i="2"/>
  <c r="J850" i="2"/>
  <c r="P850" i="2" s="1"/>
  <c r="N850" i="2"/>
  <c r="E851" i="2"/>
  <c r="D851" i="2" s="1"/>
  <c r="P851" i="2" s="1"/>
  <c r="J851" i="2"/>
  <c r="N851" i="2"/>
  <c r="E852" i="2"/>
  <c r="D852" i="2" s="1"/>
  <c r="P852" i="2" s="1"/>
  <c r="J852" i="2"/>
  <c r="N852" i="2"/>
  <c r="D853" i="2"/>
  <c r="E853" i="2"/>
  <c r="J853" i="2"/>
  <c r="N853" i="2"/>
  <c r="P853" i="2"/>
  <c r="D854" i="2"/>
  <c r="E854" i="2"/>
  <c r="J854" i="2"/>
  <c r="P854" i="2" s="1"/>
  <c r="N854" i="2"/>
  <c r="E855" i="2"/>
  <c r="D855" i="2" s="1"/>
  <c r="P855" i="2" s="1"/>
  <c r="J855" i="2"/>
  <c r="N855" i="2"/>
  <c r="E856" i="2"/>
  <c r="D856" i="2" s="1"/>
  <c r="P856" i="2" s="1"/>
  <c r="J856" i="2"/>
  <c r="N856" i="2"/>
  <c r="D857" i="2"/>
  <c r="E857" i="2"/>
  <c r="J857" i="2"/>
  <c r="N857" i="2"/>
  <c r="P857" i="2"/>
  <c r="D858" i="2"/>
  <c r="E858" i="2"/>
  <c r="J858" i="2"/>
  <c r="P858" i="2" s="1"/>
  <c r="N858" i="2"/>
  <c r="E859" i="2"/>
  <c r="D859" i="2" s="1"/>
  <c r="P859" i="2" s="1"/>
  <c r="J859" i="2"/>
  <c r="N859" i="2"/>
  <c r="E860" i="2"/>
  <c r="D860" i="2" s="1"/>
  <c r="P860" i="2" s="1"/>
  <c r="J860" i="2"/>
  <c r="N860" i="2"/>
  <c r="D861" i="2"/>
  <c r="E861" i="2"/>
  <c r="J861" i="2"/>
  <c r="N861" i="2"/>
  <c r="P861" i="2"/>
  <c r="D862" i="2"/>
  <c r="E862" i="2"/>
  <c r="J862" i="2"/>
  <c r="P862" i="2" s="1"/>
  <c r="N862" i="2"/>
  <c r="E863" i="2"/>
  <c r="D863" i="2" s="1"/>
  <c r="P863" i="2" s="1"/>
  <c r="J863" i="2"/>
  <c r="N863" i="2"/>
  <c r="E864" i="2"/>
  <c r="D864" i="2" s="1"/>
  <c r="P864" i="2" s="1"/>
  <c r="J864" i="2"/>
  <c r="N864" i="2"/>
  <c r="D865" i="2"/>
  <c r="E865" i="2"/>
  <c r="J865" i="2"/>
  <c r="N865" i="2"/>
  <c r="P865" i="2"/>
  <c r="D866" i="2"/>
  <c r="E866" i="2"/>
  <c r="J866" i="2"/>
  <c r="P866" i="2" s="1"/>
  <c r="N866" i="2"/>
  <c r="E867" i="2"/>
  <c r="D867" i="2" s="1"/>
  <c r="P867" i="2" s="1"/>
  <c r="J867" i="2"/>
  <c r="N867" i="2"/>
  <c r="E868" i="2"/>
  <c r="D868" i="2" s="1"/>
  <c r="P868" i="2" s="1"/>
  <c r="J868" i="2"/>
  <c r="N868" i="2"/>
  <c r="D869" i="2"/>
  <c r="E869" i="2"/>
  <c r="J869" i="2"/>
  <c r="N869" i="2"/>
  <c r="P869" i="2"/>
  <c r="D870" i="2"/>
  <c r="E870" i="2"/>
  <c r="J870" i="2"/>
  <c r="P870" i="2" s="1"/>
  <c r="N870" i="2"/>
  <c r="E871" i="2"/>
  <c r="D871" i="2" s="1"/>
  <c r="P871" i="2" s="1"/>
  <c r="J871" i="2"/>
  <c r="N871" i="2"/>
  <c r="E872" i="2"/>
  <c r="D872" i="2" s="1"/>
  <c r="P872" i="2" s="1"/>
  <c r="J872" i="2"/>
  <c r="N872" i="2"/>
  <c r="D873" i="2"/>
  <c r="E873" i="2"/>
  <c r="J873" i="2"/>
  <c r="N873" i="2"/>
  <c r="P873" i="2"/>
  <c r="D874" i="2"/>
  <c r="E874" i="2"/>
  <c r="J874" i="2"/>
  <c r="P874" i="2" s="1"/>
  <c r="N874" i="2"/>
  <c r="E875" i="2"/>
  <c r="D875" i="2" s="1"/>
  <c r="P875" i="2" s="1"/>
  <c r="J875" i="2"/>
  <c r="N875" i="2"/>
  <c r="E876" i="2"/>
  <c r="D876" i="2" s="1"/>
  <c r="P876" i="2" s="1"/>
  <c r="J876" i="2"/>
  <c r="N876" i="2"/>
  <c r="D877" i="2"/>
  <c r="E877" i="2"/>
  <c r="J877" i="2"/>
  <c r="N877" i="2"/>
  <c r="P877" i="2"/>
  <c r="D878" i="2"/>
  <c r="E878" i="2"/>
  <c r="J878" i="2"/>
  <c r="P878" i="2" s="1"/>
  <c r="N878" i="2"/>
  <c r="E879" i="2"/>
  <c r="D879" i="2" s="1"/>
  <c r="P879" i="2" s="1"/>
  <c r="J879" i="2"/>
  <c r="N879" i="2"/>
  <c r="E880" i="2"/>
  <c r="D880" i="2" s="1"/>
  <c r="P880" i="2" s="1"/>
  <c r="J880" i="2"/>
  <c r="N880" i="2"/>
  <c r="D881" i="2"/>
  <c r="E881" i="2"/>
  <c r="J881" i="2"/>
  <c r="N881" i="2"/>
  <c r="P881" i="2"/>
  <c r="D882" i="2"/>
  <c r="E882" i="2"/>
  <c r="J882" i="2"/>
  <c r="P882" i="2" s="1"/>
  <c r="N882" i="2"/>
  <c r="E883" i="2"/>
  <c r="D883" i="2" s="1"/>
  <c r="P883" i="2" s="1"/>
  <c r="J883" i="2"/>
  <c r="N883" i="2"/>
  <c r="E884" i="2"/>
  <c r="D884" i="2" s="1"/>
  <c r="P884" i="2" s="1"/>
  <c r="J884" i="2"/>
  <c r="N884" i="2"/>
  <c r="D885" i="2"/>
  <c r="E885" i="2"/>
  <c r="J885" i="2"/>
  <c r="N885" i="2"/>
  <c r="P885" i="2"/>
  <c r="D886" i="2"/>
  <c r="E886" i="2"/>
  <c r="J886" i="2"/>
  <c r="P886" i="2" s="1"/>
  <c r="N886" i="2"/>
  <c r="E887" i="2"/>
  <c r="D887" i="2" s="1"/>
  <c r="P887" i="2" s="1"/>
  <c r="J887" i="2"/>
  <c r="N887" i="2"/>
  <c r="E888" i="2"/>
  <c r="D888" i="2" s="1"/>
  <c r="P888" i="2" s="1"/>
  <c r="J888" i="2"/>
  <c r="N888" i="2"/>
  <c r="D889" i="2"/>
  <c r="E889" i="2"/>
  <c r="J889" i="2"/>
  <c r="N889" i="2"/>
  <c r="P889" i="2"/>
  <c r="D890" i="2"/>
  <c r="E890" i="2"/>
  <c r="J890" i="2"/>
  <c r="P890" i="2" s="1"/>
  <c r="N890" i="2"/>
  <c r="E891" i="2"/>
  <c r="D891" i="2" s="1"/>
  <c r="P891" i="2" s="1"/>
  <c r="J891" i="2"/>
  <c r="N891" i="2"/>
  <c r="E892" i="2"/>
  <c r="D892" i="2" s="1"/>
  <c r="P892" i="2" s="1"/>
  <c r="J892" i="2"/>
  <c r="N892" i="2"/>
  <c r="D893" i="2"/>
  <c r="E893" i="2"/>
  <c r="J893" i="2"/>
  <c r="N893" i="2"/>
  <c r="P893" i="2"/>
  <c r="D894" i="2"/>
  <c r="E894" i="2"/>
  <c r="J894" i="2"/>
  <c r="P894" i="2" s="1"/>
  <c r="N894" i="2"/>
  <c r="E895" i="2"/>
  <c r="D895" i="2" s="1"/>
  <c r="P895" i="2" s="1"/>
  <c r="J895" i="2"/>
  <c r="N895" i="2"/>
  <c r="E896" i="2"/>
  <c r="D896" i="2" s="1"/>
  <c r="P896" i="2" s="1"/>
  <c r="J896" i="2"/>
  <c r="N896" i="2"/>
  <c r="D897" i="2"/>
  <c r="E897" i="2"/>
  <c r="J897" i="2"/>
  <c r="N897" i="2"/>
  <c r="P897" i="2"/>
  <c r="D898" i="2"/>
  <c r="E898" i="2"/>
  <c r="J898" i="2"/>
  <c r="P898" i="2" s="1"/>
  <c r="N898" i="2"/>
  <c r="E899" i="2"/>
  <c r="D899" i="2" s="1"/>
  <c r="P899" i="2" s="1"/>
  <c r="J899" i="2"/>
  <c r="N899" i="2"/>
  <c r="E900" i="2"/>
  <c r="D900" i="2" s="1"/>
  <c r="P900" i="2" s="1"/>
  <c r="J900" i="2"/>
  <c r="N900" i="2"/>
  <c r="D901" i="2"/>
  <c r="E901" i="2"/>
  <c r="J901" i="2"/>
  <c r="N901" i="2"/>
  <c r="P901" i="2"/>
  <c r="D902" i="2"/>
  <c r="E902" i="2"/>
  <c r="J902" i="2"/>
  <c r="P902" i="2" s="1"/>
  <c r="N902" i="2"/>
  <c r="E903" i="2"/>
  <c r="D903" i="2" s="1"/>
  <c r="P903" i="2" s="1"/>
  <c r="J903" i="2"/>
  <c r="N903" i="2"/>
  <c r="E904" i="2"/>
  <c r="D904" i="2" s="1"/>
  <c r="P904" i="2" s="1"/>
  <c r="J904" i="2"/>
  <c r="N904" i="2"/>
  <c r="D905" i="2"/>
  <c r="E905" i="2"/>
  <c r="J905" i="2"/>
  <c r="N905" i="2"/>
  <c r="P905" i="2"/>
  <c r="D906" i="2"/>
  <c r="E906" i="2"/>
  <c r="J906" i="2"/>
  <c r="P906" i="2" s="1"/>
  <c r="N906" i="2"/>
  <c r="E907" i="2"/>
  <c r="D907" i="2" s="1"/>
  <c r="P907" i="2" s="1"/>
  <c r="J907" i="2"/>
  <c r="N907" i="2"/>
  <c r="E908" i="2"/>
  <c r="D908" i="2" s="1"/>
  <c r="P908" i="2" s="1"/>
  <c r="J908" i="2"/>
  <c r="N908" i="2"/>
  <c r="D909" i="2"/>
  <c r="E909" i="2"/>
  <c r="J909" i="2"/>
  <c r="N909" i="2"/>
  <c r="P909" i="2"/>
  <c r="D910" i="2"/>
  <c r="E910" i="2"/>
  <c r="J910" i="2"/>
  <c r="P910" i="2" s="1"/>
  <c r="N910" i="2"/>
  <c r="E911" i="2"/>
  <c r="D911" i="2" s="1"/>
  <c r="P911" i="2" s="1"/>
  <c r="J911" i="2"/>
  <c r="N911" i="2"/>
  <c r="E912" i="2"/>
  <c r="D912" i="2" s="1"/>
  <c r="P912" i="2" s="1"/>
  <c r="J912" i="2"/>
  <c r="N912" i="2"/>
  <c r="D913" i="2"/>
  <c r="E913" i="2"/>
  <c r="J913" i="2"/>
  <c r="N913" i="2"/>
  <c r="P913" i="2"/>
  <c r="D914" i="2"/>
  <c r="E914" i="2"/>
  <c r="J914" i="2"/>
  <c r="P914" i="2" s="1"/>
  <c r="N914" i="2"/>
  <c r="E915" i="2"/>
  <c r="D915" i="2" s="1"/>
  <c r="P915" i="2" s="1"/>
  <c r="J915" i="2"/>
  <c r="N915" i="2"/>
  <c r="E916" i="2"/>
  <c r="D916" i="2" s="1"/>
  <c r="P916" i="2" s="1"/>
  <c r="J916" i="2"/>
  <c r="N916" i="2"/>
  <c r="D917" i="2"/>
  <c r="E917" i="2"/>
  <c r="J917" i="2"/>
  <c r="N917" i="2"/>
  <c r="P917" i="2"/>
  <c r="D918" i="2"/>
  <c r="E918" i="2"/>
  <c r="J918" i="2"/>
  <c r="P918" i="2" s="1"/>
  <c r="N918" i="2"/>
  <c r="E919" i="2"/>
  <c r="D919" i="2" s="1"/>
  <c r="P919" i="2" s="1"/>
  <c r="J919" i="2"/>
  <c r="N919" i="2"/>
  <c r="E920" i="2"/>
  <c r="D920" i="2" s="1"/>
  <c r="P920" i="2" s="1"/>
  <c r="J920" i="2"/>
  <c r="N920" i="2"/>
  <c r="D921" i="2"/>
  <c r="E921" i="2"/>
  <c r="J921" i="2"/>
  <c r="N921" i="2"/>
  <c r="P921" i="2"/>
  <c r="D922" i="2"/>
  <c r="E922" i="2"/>
  <c r="J922" i="2"/>
  <c r="P922" i="2" s="1"/>
  <c r="N922" i="2"/>
  <c r="E923" i="2"/>
  <c r="D923" i="2" s="1"/>
  <c r="P923" i="2" s="1"/>
  <c r="J923" i="2"/>
  <c r="N923" i="2"/>
  <c r="E924" i="2"/>
  <c r="D924" i="2" s="1"/>
  <c r="P924" i="2" s="1"/>
  <c r="J924" i="2"/>
  <c r="N924" i="2"/>
  <c r="D925" i="2"/>
  <c r="E925" i="2"/>
  <c r="J925" i="2"/>
  <c r="N925" i="2"/>
  <c r="P925" i="2"/>
  <c r="D926" i="2"/>
  <c r="E926" i="2"/>
  <c r="J926" i="2"/>
  <c r="P926" i="2" s="1"/>
  <c r="N926" i="2"/>
  <c r="E927" i="2"/>
  <c r="D927" i="2" s="1"/>
  <c r="P927" i="2" s="1"/>
  <c r="J927" i="2"/>
  <c r="N927" i="2"/>
  <c r="E928" i="2"/>
  <c r="D928" i="2" s="1"/>
  <c r="P928" i="2" s="1"/>
  <c r="J928" i="2"/>
  <c r="N928" i="2"/>
  <c r="D929" i="2"/>
  <c r="E929" i="2"/>
  <c r="J929" i="2"/>
  <c r="N929" i="2"/>
  <c r="P929" i="2"/>
  <c r="D930" i="2"/>
  <c r="E930" i="2"/>
  <c r="J930" i="2"/>
  <c r="P930" i="2" s="1"/>
  <c r="N930" i="2"/>
  <c r="E931" i="2"/>
  <c r="D931" i="2" s="1"/>
  <c r="P931" i="2" s="1"/>
  <c r="J931" i="2"/>
  <c r="N931" i="2"/>
  <c r="E932" i="2"/>
  <c r="D932" i="2" s="1"/>
  <c r="P932" i="2" s="1"/>
  <c r="J932" i="2"/>
  <c r="N932" i="2"/>
  <c r="D933" i="2"/>
  <c r="E933" i="2"/>
  <c r="J933" i="2"/>
  <c r="N933" i="2"/>
  <c r="P933" i="2"/>
  <c r="D934" i="2"/>
  <c r="E934" i="2"/>
  <c r="J934" i="2"/>
  <c r="P934" i="2" s="1"/>
  <c r="N934" i="2"/>
  <c r="E935" i="2"/>
  <c r="D935" i="2" s="1"/>
  <c r="P935" i="2" s="1"/>
  <c r="J935" i="2"/>
  <c r="N935" i="2"/>
  <c r="E936" i="2"/>
  <c r="D936" i="2" s="1"/>
  <c r="P936" i="2" s="1"/>
  <c r="J936" i="2"/>
  <c r="N936" i="2"/>
  <c r="D937" i="2"/>
  <c r="E937" i="2"/>
  <c r="J937" i="2"/>
  <c r="N937" i="2"/>
  <c r="P937" i="2"/>
  <c r="D938" i="2"/>
  <c r="E938" i="2"/>
  <c r="J938" i="2"/>
  <c r="P938" i="2" s="1"/>
  <c r="N938" i="2"/>
  <c r="E939" i="2"/>
  <c r="D939" i="2" s="1"/>
  <c r="P939" i="2" s="1"/>
  <c r="J939" i="2"/>
  <c r="N939" i="2"/>
  <c r="E940" i="2"/>
  <c r="D940" i="2" s="1"/>
  <c r="P940" i="2" s="1"/>
  <c r="J940" i="2"/>
  <c r="N940" i="2"/>
  <c r="D941" i="2"/>
  <c r="E941" i="2"/>
  <c r="J941" i="2"/>
  <c r="N941" i="2"/>
  <c r="P941" i="2"/>
  <c r="D942" i="2"/>
  <c r="E942" i="2"/>
  <c r="J942" i="2"/>
  <c r="P942" i="2" s="1"/>
  <c r="N942" i="2"/>
  <c r="E943" i="2"/>
  <c r="D943" i="2" s="1"/>
  <c r="P943" i="2" s="1"/>
  <c r="J943" i="2"/>
  <c r="N943" i="2"/>
  <c r="E944" i="2"/>
  <c r="D944" i="2" s="1"/>
  <c r="P944" i="2" s="1"/>
  <c r="J944" i="2"/>
  <c r="N944" i="2"/>
  <c r="D945" i="2"/>
  <c r="E945" i="2"/>
  <c r="J945" i="2"/>
  <c r="N945" i="2"/>
  <c r="P945" i="2"/>
  <c r="D946" i="2"/>
  <c r="E946" i="2"/>
  <c r="J946" i="2"/>
  <c r="P946" i="2" s="1"/>
  <c r="N946" i="2"/>
  <c r="E947" i="2"/>
  <c r="D947" i="2" s="1"/>
  <c r="P947" i="2" s="1"/>
  <c r="J947" i="2"/>
  <c r="N947" i="2"/>
  <c r="E948" i="2"/>
  <c r="D948" i="2" s="1"/>
  <c r="P948" i="2" s="1"/>
  <c r="J948" i="2"/>
  <c r="N948" i="2"/>
  <c r="D949" i="2"/>
  <c r="P949" i="2" s="1"/>
  <c r="E949" i="2"/>
  <c r="J949" i="2"/>
  <c r="N949" i="2"/>
  <c r="D950" i="2"/>
  <c r="E950" i="2"/>
  <c r="J950" i="2"/>
  <c r="P950" i="2" s="1"/>
  <c r="N950" i="2"/>
  <c r="E951" i="2"/>
  <c r="D951" i="2" s="1"/>
  <c r="P951" i="2" s="1"/>
  <c r="J951" i="2"/>
  <c r="N951" i="2"/>
  <c r="E952" i="2"/>
  <c r="D952" i="2" s="1"/>
  <c r="P952" i="2" s="1"/>
  <c r="J952" i="2"/>
  <c r="N952" i="2"/>
  <c r="D953" i="2"/>
  <c r="E953" i="2"/>
  <c r="J953" i="2"/>
  <c r="N953" i="2"/>
  <c r="P953" i="2"/>
  <c r="D954" i="2"/>
  <c r="E954" i="2"/>
  <c r="J954" i="2"/>
  <c r="P954" i="2" s="1"/>
  <c r="N954" i="2"/>
  <c r="E955" i="2"/>
  <c r="D955" i="2" s="1"/>
  <c r="P955" i="2" s="1"/>
  <c r="J955" i="2"/>
  <c r="N955" i="2"/>
  <c r="E956" i="2"/>
  <c r="D956" i="2" s="1"/>
  <c r="P956" i="2" s="1"/>
  <c r="J956" i="2"/>
  <c r="N956" i="2"/>
  <c r="D957" i="2"/>
  <c r="E957" i="2"/>
  <c r="J957" i="2"/>
  <c r="N957" i="2"/>
  <c r="P957" i="2"/>
  <c r="D958" i="2"/>
  <c r="E958" i="2"/>
  <c r="J958" i="2"/>
  <c r="P958" i="2" s="1"/>
  <c r="N958" i="2"/>
  <c r="E959" i="2"/>
  <c r="D959" i="2" s="1"/>
  <c r="P959" i="2" s="1"/>
  <c r="J959" i="2"/>
  <c r="N959" i="2"/>
  <c r="E960" i="2"/>
  <c r="D960" i="2" s="1"/>
  <c r="P960" i="2" s="1"/>
  <c r="J960" i="2"/>
  <c r="N960" i="2"/>
  <c r="D961" i="2"/>
  <c r="E961" i="2"/>
  <c r="J961" i="2"/>
  <c r="N961" i="2"/>
  <c r="P961" i="2"/>
  <c r="D962" i="2"/>
  <c r="E962" i="2"/>
  <c r="J962" i="2"/>
  <c r="P962" i="2" s="1"/>
  <c r="N962" i="2"/>
  <c r="E963" i="2"/>
  <c r="D963" i="2" s="1"/>
  <c r="P963" i="2" s="1"/>
  <c r="J963" i="2"/>
  <c r="N963" i="2"/>
  <c r="E964" i="2"/>
  <c r="D964" i="2" s="1"/>
  <c r="P964" i="2" s="1"/>
  <c r="J964" i="2"/>
  <c r="N964" i="2"/>
  <c r="D965" i="2"/>
  <c r="E965" i="2"/>
  <c r="J965" i="2"/>
  <c r="N965" i="2"/>
  <c r="P965" i="2"/>
  <c r="D966" i="2"/>
  <c r="E966" i="2"/>
  <c r="J966" i="2"/>
  <c r="P966" i="2" s="1"/>
  <c r="N966" i="2"/>
  <c r="E967" i="2"/>
  <c r="D967" i="2" s="1"/>
  <c r="P967" i="2" s="1"/>
  <c r="J967" i="2"/>
  <c r="N967" i="2"/>
  <c r="E968" i="2"/>
  <c r="D968" i="2" s="1"/>
  <c r="P968" i="2" s="1"/>
  <c r="J968" i="2"/>
  <c r="N968" i="2"/>
  <c r="D969" i="2"/>
  <c r="E969" i="2"/>
  <c r="J969" i="2"/>
  <c r="N969" i="2"/>
  <c r="P969" i="2"/>
  <c r="D970" i="2"/>
  <c r="E970" i="2"/>
  <c r="J970" i="2"/>
  <c r="P970" i="2" s="1"/>
  <c r="N970" i="2"/>
  <c r="E971" i="2"/>
  <c r="D971" i="2" s="1"/>
  <c r="P971" i="2" s="1"/>
  <c r="J971" i="2"/>
  <c r="N971" i="2"/>
  <c r="E972" i="2"/>
  <c r="D972" i="2" s="1"/>
  <c r="P972" i="2" s="1"/>
  <c r="J972" i="2"/>
  <c r="N972" i="2"/>
  <c r="D973" i="2"/>
  <c r="E973" i="2"/>
  <c r="J973" i="2"/>
  <c r="N973" i="2"/>
  <c r="P973" i="2"/>
  <c r="D974" i="2"/>
  <c r="E974" i="2"/>
  <c r="J974" i="2"/>
  <c r="P974" i="2" s="1"/>
  <c r="N974" i="2"/>
  <c r="E975" i="2"/>
  <c r="D975" i="2" s="1"/>
  <c r="P975" i="2" s="1"/>
  <c r="J975" i="2"/>
  <c r="N975" i="2"/>
  <c r="E976" i="2"/>
  <c r="D976" i="2" s="1"/>
  <c r="P976" i="2" s="1"/>
  <c r="J976" i="2"/>
  <c r="N976" i="2"/>
  <c r="D977" i="2"/>
  <c r="E977" i="2"/>
  <c r="J977" i="2"/>
  <c r="N977" i="2"/>
  <c r="P977" i="2"/>
  <c r="D978" i="2"/>
  <c r="E978" i="2"/>
  <c r="J978" i="2"/>
  <c r="P978" i="2" s="1"/>
  <c r="N978" i="2"/>
  <c r="E979" i="2"/>
  <c r="D979" i="2" s="1"/>
  <c r="P979" i="2" s="1"/>
  <c r="J979" i="2"/>
  <c r="N979" i="2"/>
  <c r="E980" i="2"/>
  <c r="D980" i="2" s="1"/>
  <c r="P980" i="2" s="1"/>
  <c r="J980" i="2"/>
  <c r="N980" i="2"/>
  <c r="D981" i="2"/>
  <c r="E981" i="2"/>
  <c r="J981" i="2"/>
  <c r="N981" i="2"/>
  <c r="P981" i="2"/>
  <c r="D982" i="2"/>
  <c r="E982" i="2"/>
  <c r="J982" i="2"/>
  <c r="P982" i="2" s="1"/>
  <c r="N982" i="2"/>
  <c r="E983" i="2"/>
  <c r="D983" i="2" s="1"/>
  <c r="P983" i="2" s="1"/>
  <c r="J983" i="2"/>
  <c r="N983" i="2"/>
  <c r="E984" i="2"/>
  <c r="D984" i="2" s="1"/>
  <c r="P984" i="2" s="1"/>
  <c r="J984" i="2"/>
  <c r="N984" i="2"/>
  <c r="D985" i="2"/>
  <c r="P985" i="2" s="1"/>
  <c r="E985" i="2"/>
  <c r="J985" i="2"/>
  <c r="N985" i="2"/>
  <c r="D986" i="2"/>
  <c r="E986" i="2"/>
  <c r="J986" i="2"/>
  <c r="P986" i="2" s="1"/>
  <c r="N986" i="2"/>
  <c r="E987" i="2"/>
  <c r="D987" i="2" s="1"/>
  <c r="P987" i="2" s="1"/>
  <c r="J987" i="2"/>
  <c r="N987" i="2"/>
  <c r="E988" i="2"/>
  <c r="D988" i="2" s="1"/>
  <c r="P988" i="2" s="1"/>
  <c r="J988" i="2"/>
  <c r="N988" i="2"/>
  <c r="D989" i="2"/>
  <c r="P989" i="2" s="1"/>
  <c r="E989" i="2"/>
  <c r="J989" i="2"/>
  <c r="N989" i="2"/>
  <c r="D990" i="2"/>
  <c r="E990" i="2"/>
  <c r="J990" i="2"/>
  <c r="P990" i="2" s="1"/>
  <c r="N990" i="2"/>
  <c r="E991" i="2"/>
  <c r="D991" i="2" s="1"/>
  <c r="P991" i="2" s="1"/>
  <c r="J991" i="2"/>
  <c r="N991" i="2"/>
  <c r="E992" i="2"/>
  <c r="D992" i="2" s="1"/>
  <c r="P992" i="2" s="1"/>
  <c r="J992" i="2"/>
  <c r="N992" i="2"/>
  <c r="D993" i="2"/>
  <c r="E993" i="2"/>
  <c r="J993" i="2"/>
  <c r="N993" i="2"/>
  <c r="P993" i="2"/>
  <c r="D994" i="2"/>
  <c r="E994" i="2"/>
  <c r="J994" i="2"/>
  <c r="P994" i="2" s="1"/>
  <c r="N994" i="2"/>
  <c r="E995" i="2"/>
  <c r="D995" i="2" s="1"/>
  <c r="P995" i="2" s="1"/>
  <c r="J995" i="2"/>
  <c r="N995" i="2"/>
  <c r="E996" i="2"/>
  <c r="D996" i="2" s="1"/>
  <c r="P996" i="2" s="1"/>
  <c r="J996" i="2"/>
  <c r="N996" i="2"/>
  <c r="D997" i="2"/>
  <c r="E997" i="2"/>
  <c r="J997" i="2"/>
  <c r="N997" i="2"/>
  <c r="P997" i="2"/>
  <c r="D998" i="2"/>
  <c r="E998" i="2"/>
  <c r="J998" i="2"/>
  <c r="P998" i="2" s="1"/>
  <c r="N998" i="2"/>
  <c r="E999" i="2"/>
  <c r="D999" i="2" s="1"/>
  <c r="P999" i="2" s="1"/>
  <c r="J999" i="2"/>
  <c r="N999" i="2"/>
  <c r="E1000" i="2"/>
  <c r="D1000" i="2" s="1"/>
  <c r="P1000" i="2" s="1"/>
  <c r="J1000" i="2"/>
  <c r="N1000" i="2"/>
  <c r="D1001" i="2"/>
  <c r="E1001" i="2"/>
  <c r="J1001" i="2"/>
  <c r="N1001" i="2"/>
  <c r="P1001" i="2"/>
  <c r="D1002" i="2"/>
  <c r="E1002" i="2"/>
  <c r="J1002" i="2"/>
  <c r="P1002" i="2" s="1"/>
  <c r="N1002" i="2"/>
  <c r="E1003" i="2"/>
  <c r="D1003" i="2" s="1"/>
  <c r="P1003" i="2" s="1"/>
  <c r="J1003" i="2"/>
  <c r="N1003" i="2"/>
  <c r="E1004" i="2"/>
  <c r="D1004" i="2" s="1"/>
  <c r="P1004" i="2" s="1"/>
  <c r="J1004" i="2"/>
  <c r="N1004" i="2"/>
  <c r="D1005" i="2"/>
  <c r="P1005" i="2" s="1"/>
  <c r="E1005" i="2"/>
  <c r="J1005" i="2"/>
  <c r="N1005" i="2"/>
  <c r="D1006" i="2"/>
  <c r="E1006" i="2"/>
  <c r="J1006" i="2"/>
  <c r="P1006" i="2" s="1"/>
  <c r="N1006" i="2"/>
  <c r="E1007" i="2"/>
  <c r="D1007" i="2" s="1"/>
  <c r="P1007" i="2" s="1"/>
  <c r="J1007" i="2"/>
  <c r="N1007" i="2"/>
  <c r="E1008" i="2"/>
  <c r="D1008" i="2" s="1"/>
  <c r="P1008" i="2" s="1"/>
  <c r="J1008" i="2"/>
  <c r="N1008" i="2"/>
  <c r="D1009" i="2"/>
  <c r="E1009" i="2"/>
  <c r="J1009" i="2"/>
  <c r="N1009" i="2"/>
  <c r="P1009" i="2"/>
  <c r="D1010" i="2"/>
  <c r="E1010" i="2"/>
  <c r="J1010" i="2"/>
  <c r="P1010" i="2" s="1"/>
  <c r="N1010" i="2"/>
  <c r="E1011" i="2"/>
  <c r="D1011" i="2" s="1"/>
  <c r="P1011" i="2" s="1"/>
  <c r="J1011" i="2"/>
  <c r="N1011" i="2"/>
  <c r="E1012" i="2"/>
  <c r="D1012" i="2" s="1"/>
  <c r="P1012" i="2" s="1"/>
  <c r="J1012" i="2"/>
  <c r="N1012" i="2"/>
  <c r="D1013" i="2"/>
  <c r="P1013" i="2" s="1"/>
  <c r="E1013" i="2"/>
  <c r="J1013" i="2"/>
  <c r="N1013" i="2"/>
  <c r="D1014" i="2"/>
  <c r="E1014" i="2"/>
  <c r="J1014" i="2"/>
  <c r="P1014" i="2" s="1"/>
  <c r="N1014" i="2"/>
  <c r="E1015" i="2"/>
  <c r="D1015" i="2" s="1"/>
  <c r="P1015" i="2" s="1"/>
  <c r="J1015" i="2"/>
  <c r="N1015" i="2"/>
  <c r="E1016" i="2"/>
  <c r="D1016" i="2" s="1"/>
  <c r="P1016" i="2" s="1"/>
  <c r="J1016" i="2"/>
  <c r="N1016" i="2"/>
  <c r="D1017" i="2"/>
  <c r="E1017" i="2"/>
  <c r="J1017" i="2"/>
  <c r="N1017" i="2"/>
  <c r="P1017" i="2"/>
  <c r="D1018" i="2"/>
  <c r="E1018" i="2"/>
  <c r="J1018" i="2"/>
  <c r="P1018" i="2" s="1"/>
  <c r="N1018" i="2"/>
  <c r="E1019" i="2"/>
  <c r="D1019" i="2" s="1"/>
  <c r="P1019" i="2" s="1"/>
  <c r="J1019" i="2"/>
  <c r="N1019" i="2"/>
  <c r="E1020" i="2"/>
  <c r="D1020" i="2" s="1"/>
  <c r="P1020" i="2" s="1"/>
  <c r="J1020" i="2"/>
  <c r="N1020" i="2"/>
  <c r="D1021" i="2"/>
  <c r="E1021" i="2"/>
  <c r="J1021" i="2"/>
  <c r="N1021" i="2"/>
  <c r="P1021" i="2"/>
  <c r="B22" i="4" l="1"/>
  <c r="B18" i="4"/>
  <c r="B14" i="4"/>
  <c r="B10" i="4"/>
  <c r="B6" i="4"/>
  <c r="B21" i="4"/>
  <c r="B17" i="4"/>
  <c r="B13" i="4"/>
  <c r="B9" i="4"/>
  <c r="B5" i="4"/>
  <c r="B20" i="4"/>
  <c r="B16" i="4"/>
  <c r="B12" i="4"/>
  <c r="B8" i="4"/>
  <c r="B4" i="4"/>
  <c r="B23" i="4"/>
  <c r="B19" i="4"/>
  <c r="B15" i="4"/>
  <c r="B11" i="4"/>
  <c r="B7" i="4"/>
  <c r="B3" i="4"/>
  <c r="E14" i="4"/>
  <c r="E10" i="4"/>
  <c r="E18" i="4"/>
  <c r="E22" i="4"/>
  <c r="E6" i="4"/>
  <c r="E21" i="4"/>
  <c r="E17" i="4"/>
  <c r="E13" i="4"/>
  <c r="E9" i="4"/>
  <c r="E5" i="4"/>
  <c r="E20" i="4"/>
  <c r="E16" i="4"/>
  <c r="E12" i="4"/>
  <c r="E8" i="4"/>
  <c r="E4" i="4"/>
  <c r="E23" i="4"/>
  <c r="E19" i="4"/>
  <c r="E15" i="4"/>
  <c r="E11" i="4"/>
  <c r="E7" i="4"/>
  <c r="E3" i="4"/>
  <c r="H4" i="4"/>
  <c r="H8" i="4"/>
  <c r="H12" i="4"/>
  <c r="H16" i="4"/>
  <c r="H20" i="4"/>
  <c r="H5" i="4"/>
  <c r="H9" i="4"/>
  <c r="H13" i="4"/>
  <c r="H17" i="4"/>
  <c r="H21" i="4"/>
  <c r="H6" i="4"/>
  <c r="H10" i="4"/>
  <c r="H14" i="4"/>
  <c r="H22" i="4"/>
  <c r="H3" i="4"/>
  <c r="H7" i="4"/>
  <c r="H11" i="4"/>
  <c r="H15" i="4"/>
  <c r="H19" i="4"/>
  <c r="H23" i="4"/>
  <c r="P841" i="2"/>
  <c r="P833" i="2"/>
  <c r="P809" i="2"/>
  <c r="P801" i="2"/>
  <c r="P793" i="2"/>
  <c r="P773" i="2"/>
  <c r="P769" i="2"/>
  <c r="P765" i="2"/>
  <c r="P761" i="2"/>
  <c r="P757" i="2"/>
  <c r="P753" i="2"/>
  <c r="P749" i="2"/>
  <c r="P745" i="2"/>
  <c r="P741" i="2"/>
  <c r="P737" i="2"/>
  <c r="P733" i="2"/>
  <c r="P729" i="2"/>
  <c r="P725" i="2"/>
  <c r="P721" i="2"/>
  <c r="P717" i="2"/>
  <c r="P713" i="2"/>
  <c r="P709" i="2"/>
  <c r="P705" i="2"/>
  <c r="P701" i="2"/>
  <c r="P697" i="2"/>
  <c r="P693" i="2"/>
  <c r="P689" i="2"/>
  <c r="P685" i="2"/>
  <c r="P681" i="2"/>
  <c r="P677" i="2"/>
  <c r="P673" i="2"/>
  <c r="P669" i="2"/>
  <c r="P665" i="2"/>
  <c r="P661" i="2"/>
  <c r="P657" i="2"/>
  <c r="P653" i="2"/>
  <c r="P649" i="2"/>
  <c r="P645" i="2"/>
  <c r="P641" i="2"/>
  <c r="P637" i="2"/>
  <c r="P633" i="2"/>
  <c r="P629" i="2"/>
  <c r="P625" i="2"/>
  <c r="P621" i="2"/>
  <c r="P617" i="2"/>
  <c r="P613" i="2"/>
  <c r="P609" i="2"/>
  <c r="P605" i="2"/>
  <c r="P601" i="2"/>
  <c r="P597" i="2"/>
  <c r="P593" i="2"/>
  <c r="P589" i="2"/>
  <c r="P585" i="2"/>
  <c r="P581" i="2"/>
  <c r="P825" i="2"/>
  <c r="P817" i="2"/>
  <c r="P785" i="2"/>
  <c r="P513" i="2"/>
  <c r="P509" i="2"/>
  <c r="P505" i="2"/>
  <c r="P501" i="2"/>
  <c r="P497" i="2"/>
  <c r="P493" i="2"/>
  <c r="P489" i="2"/>
  <c r="P485" i="2"/>
  <c r="P481" i="2"/>
  <c r="P477" i="2"/>
  <c r="P473" i="2"/>
  <c r="P469" i="2"/>
  <c r="P465" i="2"/>
  <c r="P461" i="2"/>
  <c r="P457" i="2"/>
  <c r="P453" i="2"/>
  <c r="P449" i="2"/>
  <c r="P445" i="2"/>
  <c r="P441" i="2"/>
  <c r="P437" i="2"/>
  <c r="P433" i="2"/>
  <c r="P429" i="2"/>
  <c r="P425" i="2"/>
  <c r="P421" i="2"/>
  <c r="P417" i="2"/>
  <c r="P413" i="2"/>
  <c r="P409" i="2"/>
  <c r="P405" i="2"/>
  <c r="P401" i="2"/>
  <c r="P397" i="2"/>
  <c r="P393" i="2"/>
  <c r="P389" i="2"/>
  <c r="P385" i="2"/>
  <c r="P381" i="2"/>
  <c r="P377" i="2"/>
  <c r="P373" i="2"/>
  <c r="P369" i="2"/>
  <c r="P365" i="2"/>
  <c r="P361" i="2"/>
  <c r="P357" i="2"/>
  <c r="P353" i="2"/>
  <c r="P422" i="2"/>
  <c r="P418" i="2"/>
  <c r="P414" i="2"/>
  <c r="P410" i="2"/>
  <c r="P406" i="2"/>
  <c r="P402" i="2"/>
  <c r="P398" i="2"/>
  <c r="P394" i="2"/>
  <c r="P390" i="2"/>
  <c r="P386" i="2"/>
  <c r="P382" i="2"/>
  <c r="P378" i="2"/>
  <c r="P374" i="2"/>
  <c r="P370" i="2"/>
  <c r="P366" i="2"/>
  <c r="P362" i="2"/>
  <c r="P358" i="2"/>
  <c r="P354" i="2"/>
  <c r="P352" i="2"/>
  <c r="P344" i="2"/>
  <c r="P150" i="2"/>
  <c r="P142" i="2"/>
  <c r="P166" i="2"/>
  <c r="P162" i="2"/>
  <c r="P158" i="2"/>
  <c r="P154" i="2"/>
  <c r="P146" i="2"/>
  <c r="P1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<sst xmlns="http://schemas.openxmlformats.org/spreadsheetml/2006/main" count="6419" uniqueCount="1049">
  <si>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</si>
  <si>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</si>
  <si>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</si>
  <si>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</si>
  <si>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</si>
  <si>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</si>
  <si>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</si>
  <si>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</si>
  <si>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ENCHANTED BIRD COATHANGER 5 HOOK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</si>
  <si>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</si>
  <si>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</si>
  <si>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</si>
  <si>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</si>
  <si>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</si>
  <si>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</si>
  <si>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</si>
  <si>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</si>
  <si>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</si>
  <si>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</si>
  <si>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</si>
  <si>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</si>
  <si>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</si>
  <si>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</si>
  <si>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</si>
  <si>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</si>
  <si>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</si>
  <si>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</si>
  <si>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</si>
  <si>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</si>
  <si>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</si>
  <si>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</si>
  <si>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</si>
  <si>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</si>
  <si>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</si>
  <si>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</si>
  <si>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</si>
  <si>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</si>
  <si>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</si>
  <si>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</si>
  <si>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</si>
  <si>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</si>
  <si>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</si>
  <si>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</si>
  <si>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</si>
  <si>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</si>
  <si>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</si>
  <si>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</si>
  <si>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</si>
  <si>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</si>
  <si>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</si>
  <si>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</si>
  <si>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</si>
  <si>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</si>
  <si>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</si>
  <si>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</si>
  <si>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</si>
  <si>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</si>
  <si>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</si>
  <si>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</si>
  <si>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</si>
  <si>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</si>
  <si>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</si>
  <si>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</si>
  <si>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</si>
  <si>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</si>
  <si>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</si>
  <si>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</si>
  <si>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</si>
  <si>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</si>
  <si>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</si>
  <si>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</si>
  <si>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</si>
  <si>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</si>
  <si>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</si>
  <si>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</si>
  <si>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</si>
  <si>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</si>
  <si>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</si>
  <si>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</si>
  <si>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</si>
  <si>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</si>
  <si>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</si>
  <si>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</si>
  <si>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</si>
  <si>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</si>
  <si>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</si>
  <si>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</si>
  <si>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</si>
  <si>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</si>
  <si>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</si>
  <si>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</si>
  <si>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</si>
  <si>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</si>
  <si>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</si>
  <si>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</si>
  <si>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</si>
  <si>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</si>
  <si>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</si>
  <si>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</si>
  <si>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</si>
  <si>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</si>
  <si>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</si>
  <si>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</si>
  <si>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</si>
  <si>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</si>
  <si>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</si>
  <si>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</si>
  <si>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</si>
  <si>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</si>
  <si>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</si>
  <si>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</si>
  <si>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</si>
  <si>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</si>
  <si>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</si>
  <si>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</si>
  <si>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</si>
  <si>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</si>
  <si>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</si>
  <si>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</si>
  <si>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</si>
  <si>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</si>
  <si>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</si>
  <si>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</si>
  <si>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</si>
  <si>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</si>
  <si>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</si>
  <si>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</si>
  <si>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</si>
  <si>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</si>
  <si>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</si>
  <si>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</si>
  <si>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</si>
  <si>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</si>
  <si>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</si>
  <si>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</si>
  <si>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</si>
  <si>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</si>
  <si>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</si>
  <si>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</si>
  <si>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</si>
  <si>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</si>
  <si>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</si>
  <si>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</si>
  <si>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</si>
  <si>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</si>
  <si>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</si>
  <si>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</si>
  <si>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</si>
  <si>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</si>
  <si>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</si>
  <si>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</si>
  <si>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</si>
  <si>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</si>
  <si>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</si>
  <si>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</si>
  <si>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</si>
  <si>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</si>
  <si>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</si>
  <si>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</si>
  <si>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</si>
  <si>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</si>
  <si>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</si>
  <si>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</si>
  <si>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</si>
  <si>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</si>
  <si>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</si>
  <si>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</si>
  <si>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</si>
  <si>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</si>
  <si>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</si>
  <si>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</si>
  <si>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</si>
  <si>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</si>
  <si>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</si>
  <si>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</si>
  <si>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</si>
  <si>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</si>
  <si>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</si>
  <si>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</si>
  <si>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</si>
  <si>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</si>
  <si>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</si>
  <si>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</si>
  <si>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</si>
  <si>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</si>
  <si>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</si>
  <si>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</si>
  <si>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</si>
  <si>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</si>
  <si>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</si>
  <si>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</si>
  <si>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</si>
  <si>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</si>
  <si>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</si>
  <si>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</si>
  <si>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</si>
  <si>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</si>
  <si>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</si>
  <si>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</si>
  <si>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</si>
  <si>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</si>
  <si>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</si>
  <si>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</si>
  <si>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</si>
  <si>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</si>
  <si>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</si>
  <si>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</si>
  <si>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</si>
  <si>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</si>
  <si>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</si>
  <si>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</si>
  <si>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</si>
  <si>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</si>
  <si>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</si>
  <si>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</si>
  <si>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</si>
  <si>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</si>
  <si>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</si>
  <si>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</si>
  <si>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</si>
  <si>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</si>
  <si>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</si>
  <si>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</si>
  <si>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</si>
  <si>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</si>
  <si>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</si>
  <si>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</si>
  <si>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</si>
  <si>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</si>
  <si>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</si>
  <si>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</si>
  <si>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</si>
  <si>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</si>
  <si>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</si>
  <si>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</si>
  <si>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</si>
  <si>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</si>
  <si>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</si>
  <si>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</si>
  <si>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</si>
  <si>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</si>
  <si>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</si>
  <si>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</si>
  <si>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</si>
  <si>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</si>
  <si>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</si>
  <si>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</si>
  <si>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</si>
  <si>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</si>
  <si>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</si>
  <si>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</si>
  <si>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</si>
  <si>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</si>
  <si>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</si>
  <si>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</si>
  <si>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</si>
  <si>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</si>
  <si>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</si>
  <si>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</si>
  <si>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</si>
  <si>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</si>
  <si>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</si>
  <si>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</si>
  <si>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</si>
  <si>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</si>
  <si>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</si>
  <si>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</si>
  <si>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</si>
  <si>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</si>
  <si>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</si>
  <si>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</si>
  <si>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</si>
  <si>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</si>
  <si>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</si>
  <si>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</si>
  <si>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</si>
  <si>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</si>
  <si>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</si>
  <si>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</si>
  <si>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</si>
  <si>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</si>
  <si>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</si>
  <si>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</si>
  <si>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</si>
  <si>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</si>
  <si>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</si>
  <si>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</si>
  <si>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</si>
  <si>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</si>
  <si>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</si>
  <si>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</si>
  <si>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</si>
  <si>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</si>
  <si>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</si>
  <si>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</si>
  <si>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</si>
  <si>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</si>
  <si>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</si>
  <si>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</si>
  <si>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</si>
  <si>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</si>
  <si>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</si>
  <si>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</si>
  <si>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</si>
  <si>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</si>
  <si>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</si>
  <si>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</si>
  <si>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</si>
  <si>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</si>
  <si>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</si>
  <si>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</si>
  <si>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</si>
  <si>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</si>
  <si>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</si>
  <si>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</si>
  <si>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</si>
  <si>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</si>
  <si>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</si>
  <si>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</si>
  <si>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</si>
  <si>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</si>
  <si>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</si>
  <si>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</si>
  <si>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</si>
  <si>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</si>
  <si>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</si>
  <si>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</si>
  <si>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</si>
  <si>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</si>
  <si>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</si>
  <si>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</si>
  <si>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</si>
  <si>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</si>
  <si>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</si>
  <si>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</si>
  <si>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</si>
  <si>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</si>
  <si>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</si>
  <si>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</si>
  <si>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</si>
  <si>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</si>
  <si>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</si>
  <si>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</si>
  <si>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</si>
  <si>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</si>
  <si>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</si>
  <si>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</si>
  <si>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</si>
  <si>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</si>
  <si>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</si>
  <si>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</si>
  <si>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</si>
  <si>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</si>
  <si>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</si>
  <si>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</si>
  <si>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</si>
  <si>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</si>
  <si>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</si>
  <si>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</si>
  <si>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</si>
  <si>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</si>
  <si>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</si>
  <si>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</si>
  <si>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</si>
  <si>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</si>
  <si>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</si>
  <si>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</si>
  <si>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</si>
  <si>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</si>
  <si>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</si>
  <si>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</si>
  <si>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</si>
  <si>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</si>
  <si>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</si>
  <si>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</si>
  <si>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</si>
  <si>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</si>
  <si>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</si>
  <si>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</si>
  <si>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</si>
  <si>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</si>
  <si>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</si>
  <si>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</si>
  <si>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</si>
  <si>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</si>
  <si>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</si>
  <si>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</si>
  <si>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</si>
  <si>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</si>
  <si>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</si>
  <si>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</si>
  <si>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</si>
  <si>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</si>
  <si>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</si>
  <si>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</si>
  <si>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</si>
  <si>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</si>
  <si>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</si>
  <si>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</si>
  <si>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</si>
  <si>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</si>
  <si>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</si>
  <si>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</si>
  <si>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</si>
  <si>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</si>
  <si>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</si>
  <si>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</si>
  <si>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</si>
  <si>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</si>
  <si>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</si>
  <si>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</si>
  <si>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</si>
  <si>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</si>
  <si>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</si>
  <si>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</si>
  <si>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</si>
  <si>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</si>
  <si>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</si>
  <si>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</si>
  <si>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</si>
  <si>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</si>
  <si>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</si>
  <si>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</si>
  <si>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</si>
  <si>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</si>
  <si>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</si>
  <si>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</si>
  <si>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</si>
  <si>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</si>
  <si>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</si>
  <si>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</si>
  <si>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</si>
  <si>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</si>
  <si>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</si>
  <si>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</si>
  <si>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</si>
  <si>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</si>
  <si>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</si>
  <si>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</si>
  <si>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</si>
  <si>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</si>
  <si>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</si>
  <si>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</si>
  <si>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</si>
  <si>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</si>
  <si>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</si>
  <si>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</si>
  <si>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</si>
  <si>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</si>
  <si>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</si>
  <si>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</si>
  <si>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</si>
  <si>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</si>
  <si>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</si>
  <si>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</si>
  <si>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</si>
  <si>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</si>
  <si>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</si>
  <si>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</si>
  <si>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</si>
  <si>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</si>
  <si>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</si>
  <si>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</si>
  <si>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</si>
  <si>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</si>
  <si>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</si>
  <si>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</si>
  <si>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</si>
  <si>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</si>
  <si>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</si>
  <si>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</si>
  <si>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</si>
  <si>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</si>
  <si>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</si>
  <si>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</si>
  <si>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</si>
  <si>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</si>
  <si>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</si>
  <si>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</si>
  <si>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</si>
  <si>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</si>
  <si>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</si>
  <si>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</si>
  <si>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</si>
  <si>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</si>
  <si>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</si>
  <si>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</si>
  <si>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</si>
  <si>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</si>
  <si>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</si>
  <si>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</si>
  <si>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</si>
  <si>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</si>
  <si>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</si>
  <si>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</si>
  <si>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</si>
  <si>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</si>
  <si>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</si>
  <si>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</si>
  <si>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</si>
  <si>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</si>
  <si>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</si>
  <si>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</si>
  <si>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</si>
  <si>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</si>
  <si>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</si>
  <si>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</si>
  <si>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</si>
  <si>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</si>
  <si>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</si>
  <si>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</si>
  <si>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</si>
  <si>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</si>
  <si>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</si>
  <si>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</si>
  <si>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</si>
  <si>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</si>
  <si>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</si>
  <si>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</si>
  <si>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</si>
  <si>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</si>
  <si>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</si>
  <si>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</si>
  <si>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</si>
  <si>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</si>
  <si>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</si>
  <si>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</si>
  <si>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</si>
  <si>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</si>
  <si>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</si>
  <si>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</si>
  <si>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</si>
  <si>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</si>
  <si>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</si>
  <si>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</si>
  <si>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</si>
  <si>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</si>
  <si>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</si>
  <si>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</si>
  <si>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</si>
  <si>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</si>
  <si>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</si>
  <si>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</si>
  <si>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</si>
  <si>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</si>
  <si>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</si>
  <si>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</si>
  <si>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</si>
  <si>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</si>
  <si>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</si>
  <si>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</si>
  <si>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</si>
  <si>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</si>
  <si>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</si>
  <si>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</si>
  <si>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</si>
  <si>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</si>
  <si>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</si>
  <si>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</si>
  <si>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</si>
  <si>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</si>
  <si>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</si>
  <si>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</si>
  <si>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</si>
  <si>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</si>
  <si>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</si>
  <si>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</si>
  <si>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</si>
  <si>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</si>
  <si>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</si>
  <si>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</si>
  <si>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</si>
  <si>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</si>
  <si>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</si>
  <si>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</si>
  <si>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</si>
  <si>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</si>
  <si>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</si>
  <si>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</si>
  <si>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</si>
  <si>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</si>
  <si>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</si>
  <si>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</si>
  <si>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</si>
  <si>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</si>
  <si>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</si>
  <si>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</si>
  <si>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</si>
  <si>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</si>
  <si>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</si>
  <si>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</si>
  <si>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</si>
  <si>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</si>
  <si>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</si>
  <si>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</si>
  <si>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</si>
  <si>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</si>
  <si>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</si>
  <si>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</si>
  <si>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</si>
  <si>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</si>
  <si>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</si>
  <si>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</si>
  <si>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</si>
  <si>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</si>
  <si>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</si>
  <si>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</si>
  <si>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</si>
  <si>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</si>
  <si>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</si>
  <si>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</si>
  <si>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</si>
  <si>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</si>
  <si>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</si>
  <si>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</si>
  <si>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</si>
  <si>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</si>
  <si>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</si>
  <si>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</si>
  <si>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</si>
  <si>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</si>
  <si>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</si>
  <si>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</si>
  <si>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</si>
  <si>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</si>
  <si>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</si>
  <si>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</si>
  <si>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</si>
  <si>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</si>
  <si>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</si>
  <si>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</si>
  <si>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</si>
  <si>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</si>
  <si>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</si>
  <si>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</si>
  <si>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</si>
  <si>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</si>
  <si>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</si>
  <si>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</si>
  <si>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</si>
  <si>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</si>
  <si>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</si>
  <si>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</si>
  <si>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</si>
  <si>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</si>
  <si>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</si>
  <si>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</si>
  <si>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</si>
  <si>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</si>
  <si>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</si>
  <si>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</si>
  <si>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</si>
  <si>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</si>
  <si>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</si>
  <si>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</si>
  <si>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</si>
  <si>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</si>
  <si>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</si>
  <si>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</si>
  <si>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</si>
  <si>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</si>
  <si>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</si>
  <si>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</si>
  <si>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</si>
  <si>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</si>
  <si>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</si>
  <si>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</si>
  <si>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</si>
  <si>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</si>
  <si>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</si>
  <si>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</si>
  <si>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</si>
  <si>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</si>
  <si>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</si>
  <si>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</si>
  <si>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</si>
  <si>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</si>
  <si>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</si>
  <si>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</si>
  <si>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</si>
  <si>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</si>
  <si>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</si>
  <si>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</si>
  <si>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</si>
  <si>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</si>
  <si>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</si>
  <si>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</si>
  <si>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</si>
  <si>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</si>
  <si>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</si>
  <si>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</si>
  <si>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</si>
  <si>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</si>
  <si>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</si>
  <si>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</si>
  <si>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</si>
  <si>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</si>
  <si>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</si>
  <si>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</si>
  <si>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</si>
  <si>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</si>
  <si>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</si>
  <si>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</si>
  <si>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</si>
  <si>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</si>
  <si>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</si>
  <si>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</si>
  <si>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</si>
  <si>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</si>
  <si>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</si>
  <si>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</si>
  <si>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</si>
  <si>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</si>
  <si>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</si>
  <si>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</si>
  <si>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</si>
  <si>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</si>
  <si>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</si>
  <si>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</si>
  <si>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</si>
  <si>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</si>
  <si>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</si>
  <si>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</si>
  <si>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</si>
  <si>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</si>
  <si>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</si>
  <si>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</si>
  <si>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</si>
  <si>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</si>
  <si>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</si>
  <si>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</si>
  <si>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</si>
  <si>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</si>
  <si>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</si>
  <si>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</si>
  <si>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</si>
  <si>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</si>
  <si>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</si>
  <si>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</si>
  <si>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</si>
  <si>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</si>
  <si>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</si>
  <si>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</si>
  <si>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</si>
  <si>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</si>
  <si>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</si>
  <si>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</si>
  <si>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</si>
  <si>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</si>
  <si>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</si>
  <si>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</si>
  <si>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</si>
  <si>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</si>
  <si>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</si>
  <si>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</si>
  <si>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</si>
  <si>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</si>
  <si>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</si>
  <si>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</si>
  <si>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</si>
  <si>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</si>
  <si>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</si>
  <si>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</si>
  <si>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</si>
  <si>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</si>
  <si>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</si>
  <si>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</si>
  <si>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</si>
  <si>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</si>
  <si>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</si>
  <si>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</si>
  <si>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</si>
  <si>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</si>
  <si>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</si>
  <si>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</si>
  <si>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</si>
  <si>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</si>
  <si>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</si>
  <si>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</si>
  <si>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</si>
  <si>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</si>
  <si>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</si>
  <si>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</si>
  <si>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</si>
  <si>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</si>
  <si>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</si>
  <si>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</si>
  <si>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</si>
  <si>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</si>
  <si>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</si>
  <si>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</si>
  <si>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</si>
  <si>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</si>
  <si>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</si>
  <si>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</si>
  <si>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</si>
  <si>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</si>
  <si>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</si>
  <si>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</si>
  <si>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</si>
  <si>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</si>
  <si>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</si>
  <si>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</si>
  <si>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</si>
  <si>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</si>
  <si>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</si>
  <si>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</si>
  <si>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</si>
  <si>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</si>
  <si>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</si>
  <si>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</si>
  <si>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</si>
  <si>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</si>
  <si>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</si>
  <si>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</si>
  <si>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</si>
  <si>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</si>
  <si>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</si>
  <si>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</si>
  <si>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</si>
  <si>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</si>
  <si>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</si>
  <si>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</si>
  <si>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</si>
  <si>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</si>
  <si>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</si>
  <si>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</si>
  <si>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</si>
  <si>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</si>
  <si>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</si>
  <si>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</si>
  <si>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</si>
  <si>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</si>
  <si>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</si>
  <si>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</si>
  <si>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</si>
  <si>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</si>
  <si>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</si>
  <si>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</si>
  <si>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</si>
  <si>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</si>
  <si>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</si>
  <si>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</si>
  <si>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</si>
  <si>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</si>
  <si>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</si>
  <si>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</si>
  <si>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</si>
  <si>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</si>
  <si>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</si>
  <si>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</si>
  <si>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</si>
  <si>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</si>
  <si>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</si>
  <si>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</si>
  <si>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</si>
  <si>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</si>
  <si>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</si>
  <si>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</si>
  <si>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</si>
  <si>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</si>
  <si>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</si>
  <si>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</si>
  <si>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</si>
  <si>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</si>
  <si>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</si>
  <si>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</si>
  <si>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</si>
  <si>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</si>
  <si>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</si>
  <si>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</si>
  <si>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</si>
  <si>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</si>
  <si>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</si>
  <si>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</si>
  <si>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</si>
  <si>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</si>
  <si>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</si>
  <si>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</si>
  <si>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</si>
  <si>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</si>
  <si>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</si>
  <si>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</si>
  <si>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</si>
  <si>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</si>
  <si>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</si>
  <si>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</si>
  <si>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</si>
  <si>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</si>
  <si>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</si>
  <si>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</si>
  <si>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</si>
  <si>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</si>
  <si>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</si>
  <si>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</si>
  <si>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</si>
  <si>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</si>
  <si>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</si>
  <si>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</si>
  <si>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</si>
  <si>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</si>
  <si>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</si>
  <si>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</si>
  <si>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</si>
  <si>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</si>
  <si>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</si>
  <si>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</si>
  <si>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</si>
  <si>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</si>
  <si>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</si>
  <si>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</si>
  <si>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</si>
  <si>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</si>
  <si>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</si>
  <si>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</si>
  <si>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</si>
  <si>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</si>
  <si>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</si>
  <si>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</si>
  <si>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</si>
  <si>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</si>
  <si>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</si>
  <si>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</si>
  <si>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</si>
  <si>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</si>
  <si>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</si>
  <si>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</si>
  <si>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</si>
  <si>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</si>
  <si>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</si>
  <si>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</si>
  <si>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</si>
  <si>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</si>
  <si>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</si>
  <si>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</si>
  <si>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</si>
  <si>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</si>
  <si>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</si>
  <si>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</si>
  <si>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</si>
  <si>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</si>
  <si>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</si>
  <si>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</si>
  <si>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</si>
  <si>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</si>
  <si>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</si>
  <si>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</si>
  <si>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</si>
  <si>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</si>
  <si>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</si>
  <si>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</si>
  <si>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</si>
  <si>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</si>
  <si>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</si>
  <si>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</si>
  <si>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</si>
  <si>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</si>
  <si>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</si>
  <si>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</si>
  <si>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</si>
  <si>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</si>
  <si>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</si>
  <si>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</si>
  <si>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</si>
  <si>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</si>
  <si>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</si>
  <si>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</si>
  <si>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</si>
  <si>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</si>
  <si>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</si>
  <si>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</si>
  <si>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</si>
  <si>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</si>
  <si>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</si>
  <si>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</si>
  <si>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</si>
  <si>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</si>
  <si>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</si>
  <si>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N/A</t>
  </si>
  <si>
    <t>GROW YOUR OWN PLANT IN CAN</t>
  </si>
  <si>
    <t>ZINC WILLIE WINKIE CANDLESTICK</t>
  </si>
  <si>
    <t>Issue Found</t>
  </si>
  <si>
    <t>column</t>
  </si>
  <si>
    <t>Action Taken</t>
  </si>
  <si>
    <t>Result</t>
  </si>
  <si>
    <t>Arrangement of columns</t>
  </si>
  <si>
    <t>Invoice, Customer ID</t>
  </si>
  <si>
    <t>Rearrnage the columns</t>
  </si>
  <si>
    <t>inconsistent text formatting</t>
  </si>
  <si>
    <t>Duplicates</t>
  </si>
  <si>
    <t>country</t>
  </si>
  <si>
    <t>duplicates removed</t>
  </si>
  <si>
    <t>Missing values</t>
  </si>
  <si>
    <t>Description, quantity, price, customer ID and country,</t>
  </si>
  <si>
    <t>Reviewed and documented</t>
  </si>
  <si>
    <t>Missing Values handled</t>
  </si>
  <si>
    <t>Data types</t>
  </si>
  <si>
    <t>All columns</t>
  </si>
  <si>
    <t>Reviewed and corrected data types</t>
  </si>
  <si>
    <t>Data types corected</t>
  </si>
  <si>
    <t>Date and Time were combined</t>
  </si>
  <si>
    <t>Date and time now in different columns</t>
  </si>
  <si>
    <t xml:space="preserve">Some numbers were stored as text </t>
  </si>
  <si>
    <t>Stock code, quantity and Price</t>
  </si>
  <si>
    <t>Affected cells were standardized to its correct data types</t>
  </si>
  <si>
    <t>Invoice date</t>
  </si>
  <si>
    <t>Separated date and time into two different columns</t>
  </si>
  <si>
    <t>Corrrected the affected cells to their correct data types</t>
  </si>
  <si>
    <t>Remove duplicates</t>
  </si>
  <si>
    <t>Formatted text</t>
  </si>
  <si>
    <t>Columns arranged</t>
  </si>
  <si>
    <t>Consistent text format</t>
  </si>
  <si>
    <t>85202</t>
  </si>
  <si>
    <t>PM</t>
  </si>
  <si>
    <t>AM</t>
  </si>
  <si>
    <t>16-11-2010</t>
  </si>
  <si>
    <t>27-10-2010</t>
  </si>
  <si>
    <t>31-03-2010</t>
  </si>
  <si>
    <t>31/03/2010</t>
  </si>
  <si>
    <t>26/08/2010</t>
  </si>
  <si>
    <t>Invoice Time</t>
  </si>
  <si>
    <t>Invoice Date</t>
  </si>
  <si>
    <t>12511</t>
  </si>
  <si>
    <t>Negative Value</t>
  </si>
  <si>
    <t>Edited negative values to positive values</t>
  </si>
  <si>
    <t>Nergative Values removed</t>
  </si>
  <si>
    <t xml:space="preserve">CUT GLASS T-LIGHT HOLDER OCTAGON  </t>
  </si>
  <si>
    <t>Revenue</t>
  </si>
  <si>
    <t>Number of Transactions</t>
  </si>
  <si>
    <t>Average revenue</t>
  </si>
  <si>
    <t>Row Labels</t>
  </si>
  <si>
    <t>Grand Total</t>
  </si>
  <si>
    <t>Total Revenue</t>
  </si>
  <si>
    <t>Sum of Revenue</t>
  </si>
  <si>
    <t>key Insights</t>
  </si>
  <si>
    <t>country with the highest number of Transactions</t>
  </si>
  <si>
    <t>country with the highest total revenue</t>
  </si>
  <si>
    <t>country with the hughest average transaction revenue</t>
  </si>
  <si>
    <t>Nethelands</t>
  </si>
  <si>
    <t>Top five country by total revenue</t>
  </si>
  <si>
    <t xml:space="preserve">Denmark </t>
  </si>
  <si>
    <t xml:space="preserve">France </t>
  </si>
  <si>
    <t>Gold wine Glass</t>
  </si>
  <si>
    <t>Product that generated the highest revenue</t>
  </si>
  <si>
    <t>High transaction doesnot mean high average revenue</t>
  </si>
  <si>
    <t>Revenue is concentrated among a small group of top performing countries</t>
  </si>
  <si>
    <t>Revenue is not evenly distributed among Products</t>
  </si>
  <si>
    <t>A  small number of Products contribute a large share of the total revenue</t>
  </si>
  <si>
    <t>The business generated a total revenue of 24,586.40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</si>
</sst>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164" fontId="3" fillId="0" borderId="0" xfId="0" applyNumberFormat="1" applyFont="1"/>
    <xf numFmtId="49" fontId="2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/>
    <xf numFmtId="1" fontId="0" fillId="0" borderId="0" xfId="1" applyNumberFormat="1" applyFont="1"/>
    <xf numFmtId="1" fontId="1" fillId="0" borderId="0" xfId="1" applyNumberFormat="1"/>
    <xf numFmtId="14" fontId="0" fillId="0" borderId="0" xfId="0" applyNumberFormat="1"/>
    <xf numFmtId="164" fontId="3" fillId="0" borderId="0" xfId="1" applyNumberFormat="1" applyFont="1"/>
    <xf numFmtId="165" fontId="1" fillId="0" borderId="0" xfId="1" applyNumberFormat="1"/>
    <xf numFmtId="0" fontId="0" fillId="0" borderId="0" xfId="1" applyFont="1"/>
    <xf numFmtId="49" fontId="0" fillId="0" borderId="0" xfId="1" applyNumberFormat="1" applyFont="1"/>
    <xf numFmtId="0" fontId="1" fillId="0" borderId="0" xfId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21" fontId="0" fillId="0" borderId="0" xfId="0" applyNumberFormat="1"/>
    <xf numFmtId="20" fontId="0" fillId="0" borderId="0" xfId="0" applyNumberFormat="1"/>
    <xf numFmtId="0" fontId="4" fillId="2" borderId="4" xfId="0" applyFont="1" applyFill="1" applyBorder="1"/>
    <xf numFmtId="0" fontId="4" fillId="2" borderId="5" xfId="0" applyFont="1" applyFill="1" applyBorder="1"/>
    <xf numFmtId="0" fontId="0" fillId="0" borderId="3" xfId="0" applyBorder="1"/>
    <xf numFmtId="0" fontId="0" fillId="0" borderId="2" xfId="0" applyBorder="1"/>
    <xf numFmtId="0" fontId="0" fillId="3" borderId="4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2" fillId="3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165" fontId="4" fillId="2" borderId="5" xfId="0" applyNumberFormat="1" applyFont="1" applyFill="1" applyBorder="1"/>
    <xf numFmtId="165" fontId="0" fillId="3" borderId="5" xfId="0" applyNumberFormat="1" applyFill="1" applyBorder="1"/>
    <xf numFmtId="165" fontId="0" fillId="0" borderId="5" xfId="0" applyNumberFormat="1" applyBorder="1"/>
    <xf numFmtId="165" fontId="0" fillId="0" borderId="2" xfId="0" applyNumberFormat="1" applyBorder="1"/>
  </cellXfs>
  <cellStyles count="2">
    <cellStyle name="Normal" xfId="0" builtinId="0"/>
    <cellStyle name="Normal 2" xfId="1" xr:uid="{68EE54C8-FBE6-4C54-AC55-D9B997980C13}"/>
  </cellStyles>
  <dxfs count="10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" refreshedDate="46269.705064351852" createdVersion="8" refreshedVersion="8" minRefreshableVersion="3" recordCount="1020" xr:uid="{4A0EAC43-B86B-424B-ADB7-5D4A4615C3BA}">
  <cacheSource type="worksheet">
    <worksheetSource ref="A1:P1021" sheet="Sheet2"/>
  </cacheSource>
  <cacheFields count="16">
    <cacheField name="Customer ID" numFmtId="49">
      <sharedItems containsMixedTypes="1" containsNumber="1" containsInteger="1" minValue="12356" maxValue="18279"/>
    </cacheField>
    <cacheField name="StockCode" numFmtId="49">
      <sharedItems containsMixedTypes="1" containsNumber="1" containsInteger="1" minValue="10125" maxValue="90096"/>
    </cacheField>
    <cacheField name="Description" numFmtId="49">
      <sharedItems count="742">
        <s v="ENCHANTED BIRD COATHANGER 5 HOOK"/>
        <s v="FIVE HEART HANGING DECORATION"/>
        <s v="LOO ROLL  METAL SIGN "/>
        <s v="RECIPE BOX WITH METAL HEART"/>
        <s v="ZINC METAL HEART DECORATION"/>
        <s v="STRAWBERRY LUNCHBOX WITH CUTLERY"/>
        <s v="CUT GLASS T-LIGHT HOLDER OCTAGON  "/>
        <s v="METAL MERRY CHRISTMAS WREATH"/>
        <s v="PAPER CHAIN KIT RETRO SPOT"/>
        <s v="RED/WHITE DOTS RUFFLED UMBRELLA"/>
        <s v="RETROSPOT CHILDRENS APRON"/>
        <s v="ANTIQUE SILVER TEA GLASS ETCHED"/>
        <s v="WOOD BLACK BOARD ANT WHITE FINISH"/>
        <s v="CHILDS GARDEN BRUSH PINK"/>
        <s v="WOODEN SCHOOL COLOURING SET"/>
        <s v="CLEAR MILKSHAKE GLASS"/>
        <s v="DOOR MAT WELCOME PUPPIES"/>
        <s v="MINI FUNKY DESIGN TAPES"/>
        <s v="SMALL SILVER TRELLIS CANDLEPOT"/>
        <s v="IVORY ENCHANTED FOREST PLACEMAT"/>
        <s v="METAL SIGN TAKE IT OR LEAVE IT "/>
        <s v="36 PENCILS TUBE RED SPOTTY"/>
        <s v=" WHITE CHERRY LIGHTS"/>
        <s v="PURPLE PAPER PARASOL"/>
        <s v="N/A"/>
        <s v="WHITE ADVENT CANDLE"/>
        <s v="WHITE TISSUE REAM"/>
        <s v="VICTORIAN SEWING BOX LARGE"/>
        <s v="SET/10 PINK POLKADOT PARTY CANDLES"/>
        <s v="ETCHED GLASS STAR TREE DECORATION"/>
        <s v="EDWARDIAN PARASOL BLACK"/>
        <s v="PARTY BUNTING"/>
        <s v="FELTCRAFT CUSHION BUTTERFLY"/>
        <s v="JUMBO STORAGE BAG SKULLS"/>
        <s v="PLASTERS IN TIN CIRCUS PARADE "/>
        <s v="BLUE POLKADOT WRAP"/>
        <s v="SMALL HEART MEASURING SPOONS"/>
        <s v="SET OF 4 FAIRY CAKES COASTERS "/>
        <s v="S/6 WOODEN SKITTLES IN COTTON BAG"/>
        <s v="KEY FOB , SHED"/>
        <s v="JUMBO BAG WOODLAND ANIMALS"/>
        <s v="PLASTERS IN TIN SPACEBOY"/>
        <s v="RED HEART SHAPE LOVE BUCKET "/>
        <s v="ZINC WILLIE WINKIE  CANDLE STICK"/>
        <s v="GREEN  DIAMANTE PEN IN GIFT BOX"/>
        <s v="HANGING GLASS ETCHED TEALIGHT"/>
        <s v="VINTAGE CARAVAN GIFT WRAP"/>
        <s v="  HANGING HEART JAR T-LIGHT HOLDER  "/>
        <s v="DOORSTOP RUSSIAN DOLL RETROSPOT"/>
        <s v="SET/5 RED SPOTTY LID GLASS BOWLS"/>
        <s v="SET 7 BABUSHKA NESTING BOXES"/>
        <s v="CAKE STAND 3 TIER MAGIC GARDEN"/>
        <s v="TOY TIDY SPACEBOY  "/>
        <s v="ELEPHANT TOY WITH BLUE T-SHIRT"/>
        <s v="COLOUR GLASS. STAR T-LIGHT HOLDER"/>
        <s v="TRADITIONAL WOODEN CATCH CUP GAME "/>
        <s v="RED SPOTTY CHILDS APRON"/>
        <s v="VINTAGE UNION JACK CUSHION COVER"/>
        <s v="ROUND SNACK BOXES SET OF 4 FRUITS "/>
        <s v="PINK PATCH PENCIL CASE BLUE HEART"/>
        <s v="RAINY LADIES BIRTHDAY CARD"/>
        <s v="POPPY'S PLAYHOUSE BEDROOM "/>
        <s v="RED TOADSTOOL LED NIGHT LIGHT"/>
        <s v="CHARLOTTE BAG , SUKI DESIGN"/>
        <s v="GREEN GINGHAM FLOWER JEWELLERY BOX"/>
        <s v="DOORMAT UNION FLAG"/>
        <s v="JOY WOODEN BLOCK LETTERS"/>
        <s v="RECIPE BOX BLUE SKETCHBOOK DESIGN"/>
        <s v="WOODEN CROQUET GARDEN SET"/>
        <s v="SET/3 VANILLA SCENTED CANDLE IN BOX"/>
        <s v="SET OF 9 HEART SHAPED BALLOONS"/>
        <s v="BIRD DECORATION RED SPOT"/>
        <s v="6 RIBBONS EMPIRE  "/>
        <s v="ASSORTED FARMYARD ANIMALS IN BUCKET"/>
        <s v="SET/10 RED SPOTTY PARTY CANDLES"/>
        <s v="WALL TIDY RETROSPOT "/>
        <s v="GIN + TONIC DIET METAL SIGN"/>
        <s v="FELT EGG COSY CHICKEN"/>
        <s v="DOOR MAT ENGLISH ROSE "/>
        <s v="CREAM FELT EASTER EGG BASKET"/>
        <s v="HEART FILIGREE DOVE  SMALL"/>
        <s v="PACK OF 72 RETRO SPOT CAKE CASES"/>
        <s v="SET OF 3 BUTTERFLY COOKIE CUTTERS"/>
        <s v="MOUSE TOY WITH PINK T-SHIRT"/>
        <s v="SET3 BOOK BOX GREEN GINGHAM FLOWER "/>
        <s v="SWEETHEART KEY CABINET"/>
        <s v="PACK OF 12 PINK POLKADOT TISSUES"/>
        <s v="RED RETROSPOT SMALL MILK JUG"/>
        <s v="ASSORTED COLOUR MINI CASES"/>
        <s v="RETRO SPOT TEA SET CERAMIC 11 PC "/>
        <s v="SET 3 RED SPOT TIN TEA,COFFEE,SUGAR"/>
        <s v="WOODLAND STORAGE BOX SMALL"/>
        <s v="BLUE FELT EASTER EGG BASKET"/>
        <s v="SILVER GLASS T-LIGHT SET"/>
        <s v="RED 3 PIECE MINI DOTS CUTLERY SET"/>
        <s v="ASSORTED COLOUR BIRD ORNAMENT"/>
        <s v="APRON MODERN VINTAGE COTTON"/>
        <s v="GLASS STAR FROSTED T-LIGHT HOLDER"/>
        <s v="GREY HEART HOT WATER BOTTLE"/>
        <s v="BINGO SET"/>
        <s v="3D TRADITIONAL CHRISTMAS STICKERS"/>
        <s v="WOOD STAMP SET THANK YOU"/>
        <s v="CHRISTMAS CRAFT TREE TOP ANGEL"/>
        <s v="WHITE HANGING HEART T-LIGHT HOLDER"/>
        <s v="METAL DECORATION NAUGHTY CHILDREN "/>
        <s v="STRAWBERRY BATH SPONGE "/>
        <s v="SET OF 20 VINTAGE CHRISTMAS NAPKINS"/>
        <s v="HANGING FAIRY CAKE DECORATION"/>
        <s v="ENGLISH ROSE DESIGN PEG BAG"/>
        <s v="RED 3 PIECE RETROSPOT CUTLERY SET"/>
        <s v="BALLOON WATER BOMB PACK OF 35"/>
        <s v="GOLD WINE GLASS"/>
        <s v="HEART OF WICKER LARGE"/>
        <s v="LADLE LOVE HEART RED "/>
        <s v="SKULLS WRITING SET "/>
        <s v="WOODEN ADVENT CALENDAR RED"/>
        <s v="RECYCLING BAG RETROSPOT "/>
        <s v="RUSTIC WOODEN CABINET, GLASS DOORS"/>
        <s v="RIBBON REEL STRIPES DESIGN "/>
        <s v="SCOTTIES DESIGN WASHBAG"/>
        <s v="COFFEE MUG APPLES DESIGN"/>
        <s v="BAKING SET SPACEBOY DESIGN"/>
        <s v="SPACEBOY CHILDRENS EGG CUP"/>
        <s v="S/3 FLWR FAIRY ROSE CANDLES"/>
        <s v="SCOTTIE DOG HOT WATER BOTTLE"/>
        <s v="ECONOMY PASSPORT COVER "/>
        <s v="GLAMOROUS  MUG"/>
        <s v="LIPSTICK PEN FUSCHIA"/>
        <s v="PACK OF 20 SPACEBOY NAPKINS"/>
        <s v="DOOR MAT UNION FLAG"/>
        <s v="CHRISTMAS GINGHAM HEART"/>
        <s v="ORANGE SCENTED SET/9 T-LIGHTS"/>
        <s v="PACK OF 6 SKULL PAPER CUPS"/>
        <s v="UNION JACK FLAG LUGGAGE TAG"/>
        <s v="RETRO RED SPOTTY WASHING UP GLOVES"/>
        <s v="LADIES &amp; GENTLEMEN METAL SIGN"/>
        <s v="I CAN ONLY PLEASE ONE PERSON MUG"/>
        <s v="VICTORIAN GLASS HANGING T-LIGHT"/>
        <s v="NO JUNK MAIL METAL SIGN"/>
        <s v="DOORMAT HEARTS"/>
        <s v="6 RIBBONS RUSTIC CHARM"/>
        <s v="FOLDING UMBRELLA  PINK/WHITE  SPOT"/>
        <s v="CHOCOLATE HOT WATER BOTTLE"/>
        <s v="DOORMAT 3 SMILEY CATS"/>
        <s v="GARDENERS KNEELING PAD"/>
        <s v="FIRST AID TIN"/>
        <s v="BLACK DINER WALL CLOCK"/>
        <s v="FELT FARM ANIMAL CHICKEN"/>
        <s v="JUMBO SHOPPER VINTAGE RED PAISLEY"/>
        <s v="ENAMEL MEASURING JUG CREAM"/>
        <s v="HOT WATER BOTTLE I AM SO POORLY"/>
        <s v="GLASS  BEURRE DISH"/>
        <s v="SET OF 3 NOTEBOOKS IN PARCEL"/>
        <s v="GLASS ETCHED T-LIGHT HOLDER MEDIUM"/>
        <s v="VICTORIAN  METAL POSTCARD SPRING"/>
        <s v="ARCHED GREY MIRROR"/>
        <s v="CALENDAR PAPER CUT DESIGN"/>
        <s v="CERAMIC CAKE DESIGN SPOTTED PLATE"/>
        <s v="ASSORTED CAKES FRIDGE MAGNETS"/>
        <s v="SMALL TALL CAMPHOR WOOD TOADSTOOL"/>
        <s v="CERAMIC CAKE DESIGN SPOTTED MUG"/>
        <s v="6 EGG HOUSE PAINTED WOOD"/>
        <s v="CERAMIC LOVE HEARTS DESIGN MUG"/>
        <s v="SPRING DEC , HANGING CHICK  YELLOW"/>
        <s v="PLACE SETTING WHITE HEART"/>
        <s v="ENCHANTED BIRD PLANT CAGE"/>
        <s v="LUNCH BAG WOODLAND"/>
        <s v="RED LOVE HEART SHAPE CUP"/>
        <s v="WOODEN FRAME ANTIQUE WHITE "/>
        <s v="HALL CABINET WITH 3 DRAWERS"/>
        <s v="FELTCRAFT CHRISTMAS FAIRY"/>
        <s v="PINK CAT BOWL"/>
        <s v="ASS FLORAL PRINT SCISSORS"/>
        <s v="KINGS CHOICE GIANT TUBE MATCHES"/>
        <s v="GOLD FABRIC MIRROR"/>
        <s v="TEA TIME TEAPOT IN GIFT BOX"/>
        <s v="PACK OF 72 SKULL CAKE CASES"/>
        <s v="36 FOIL HEART CAKE CASES"/>
        <s v="HAND WARMER UNION JACK"/>
        <s v="PINK  HEART SHAPE LOVE BUCKET "/>
        <s v="JAZZ HEARTS PURSE NOTEBOOK"/>
        <s v="PICNIC BASKET WICKER LARGE"/>
        <s v="CANDY BUTTON PHOTO ALBUM"/>
        <s v="RETRO SPOT CAKE STAND"/>
        <s v="WOODEN ROUNDERS GARDEN SET "/>
        <s v="GROW YOUR OWN BASIL IN ENAMEL MUG"/>
        <s v="BUNNY EGG BOX"/>
        <s v="VINTAGE SNAP CARDS"/>
        <s v="SWALLOW WOODEN CHRISTMAS DECORATION"/>
        <s v="PLASTERS IN TIN SKULLS"/>
        <s v="MAGNETS PACK OF 4 RETRO PHOTO"/>
        <s v="SILVER TEDDY BEAR"/>
        <s v="SET OF 6 VINTAGE NOTELETS KIT"/>
        <s v="CREAM CUPID HEARTS COAT HANGER"/>
        <s v="BLUE SCOTTIE DOG W FLOWER PATTERN"/>
        <s v="NO SINGING METAL SIGN"/>
        <s v="WRAP PINK FAIRY CAKES "/>
        <s v="WATERING CAN SINGLE HOOK PISTACHIO"/>
        <s v="CARD HOLDER GINGHAM HEART"/>
        <s v="BLUE DRAGONFLY HELICOPTER"/>
        <s v="CHOCOLATE THIS WAY METAL SIGN"/>
        <s v="JUMBO BAG RED RETROSPOT"/>
        <s v="PACK OF 60 MUSHROOM CAKE CASES"/>
        <s v="DOOR MAT RED SPOT"/>
        <s v="CHRISTMAS CRAFT HEART DECORATIONS"/>
        <s v="GLOW IN DARK DOLPHINS"/>
        <s v="WORLD WAR 2 GLIDERS ASSTD DESIGNS"/>
        <s v="YOU'RE CONFUSING ME METAL SIGN "/>
        <s v="WRAP, FRIENDSHIP ON GREEN"/>
        <s v="TEA TIME CAKE STAND IN GIFT BOX"/>
        <s v="WOODEN STAR CHRISTMAS SCANDINAVIAN"/>
        <s v="CALENDAR IN SEASON DESIGN"/>
        <s v="BLACK/BLUE DOTS RUFFLED UMBRELLA"/>
        <s v="BLUE  SPOTTY PLATE "/>
        <s v="LARGE CAKE STAND HANGING HEARTS"/>
        <s v="HANGING WOOD AND FELT HEART"/>
        <s v="CHILDRENS APRON SPACEBOY DESIGN"/>
        <s v="BROCADE RING PURSE "/>
        <s v="COSY SLIPPER SHOES LARGE GREEN"/>
        <s v="RIBBON REEL SPOTS DESIGN "/>
        <s v="VINTAGE UNION JACK DOORSTOP"/>
        <s v="KASHMIR FOLKART TUMBLERS"/>
        <s v="PACK OF 6 HANDBAG GIFT BOXES"/>
        <s v="LUNCH BAG PINK RETROSPOT"/>
        <s v="ABSTRACT CIRCLE JOURNAL "/>
        <s v="RED BABY BUNTING "/>
        <s v="  CHARLOTTE BAG PINK WITH WHITE SPOTS  "/>
        <s v="WOODLAND PARTY BAG + STICKER SET"/>
        <s v="BLUE TEA TOWEL CLASSIC DESIGN"/>
        <s v="METAL 4 HOOK HANGER FRENCH CHATEAU"/>
        <s v="SPACEBOY TV DINNER TRAY"/>
        <s v="STRAWBERRY   PICNIC BAG"/>
        <s v="SET OF 6 GIRLS CELEBRATION CANDLES"/>
        <s v="RETRO COFFEE MUGS ASSORTED"/>
        <s v="OLD DOC RUSSEL METAL SIGN"/>
        <s v="BLUE STONES ON WIRE FOR CANDLE"/>
        <s v="POTTING SHED CANDLE CITRONELLA"/>
        <s v="DAIRY MAID SUGAR JAM BOWL"/>
        <s v="BATH DUCK WATERING CAN"/>
        <s v="JUMBO BAG DOLLY GIRL DESIGN"/>
        <s v="TRADITIONAL WOODEN SKIPPING ROPE"/>
        <s v="GINGHAM ROSE WRAP"/>
        <s v="DINOSAUR PARTY BAG + STICKER SET"/>
        <s v="SANDWICH BATH SPONGE"/>
        <s v="MINI JIGSAW DOLLY GIRL"/>
        <s v="WOODEN BOX ADVENT CALENDAR "/>
        <s v="JARDIN ETCHED GLASS SMALL BELL JAR"/>
        <s v="RECIPE BOX RETRO SPOT DESIGN"/>
        <s v="SET OF 3 SILVER FLYING DUCKS"/>
        <s v="ROBIN CHRISTMAS CARD"/>
        <s v="DOORMAT I LOVE LONDON"/>
        <s v="SMALL GLASS HEART TRINKET POT"/>
        <s v="12 PENCIL SMALL TUBE WOODLAND"/>
        <s v="HOME BUILDING BLOCK WORD"/>
        <s v="KINGS CHOICE CIGAR BOX MATCHES "/>
        <s v="WOODEN BOX OF DOMINOES"/>
        <s v="RED  HARMONICA IN BOX "/>
        <s v="SINGLE HEART ZINC T-LIGHT HOLDER"/>
        <s v="KEY FOB , GARAGE DESIGN"/>
        <s v="HEART GARLAND RUSTIC PADDED"/>
        <s v="WICKER STAR "/>
        <s v="WHITE JEWELLED HEART DECORATION"/>
        <s v="  CHILDRENS GARDEN GLOVES BLUE  "/>
        <s v="MIDNIGHT GLAMOUR SCARF KNITTING KIT"/>
        <s v="FRYING PAN BLUE POLKADOT "/>
        <s v="LOVE BUILDING BLOCK WORD"/>
        <s v="COFFEE MUG PEARS  DESIGN"/>
        <s v="POPCORN HOLDER , SMALL "/>
        <s v="VINTAGE CREAM 3 BASKET CAKE STAND"/>
        <s v="CHRISTMAS RETROSPOT STAR WOOD"/>
        <s v="RETRO SPOT STORAGE JAR"/>
        <s v="SOAP DISH BROCANTE"/>
        <s v="CHRISTMAS CRAFT LITTLE FRIENDS"/>
        <s v="  JUMBO SHOPPER VINTAGE RED PAISLEY  "/>
        <s v="TEA TIME TABLE CLOTH"/>
        <s v="LARGE SILVER BALUSTRADE CANDLESTICK"/>
        <s v="WHITE BEADED GARLAND STRING 20LIGHT"/>
        <s v="CERAMIC BIRDHOUSE BLACK ROSE  LARGE"/>
        <s v="CHRISTMAS CRAFT HEART STOCKING "/>
        <s v="WOOD 2 DRAWER CABINET WHITE FINISH"/>
        <s v="FAIRY CAKES NOTEBOOK A7 SIZE"/>
        <s v="SET/2 BLUE  NOODLE BASKETS"/>
        <s v="PACK OF 6 SWEETIE GIFT BOXES"/>
        <s v="ALARM CLOCK BAKELIKE GREEN"/>
        <s v="MINI PAINT SET VINTAGE "/>
        <s v="T-LIGHT HOLDER HANGING LACE"/>
        <s v="KINGS CHOICE TEA CADDY "/>
        <s v="FELTCRAFT BUTTERFLY HEARTS"/>
        <s v="CHRISTMAS RETROSPOT HEART WOOD"/>
        <s v="NATURAL SLATE HEART CHALKBOARD "/>
        <s v="  RIBBON REEL SPOTS DESIGN  "/>
        <s v="3 STRIPEY MICE FELTCRAFT"/>
        <s v="EAU DE NILE HEART SHAPE PHOTO FRAME"/>
        <s v="BLUE 3 PIECE POLKADOT CUTLERY SET"/>
        <s v="GRAND CHOCOLATECANDLE"/>
        <s v="LARGE ROUND WICKER PLATTER "/>
        <s v="72 SWEETHEART FAIRY CAKE CASES"/>
        <s v="BLUE 3 PIECE MINI DOTS CUTLERY SET"/>
        <s v="LUNCHBOX WITH CUTLERY RETROSPOT "/>
        <s v="SWEET VALENCIA CANDLE+CUP"/>
        <s v="SET OF 3 RED STRIPE BASKETS"/>
        <s v="GLASS HEART T-LIGHT HOLDER "/>
        <s v="CHILDS GARDEN TROWEL BLUE "/>
        <s v="GROW YOUR OWN PLANT IN A CAN "/>
        <s v="CHILDS GARDEN FORK PINK"/>
        <s v="ASSORTED COLOUR T-LIGHT HOLDER"/>
        <s v="REX CASH+CARRY JUMBO SHOPPER"/>
        <s v="STRAWBERRY LUNCH BOX WITH CUTLERY"/>
        <s v="HEART SHAPED MIRROR"/>
        <s v="NEW BAROQUE SMALL NECKLACE BLACK"/>
        <s v="DOCTOR'S BAG SOFT TOY"/>
        <s v="BLACK PIRATE TREASURE CHEST"/>
        <s v="CHICK GREY HOT WATER BOTTLE"/>
        <s v="WHITE SKULL HOT WATER BOTTLE "/>
        <s v="RED KITCHEN SCALES"/>
        <s v="CINAMMON SET OF 9 T-LIGHTS"/>
        <s v="HAND WARMER BIRD DESIGN"/>
        <s v="HAND WARMER OWL DESIGN"/>
        <s v="  PLEASE ONE PERSON  METAL SIGN  "/>
        <s v="CHRISTMAS MUSICAL ZINC STAR"/>
        <s v="S/15 SILVER GLASS BAUBLES IN BAG"/>
        <s v="GREEN DRAWER KNOB ACRYLIC EDWARDIAN"/>
        <s v="JUMBO STORAGE BAG SUKI"/>
        <s v="GIN &amp; TONIC DIET GREETING CARD "/>
        <s v="SET/3 POLKA DOT STACKING TINS"/>
        <s v="DOOR MAT BLACK FLOCK "/>
        <s v="LA PALMIERA TILE COASTER"/>
        <s v="JUMBO BAG SCANDINAVIAN PAISLEY"/>
        <s v="ANGEL DECORATION 3 BUTTONS "/>
        <s v="RIBBON REEL CHRISTMAS SOCK BAUBLE"/>
        <s v="BLUE FLY SWAT"/>
        <s v="NATURAL BARK CANDLE LARGE"/>
        <s v="SWALLOWS GREETING CARD"/>
        <s v="PACK OF 6 SKULL PAPER PLATES"/>
        <s v="FELTCRAFT 6 FLOWER FRIENDS"/>
        <s v="PACK OF 60 SPACEBOY CAKE CASES"/>
        <s v="  ROUND SNACK BOXES SET OF 4 FRUITS  "/>
        <s v="SET 3 WICKER LOG BASKETS"/>
        <s v="RED RETROSPOT TEA CUP AND SAUCER "/>
        <s v="RED SPOTTY PEG BAG"/>
        <s v="  LIGHT BIRD HOUSE TREE DECORATION  "/>
        <s v="JUMBO BAG PINK VINTAGE PAISLEY"/>
        <s v="POLYESTER FILLER PAD 45x45cm"/>
        <s v="CERAMIC CHERRY CAKE MONEY BANK"/>
        <s v="MINI WOODEN HAPPY BIRTHDAY GARLAND"/>
        <s v="STRAWBERRY CERAMIC TRINKET BOX"/>
        <s v="WHITE LOVEBIRD LANTERN"/>
        <s v="COSY HOUR CIGAR BOX MATCHES "/>
        <s v="ABSTRACT CIRCLES SKETCHBOOK "/>
        <s v="VINTAGE BILLBOARD LOVE/HATE MUG"/>
        <s v="SET 5 MINI DOUGHNUT FRIDGE MAGNET "/>
        <s v="HAND WARMER SCOTTY DOG DESIGN"/>
        <s v="NECKLACE+BRACELET SET BLUE BLOSSOM"/>
        <s v="GROW YOUR OWN PLANT IN CAN"/>
        <s v="ASSORTED FLOWER COLOUR &quot;LEIS&quot;"/>
        <s v="MOROCCAN TEA GLASS"/>
        <s v="LARGE CAKE STAND  HANGING STRAWBERY"/>
        <s v="SKULL SHOULDER BAG"/>
        <s v="HAND WARMER RED RETROSPOT"/>
        <s v="HANGING METAL STAR LANTERN"/>
        <s v="WATERING CAN BLUE ELEPHANT"/>
        <s v="CINAMMON &amp; ORANGE WREATH"/>
        <s v="PARTY CONES CARNIVAL ASSORTED"/>
        <s v="FOLDING UMBRELLA BLACKBLUE POLKADOT"/>
        <s v="RED WOOLLY HOTTIE WHITE HEART."/>
        <s v="VANILLA SCENT CANDLE JEWELLED BOX"/>
        <s v="BLUE SPOTTY LUGGAGE TAG "/>
        <s v="CERAMIC BOWL WITH STRAWBERRY DESIGN"/>
        <s v="CARDHOLDER GINGHAM STAR"/>
        <s v="UNION JACK GUNS &amp; ROSES  DOORMAT"/>
        <s v="12 PINK ROSE PEG PLACE SETTINGS"/>
        <s v="ILLUSTRATED CAT BOWL "/>
        <s v="SET/6 STRAWBERRY PAPER CUPS"/>
        <s v="SWEETHEART CERAMIC TRINKET BOX"/>
        <s v="VINTAGE UNION JACK MEMOBOARD"/>
        <s v="PAINTED METAL TREE WITH HOLLY BELLS"/>
        <s v="PACK OF 72 RETROSPOT CAKE CASES"/>
        <s v="PLEASE ONE PERSON METAL SIGN"/>
        <s v="  REGENCY CAKESTAND 3 TIER  "/>
        <s v="CHRYSANTHEMUM  JOURNAL"/>
        <s v="GREEN MINI TAPE MEASURE "/>
        <s v="RED SPOTTY OVEN GLOVE "/>
        <s v="RETRO PLASTIC 70'S TRAY"/>
        <s v="BLACK HEART CARD HOLDER"/>
        <s v="RED WHITE SCARF  HOT WATER BOTTLE"/>
        <s v="BREAD BIN DINER STYLE IVORY"/>
        <s v="KITTENS DESIGN FLANNEL"/>
        <s v="STRAWBERRY CHARLOTTE BAG"/>
        <s v="NURSE'S BAG SOFT TOY"/>
        <s v="EMPIRE BIRTHDAY CARD"/>
        <s v="PINK CREAM FELT CRAFT TRINKET BOX "/>
        <s v="DINOSAUR LUNCH BOX WITH CUTLERY"/>
        <s v="SET/4 WHITE RETRO STORAGE CUBES "/>
        <s v="TEA BAG PLATE RED SPOTTY "/>
        <s v="SET OF 72 RETRO SPOT PAPER  DOILIES"/>
        <s v="PINK HEART SHAPE EGG FRYING PAN"/>
        <s v="POTTERING IN THE SHED METAL SIGN"/>
        <s v="TURQ ICE CREAM BUM BAG "/>
        <s v="VINTAGE UNION JACK BUNTING"/>
        <s v="PINK PADDED MOBILE"/>
        <s v="TEA PARTY  WRAPPING PAPER "/>
        <s v="CHARLIE+LOLA PINK HOT WATER BOTTLE"/>
        <s v="OFFICE MUG WARMER POLKADOT"/>
        <s v="WOODLAND DESIGN  COTTON TOTE BAG"/>
        <s v="SKULLS STORAGE BOX SMALL"/>
        <s v="ASSORTED TUTTI FRUTTI ROUND BOX"/>
        <s v="PAPER CHAIN KIT VINTAGE CHRISTMAS"/>
        <s v="PINK/YELLOW FLOWERS HANDBAG"/>
        <s v="SAVE THE PLANET COTTON TOTE BAG"/>
        <s v="PAPER BUNTING RETRO SPOTS"/>
        <s v="  JUMBO BAG CHARLIE AND LOLA TOYS  "/>
        <s v="PINK &amp; WHITE BREAKFAST TRAY"/>
        <s v="OCEAN STRIPE HAMMOCK "/>
        <s v="FELTCRAFT PRINCESS LOLA DOLL"/>
        <s v="MAGNETS PACK OF 4 VINTAGE COLLAGE"/>
        <s v="ANTIQUE GLASS RIDGED HANGING BALL"/>
        <s v="ENAMEL FIRE BUCKET CREAM"/>
        <s v="LUNCH BOX WITH CUTLERY RETROSPOT "/>
        <s v="BLUE HARMONICA IN BOX "/>
        <s v="CHILDS GARDEN TROWEL PINK"/>
        <s v="VINTAGE PHOTO ALBUM PARIS DAYS"/>
        <s v="4 ROSE PINK DINNER CANDLES"/>
        <s v="BANQUET BIRTHDAY  CARD  "/>
        <s v="BATHROOM METAL SIGN "/>
        <s v="HAIRCLIPS FORTIES FABRIC ASSORTED"/>
        <s v="HEART T-LIGHT HOLDER "/>
        <s v="POTTING SHED COFFEE MUG"/>
        <s v="POTTING SHED TEA MUG"/>
        <s v="CUPBOARD 3 DRAWER MA CAMPAGNE"/>
        <s v="WRAP CIRCUS PARADE"/>
        <s v="FELTCRAFT HAIRBAND RED AND BLUE"/>
        <s v="FLOWERS  STICKERS"/>
        <s v="HANGING PHOTO CLIP ROPE LADDER"/>
        <s v="SWEETHEART RECIPE BOOK STAND"/>
        <s v="WRAP I LOVE LONDON "/>
        <s v="EASTER TIN BUCKET"/>
        <s v="RED SPOTTY ROUND CAKE TINS"/>
        <s v="SET/4 2 TONE EGG SHAPE MIXING BOWLS"/>
        <s v="ASSORTED COLOURS SILK FAN"/>
        <s v="HANGING HEART ZINC T-LIGHT HOLDER"/>
        <s v="HEART IVORY TRELLIS SMALL"/>
        <s v="RIBBONS PURSE "/>
        <s v="LARGE CAKE TOWEL, CHOCOLATE SPOTS"/>
        <s v="BLACK BAROQUE CUCKOO CLOCK"/>
        <s v="JUMBO BAG OWLS"/>
        <s v="CAKE STAND LACE WHITE"/>
        <s v="  WOODEN FRAME ANTIQUE WHITE  "/>
        <s v="CREAM SLICE FLANNEL CHOCOLATE SPOT "/>
        <s v="BABUSHKA LIGHTS STRING OF 10"/>
        <s v="RED SPOTTY SHOPPER BAG"/>
        <s v="JUMBO BAG STRAWBERRY"/>
        <s v="RIBBON REEL MAKING SNOWMEN "/>
        <s v="VICTORIAN SEWING KIT"/>
        <s v="DECORATION , WOBBLY RABBIT , METAL "/>
        <s v="  CAKE STAND 3 TIER MAGIC GARDEN  "/>
        <s v="MIRRORED DISCO BALL "/>
        <s v="WOODEN HEART CHRISTMAS SCANDINAVIAN"/>
        <s v="RED FLORAL FELTCRAFT SHOULDER BAG"/>
        <s v="SET OF 36 TEATIME PAPER DOILIES"/>
        <s v="FAIRY SOAP SOAP HOLDER"/>
        <s v="AIRLINE BAG VINTAGE TOKYO 78"/>
        <s v="ZINC WILLIE WINKIE CANDLESTICK"/>
        <s v="ROSE COTTAGE KEEPSAKE BOX "/>
        <s v="PACK OF 60 PINK PAISLEY CAKE CASES"/>
        <s v="PURPLE ANEMONE ARTIFICIAL FLOWER"/>
        <s v="SET OF 72 BLACK PAPER DOILIES "/>
        <s v="EMPIRE UNION JACK TV DINNER TRAY"/>
        <s v="NEW ENGLAND MUG W GIFT BOX"/>
        <s v="KINGS CHOICE MUG"/>
        <s v="ROUND CONTAINER SET OF 5 RETROSPOT"/>
        <s v="KITCHEN METAL SIGN"/>
        <s v="SILK PURSE BABUSHKA RED"/>
        <s v="POLKADOT CUTLERY 24 PCS IN TRAY"/>
        <s v="MINI JIGSAW BUNNIES"/>
        <s v="SET 10 LIGHTS NIGHT OWL"/>
        <s v="DECORATIVE CATS BATHROOM BOTTLE"/>
        <s v="DOOR MAT TOPIARY"/>
        <s v="BLUE SPOT CERAMIC DRAWER KNOB"/>
        <s v="RED SPOTTY OVEN GLOVE DOUBLE"/>
        <s v="HAND TOWEL PINK FLOWER AND DAISY"/>
        <s v="SALLE DE BAIN HOOK"/>
        <s v="ROUND SNACK BOXES SET OF 4 SKULLS"/>
        <s v="HOUSE WRECKING METAL SIGN "/>
        <s v="IVORY PILLAR CANDLE GOLD FLOCK"/>
        <s v="DOORMAT WELCOME TO OUR HOME"/>
        <s v="AIRLINE BAG VINTAGE JET SET BROWN"/>
        <s v="GINGHAM HEART DECORATION"/>
        <s v="PINK JUICY FRUIT PHOTO FRAME"/>
        <s v="CUSHION COVER PINK UNION FLAG"/>
        <s v="CERAMIC STRAWBERRY CAKE MONEY BANK"/>
        <s v="BEADED PEARL HEART WHITE LARGE"/>
        <s v="BLUE OWL SOFT TOY"/>
        <s v="DOOR HANGER  MUM + DADS ROOM"/>
        <s v="DOORMAT RESPECTABLE HOUSE"/>
        <s v="FLAMINGO LIGHTS"/>
        <s v="LUNCH BAG CARS BLUE"/>
        <s v="  FELTCRAFT BUTTERFLY HEARTS  "/>
        <s v="ANTIQUE LILY FAIRY LIGHTS"/>
        <s v="LAUNDRY 15C METAL SIGN"/>
        <s v="HEART OF WICKER SMALL"/>
        <s v="BLUE PAISLEY NOTEBOOK"/>
        <s v="RETROSPOT RED WASHING UP GLOVES"/>
        <s v="60 TEATIME FAIRY CAKE CASES"/>
        <s v="PINK METAL CHICKEN HEART "/>
        <s v="GAOLERS KEYS DECORATIVE GARDEN "/>
        <s v="GINGERBREAD MAN COOKIE CUTTER"/>
        <s v="RETRO SPOT PADDED SEAT CUSHION"/>
        <s v="CREAM SLICE FLANNEL PINK SPOT "/>
        <s v="BLUE POLKADOT PUDDING BOWL"/>
        <s v="HOT BATHS METAL SIGN"/>
        <s v="LUNCH BAG SUKI  DESIGN "/>
        <s v="VINTAGE BILLBOARD DRINK ME MUG"/>
        <s v="KEEP OUT GIRLS DOOR HANGER "/>
        <s v="ENAMEL COLANDER CREAM"/>
        <s v="RIBBON REEL FLORA + FAUNA "/>
        <s v="COLUMBIAN CANDLE RECTANGLE"/>
        <s v="RED RETROSPOT JUMBO BAG "/>
        <s v="PACK 20 ENGLISH ROSE PAPER NAPKINS"/>
        <s v="CREAM SWEETHEART MAGAZINE RACK"/>
        <s v="WHITE CHRISTMAS GARLAND STARS TREES"/>
        <s v="LUNCH BAG RED SPOTTY"/>
        <s v="VINTAGE HEADS AND TAILS CARD GAME "/>
        <s v="75 GREEN PETIT FOUR CASES"/>
        <s v="RED SPOTTY CUP"/>
        <s v="PINK BLUE FELT CRAFT TRINKET BOX"/>
        <s v="DAISY GARDEN MARKER"/>
        <s v="  MULTICOLOUR SPRING FLOWER MUG  "/>
        <s v="EDWARDIAN PARASOL RED"/>
        <s v="AREA PATROLLED METAL SIGN"/>
        <s v="GREEN REGENCY TEACUP AND SAUCER"/>
        <s v="CACTI T-LIGHT CANDLES"/>
        <s v="CHOCOLATE BOX RIBBONS "/>
        <s v="  12 RED ROSE PEG PLACE SETTINGS  "/>
        <s v="RETRO MOD TRAY"/>
        <s v="DOORMAT UNION JACK GUNS AND ROSES"/>
        <s v="S/12 MINI RABBIT EASTER"/>
        <s v="SILVER VANILLA FLOWER CANDLE POT"/>
        <s v="SET/3 ROSE CANDLE IN JEWELLED BOX"/>
        <s v="SET OF 6 SOLDIER SKITTLES"/>
        <s v="SOLDIERS EGG CUP "/>
        <s v="BOX OF 24 COCKTAIL PARASOLS"/>
        <s v="FAIRY CAKE DESIGN UMBRELLA"/>
        <s v="BIG DOUGHNUT FRIDGE MAGNETS"/>
        <s v="FLYING PIG WATERING CAN"/>
        <s v="PINK PAPER PARASOL "/>
        <s v="TOILET METAL SIGN"/>
        <s v="COUNTRY COTTAGE  DOORSTOP GREEN"/>
        <s v="QUEEN OF SKIES LUGGAGE TAG"/>
        <s v="PINK HEART DOTS HOT WATER BOTTLE"/>
        <s v="BLACKCHRISTMAS TREE 30CM"/>
        <s v="PACK OF 20 SKULL PAPER NAPKINS"/>
        <s v="MAGNETS PACK OF 4 VINTAGE LABELS "/>
        <s v="BLUE STRIPE CERAMIC DRAWER KNOB"/>
        <s v="RED RETROSPOT CAKE STAND"/>
        <s v="PACK OF 12 SUKI TISSUES "/>
        <s v="WOOD FAN WITH FLOWER DESIGN"/>
        <s v="GARDENIA 3 WICK MORRIS BOXED CANDLE"/>
        <s v="F.FAIRY S/3 CANDLE/GLASS"/>
        <s v="SET/3 RUSSIAN DOLL STACKING TINS"/>
        <s v="CHILDS BREAKFAST SET CIRCUS PARADE"/>
        <s v="PACK 20 DOLLY PEGS"/>
        <s v="HOMEMADE JAM SCENTED CANDLES"/>
        <s v="3 HOOK PHOTO SHELF ANTIQUE WHITE"/>
        <s v="OPEN CLOSED METAL SIGN"/>
        <s v="PINK 3 PIECE MINI DOTS CUTLERY SET"/>
        <s v="PAPER CHAIN KIT 50'S CHRISTMAS "/>
        <s v="CHARLOTTE BAG , PINK/WHITE SPOTS"/>
        <s v="NATURAL BARK CANDLE SMALL"/>
        <s v="RECIPE BOX PANTRY YELLOW DESIGN"/>
        <s v="RED RETROSPOT SHOPPING BAG"/>
        <s v="FLOWER GLASS GARLAND NECKL.36&quot;BLACK"/>
        <s v="BOUDOIR SQUARE TISSUE BOX"/>
        <s v="3 HOOK HANGER MAGIC GARDEN"/>
        <s v="GUMBALL COATHOOK., BLACK &amp; WHITE "/>
        <s v="3 HEARTS HANGING DECORATION RUSTIC"/>
        <s v="SET/6 COLLAGE PAPER CUPS"/>
        <s v="CHARLOTTE BAG SUKI DESIGN"/>
        <s v="JARDIN ETCHED GLASS FRUITBOWL"/>
        <s v="ENAMEL WATERING CAN CREAM"/>
        <s v="SET OF 6 T-LIGHTS WEDDING CAKE "/>
        <s v="FAIRY CAKE NOTEBOOK A5 SIZE"/>
        <s v="POTTING SHED SEED ENVELOPES"/>
        <s v="MINI JIGSAW BAKE A CAKE "/>
        <s v="POTTING SHED SEED TIN"/>
        <s v="ACRYLIC GEOMETRIC LAMP"/>
        <s v="FRENCH BLUE METAL DOOR SIGN 2"/>
        <s v="CHARLIE AND LOLA TABLE TINS"/>
        <s v="MAGIC DRAWING SLATE SPACEBOY "/>
        <s v="RED PAPER PARASOL"/>
        <s v="MILK BOTTLE WITH GLASS STOPPER "/>
        <s v="POTTING SHED TWINE"/>
        <s v="STRAWBERRY FAIRY CAKE TEAPOT"/>
        <s v="POSTAGE"/>
        <s v="BLUE PAISLEY SKETCHBOOK"/>
        <s v="TRIPLE PHOTO FRAME CORNICE "/>
        <s v="BLUE PARTY BAGS "/>
        <s v="ROSE CARAVAN DOORSTOP"/>
        <s v="WOOD S/3 CABINET ANT WHITE FINISH"/>
        <s v="  SET OF 12 ROSE BOTANICAL T-LIGHTS  "/>
        <s v="  GINGHAM BABUSHKA DOORSTOP  "/>
        <s v="5 STRAND GLASS NECKLACE CRYSTAL"/>
        <s v="RETRO SPOT TRADITIONAL TEAPOT "/>
        <s v="RED RETROSPOT CHARLOTTE BAG"/>
        <s v="PINK PAISLEY CUSHION COVER "/>
        <s v="PINK  SPOTTY CUP"/>
        <s v="SMALL POPCORN HOLDER"/>
        <s v="12 PENCILS SMALL TUBE RED SPOTTY"/>
        <s v="SWEETHEART CAKESTAND 3 TIER"/>
        <s v="PAIR PINK/BLACK COATHANGERS"/>
        <s v="JUMBO BAG PINK WITH WHITE SPOTS"/>
        <s v="MOODY GIRL DOOR HANGER "/>
        <s v="PLASTERS IN TIN WOODLAND ANIMALS"/>
        <s v="SNOWFLAKE PORTABLE TABLE LIGHT "/>
        <s v="SKULLS PARTY BAG + STICKER SET"/>
        <s v="VINTAGE NOTEBOOK BEAUTY GIRL"/>
        <s v="  GLASS CLOCHE LARGE  "/>
        <s v="15CM CHRISTMAS GLASS BALL 20 LIGHTS"/>
        <s v="WOODEN PICTURE FRAME WHITE FINISH"/>
        <s v="PINK HAPPY BIRTHDAY BUNTING"/>
        <s v="FULL ENGLISH BREAKFAST PLATE"/>
        <s v="PENS ASSORTED FUNKY JEWELED "/>
        <s v="RED ROSE AND LACE C/COVER"/>
        <s v="WHITE WIRE EGG HOLDER"/>
        <s v="CHILDS GARDEN RAKE BLUE"/>
        <s v="WELCOME METAL SIGN"/>
        <s v="EIGHT PIECE CREEPY CRAWLIE SET"/>
        <s v="12 PENCILS TALL TUBE RED SPOTTY"/>
        <s v="BLACK LOVE BIRD T-LIGHT HOLDER"/>
        <s v="CLASSICAL ROSE SMALL VASE"/>
        <s v="MEMO BOARD RETROSPOT  DESIGN"/>
        <s v="SMALL RED SPOT  WINDMILL"/>
        <s v="RED RETROSPOT BOWL"/>
        <s v="RECIPE BOX RETROSPOT "/>
        <s v="MINATURE COLOURED GARDENING SET"/>
        <s v="CARDHOLDER GINGHAM CHRISTMAS TREE"/>
        <s v="NOEL WOODEN BLOCK LETTERS "/>
        <s v="RED RETROSPOT PICNIC BAG"/>
        <s v="FAIRY CAKES TILE COASTER"/>
        <s v="CHRISTMAS LIGHTS 10 VINTAGE BAUBLES"/>
        <s v="PURPLE GEMSTONE BRACELET"/>
        <s v="WOODEN SKITTLES GARDEN SET"/>
        <s v="DOORMAT NEW ENGLAND"/>
        <s v="CHRISTMAS METAL TAGS ASSORTED "/>
        <s v="PLASTERS IN TIN VINTAGE PAISLEY "/>
        <s v="RECYCLED PENCIL WITH RABBIT ERASER"/>
        <s v="FOLKART HEART NAPKIN RINGS"/>
        <s v="RED GINGHAM ROSE JEWELLERY BOX"/>
        <s v="KIDS RAIN MAC BLUE"/>
        <s v="PAINT YOUR OWN CANVAS SET"/>
        <s v="RETRO SPOT CANDLE  SMALL"/>
        <s v="ROUND SNACK BOXES SET OF4 WOODLAND "/>
        <s v="MILK PAN PINK RETROSPOT"/>
        <s v="RED RETROSPOT TRADITIONAL TEAPOT "/>
        <s v="FILIGRIS HEART WITH BUTTERFLY"/>
        <s v="LARGE POPCORN HOLDER "/>
        <s v="COW  SOCK PUPPET"/>
        <s v="PACK OF 12 COLOURED PENCILS"/>
        <s v="OFFICE MUG WARMER BLACK+SILVER "/>
        <s v="DOOR MAT FAIRY CAKE"/>
        <s v="FELT EGG COSY WHITE RABBIT "/>
        <s v="EAU DE NILE JEWELLED PHOTOFRAME"/>
        <s v="SCANDINAVIAN PAISLEY PICNIC BAG"/>
        <s v="CARRIAGE"/>
        <s v="SPRING DEC , HANGING CHICK  GREEN"/>
        <s v="CHERRY CROCHET FOOD COVER"/>
        <s v="RED HANGING HEART T-LIGHT HOLDER"/>
        <s v="DOORMAT RED SPOT"/>
        <s v="CARD MOTORBIKE SANTA"/>
        <s v="  VINTAGE BLUE TINSEL REEL  "/>
        <s v="FELTCRAFT DOLL ROSIE"/>
        <s v="PINK PICNIC BARBECUE BUCKET"/>
        <s v="JUMBO BAG RED WHITE SPOTTY "/>
        <s v="COSY HOUR GIANT TUBE MATCHES"/>
        <s v="SKULLS  WATER TRANSFER TATTOOS "/>
        <s v="SET/4 BADGES BALLOON GIRL"/>
        <s v="CLOTHES PEGS RETROSPOT PACK 24 "/>
        <s v="SET OF 2 TEA TOWELS PING MICROWAVE"/>
        <s v="TURQ+RED BOUDICCA LARGE BRACELET"/>
        <s v="BOYS VINTAGE TIN SEASIDE BUCKET"/>
        <s v="SMALL RETRO SPOT MUG IN BOX  WHITE"/>
        <s v="VICTORIAN SEWING BOX SMALL "/>
        <s v="LUNCH BAG SPACEBOY DESIGN "/>
        <s v="RETROSPOT HEART HOT WATER BOTTLE"/>
        <s v="BUTTERFLIES  HONEYCOMB GARLAND"/>
        <s v="LARGE HEART MEASURING SPOONS"/>
        <s v="GLASS JAR MARMALADE "/>
        <s v="SET OF THREE VINTAGE GIFT WRAPS"/>
        <s v="FRYING PAN RED RETROSPOT"/>
        <s v="  HOT BATHS METAL SIGN  "/>
        <s v="36 PENCILS TUBE SKULLS"/>
        <s v="75 BLACK PETIT FOUR CASES"/>
        <s v="RIBBON REEL LACE DESIGN "/>
        <s v="HOME SMALL WOOD LETTERS"/>
        <s v="HAND OVER THE CHOCOLATE   SIGN "/>
        <s v="SET OF 6 T-LIGHTS SANTA"/>
        <s v="COLOUR GLASS T-LIGHT HOLDER HANGING"/>
        <s v="SMALL RED RETROSPOT WINDMILL"/>
        <s v="PAPER BUNTING VINTAGE PAISLEY"/>
        <s v="TEA TIME PARTY BUNTING"/>
        <s v="FELTCRAFT HAIRBANDS PINK AND WHITE "/>
        <s v="FAWN BLUE HOT WATER BOTTLE"/>
        <s v="VICTORIAN METAL POSTCARD CHRISTMAS"/>
        <s v="COOK WITH WINE METAL SIGN "/>
        <s v="DOOR MAT HEARTS"/>
        <s v="60 GOLD AND SILVER FAIRY CAKE CASES"/>
        <s v="HOT WATER BOTTLE TEA AND SYMPATHY"/>
        <s v="MINT KITCHEN SCALES"/>
        <s v="SKULLS  STICKERS"/>
        <s v="CHOCOLATE CALCULATOR"/>
        <s v="POCKET MIRROR &quot;GLAMOROUS&quot;"/>
        <s v="GIFT BAG PSYCHEDELIC APPLES"/>
        <s v="RED SPOTTY CANDY BAG"/>
        <s v="BLUE/CREAM STRIPE CUSHION COVER "/>
        <s v="PAPERWEIGHT SAVE THE PLANET"/>
        <s v="SWEETHEART CREAM STEEL FOLDIN BENCH"/>
        <s v="BISCUIT TIN VINTAGE RED"/>
        <s v="  72 SWEETHEART FAIRY CAKE CASES  "/>
        <s v="POPPY'S PLAYHOUSE KITCHEN"/>
        <s v="PIN CUSHION RUSSIAN DOLL BLUE"/>
        <s v="PAPER BUNTING WHITE LACE"/>
        <s v="LARGE WHITE HONEYCOMB PAPER BELL  "/>
        <s v="RED SPOTTY PURSE "/>
        <s v="PARTY CONES CANDY ASSORTED"/>
        <s v="COFFEE SCENT PILLAR CANDLE"/>
        <s v="  RED KITCHEN SCALES  "/>
        <s v="RED/CREAM STRIPE CUSHION COVER "/>
        <s v="RED RETROSPOT STORAGE JAR"/>
        <s v="DAISIES  HONEYCOMB GARLAND "/>
        <s v="24 HANGING EASTER EGGS FLORAL TUB"/>
        <s v="PHARMACIE FIRST AID TIN"/>
        <s v="ASSTD DESIGN BUBBLE GUM RING"/>
        <s v="WOOD STAMP SET BEST WISHES"/>
        <s v="HANGING BAUBLE T-LIGHT HOLDER SMALL"/>
        <s v="SMALL HEART FLOWERS HOOK "/>
        <s v="  SET/10 PINK SPOTTY PARTY CANDLES  "/>
        <s v="BLUE PULL BACK RACING CAR"/>
        <s v="MAGIC DRAWING SLATE DOLLY GIRL "/>
        <s v="GREEN 3 PIECE POLKADOT CUTLERY SET"/>
        <s v="RED  SPOTTY COFFEE  MUG"/>
        <s v="5 HOOK BLACKBOARD ORGANISER "/>
        <s v="SMALL HAMMERED SILVER CANDLEPOT "/>
        <s v="ASSTD DESIGN RACING CAR PEN"/>
      </sharedItems>
    </cacheField>
    <cacheField name="Quantity" numFmtId="0">
      <sharedItems containsSemiMixedTypes="0" containsString="0" containsNumber="1" containsInteger="1" minValue="0" maxValue="3312"/>
    </cacheField>
    <cacheField name="Quantity2" numFmtId="1">
      <sharedItems containsSemiMixedTypes="0" containsString="0" containsNumber="1" containsInteger="1" minValue="-72" maxValue="3312"/>
    </cacheField>
    <cacheField name="Quantity3" numFmtId="0">
      <sharedItems containsBlank="1" containsMixedTypes="1" containsNumber="1" containsInteger="1" minValue="-72" maxValue="3312"/>
    </cacheField>
    <cacheField name="Invoice" numFmtId="49">
      <sharedItems containsMixedTypes="1" containsNumber="1" containsInteger="1" minValue="489439" maxValue="538064"/>
    </cacheField>
    <cacheField name="InvoiceDate" numFmtId="0">
      <sharedItems containsDate="1" containsMixedTypes="1" minDate="2009-12-01T09:28:00" maxDate="2010-12-09T13:47:00"/>
    </cacheField>
    <cacheField name="Price" numFmtId="165">
      <sharedItems containsMixedTypes="1" containsNumber="1" minValue="0.08" maxValue="50"/>
    </cacheField>
    <cacheField name="Price2" numFmtId="165">
      <sharedItems containsSemiMixedTypes="0" containsString="0" containsNumber="1" minValue="0.08" maxValue="50"/>
    </cacheField>
    <cacheField name="Invoice Date" numFmtId="0">
      <sharedItems containsDate="1" containsMixedTypes="1" minDate="2009-12-01T00:00:00" maxDate="2010-12-10T00:00:00"/>
    </cacheField>
    <cacheField name="Field12" caption="Field12" numFmtId="0">
      <sharedItems containsSemiMixedTypes="0" containsNonDate="0" containsDate="1" containsString="0" minDate="1899-12-30T01:00:00" maxDate="1899-12-30T19:59:00"/>
    </cacheField>
    <cacheField name="Field13" caption="Field13" numFmtId="0">
      <sharedItems containsBlank="1"/>
    </cacheField>
    <cacheField name="Invoice Time" numFmtId="0">
      <sharedItems/>
    </cacheField>
    <cacheField name="Country" numFmtId="49">
      <sharedItems count="22">
        <s v="United Kingdom"/>
        <s v="EIRE"/>
        <s v="Germany"/>
        <s v="France"/>
        <s v="Singapore"/>
        <s v="Belgium"/>
        <s v="Italy"/>
        <s v="RSA"/>
        <s v="Denmark"/>
        <s v="Netherlands"/>
        <s v="Cyprus"/>
        <s v="USA"/>
        <s v="Channel Islands"/>
        <s v="Portugal"/>
        <s v="Japan"/>
        <s v="Austria"/>
        <s v="Greece"/>
        <s v="Switzerland"/>
        <s v="Sweden"/>
        <s v="Spain"/>
        <s v="Unspecified"/>
        <s v="Finland"/>
      </sharedItems>
    </cacheField>
    <cacheField name="Revenue" numFmtId="0">
      <sharedItems containsSemiMixedTypes="0" containsString="0" containsNumber="1" minValue="0" maxValue="993.5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n v="14606"/>
    <n v="84792"/>
    <x v="0"/>
    <n v="4"/>
    <n v="4"/>
    <n v="4"/>
    <n v="503181"/>
    <d v="2010-03-30T14:23:00"/>
    <n v="4.6500000000000004"/>
    <n v="4.6500000000000004"/>
    <d v="2010-03-30T00:00:00"/>
    <d v="1899-12-30T02:23:00"/>
    <s v="PM"/>
    <s v="2:23 PM"/>
    <x v="0"/>
    <n v="18.600000000000001"/>
  </r>
  <r>
    <n v="14911"/>
    <n v="22318"/>
    <x v="1"/>
    <n v="6"/>
    <n v="6"/>
    <n v="6"/>
    <n v="528386"/>
    <d v="2010-10-21T18:32:00"/>
    <n v="2.95"/>
    <n v="2.95"/>
    <d v="2010-10-21T00:00:00"/>
    <d v="1899-12-30T06:32:00"/>
    <s v="PM"/>
    <s v="6:32 PM"/>
    <x v="1"/>
    <n v="17.700000000000003"/>
  </r>
  <r>
    <n v="16797"/>
    <n v="21173"/>
    <x v="2"/>
    <n v="1"/>
    <n v="1"/>
    <n v="1"/>
    <n v="498594"/>
    <d v="2010-02-21T15:48:00"/>
    <n v="1.65"/>
    <n v="1.65"/>
    <d v="2010-02-21T00:00:00"/>
    <d v="1899-12-30T03:48:00"/>
    <s v="PM"/>
    <s v="3:48 PM"/>
    <x v="0"/>
    <n v="1.65"/>
  </r>
  <r>
    <n v="15216"/>
    <s v=" 21777 "/>
    <x v="3"/>
    <n v="2"/>
    <n v="2"/>
    <n v="2"/>
    <n v="503245"/>
    <d v="2010-03-31T09:52:00"/>
    <n v="7.95"/>
    <n v="7.95"/>
    <d v="2010-03-31T00:00:00"/>
    <d v="1899-12-30T09:52:00"/>
    <s v="AM"/>
    <s v="9:52 AM"/>
    <x v="0"/>
    <n v="15.9"/>
  </r>
  <r>
    <n v="14677"/>
    <n v="84836"/>
    <x v="4"/>
    <n v="12"/>
    <n v="12"/>
    <n v="12"/>
    <n v="505756"/>
    <d v="2010-04-26T09:48:00"/>
    <n v="1.25"/>
    <n v="1.25"/>
    <d v="2010-04-26T00:00:00"/>
    <d v="1899-12-30T09:48:00"/>
    <s v="AM"/>
    <s v="9:48 AM"/>
    <x v="0"/>
    <n v="15"/>
  </r>
  <r>
    <n v="12712"/>
    <n v="21559"/>
    <x v="5"/>
    <n v="6"/>
    <n v="6"/>
    <n v="6"/>
    <n v="496975"/>
    <d v="2010-02-05T09:14:00"/>
    <n v="2.5499999999999998"/>
    <n v="2.5499999999999998"/>
    <d v="2010-02-05T00:00:00"/>
    <d v="1899-12-30T09:14:00"/>
    <s v="AM"/>
    <s v="9:14 AM"/>
    <x v="2"/>
    <n v="15.299999999999999"/>
  </r>
  <r>
    <n v="12854"/>
    <n v="85107"/>
    <x v="6"/>
    <n v="12"/>
    <n v="12"/>
    <n v="12"/>
    <n v="491584"/>
    <d v="2009-12-11T12:55:00"/>
    <n v="2.5499999999999998"/>
    <n v="2.5499999999999998"/>
    <d v="2009-12-11T00:00:00"/>
    <d v="1899-12-30T12:55:00"/>
    <s v="PM"/>
    <s v="12:55 PM"/>
    <x v="0"/>
    <n v="30.599999999999998"/>
  </r>
  <r>
    <n v="17576"/>
    <n v="22575"/>
    <x v="7"/>
    <n v="1"/>
    <n v="1"/>
    <n v="1"/>
    <n v="516478"/>
    <d v="2010-07-20T17:20:00"/>
    <n v="1.95"/>
    <n v="1.95"/>
    <d v="2010-07-20T00:00:00"/>
    <d v="1899-12-30T05:20:00"/>
    <s v="PM"/>
    <s v="5:20 PM"/>
    <x v="0"/>
    <n v="1.95"/>
  </r>
  <r>
    <n v="16550"/>
    <n v="22083"/>
    <x v="8"/>
    <n v="2"/>
    <n v="2"/>
    <n v="2"/>
    <n v="502588"/>
    <d v="2010-03-25T12:43:00"/>
    <n v="2.95"/>
    <n v="2.95"/>
    <d v="2010-03-25T00:00:00"/>
    <d v="1899-12-30T12:43:00"/>
    <s v="PM"/>
    <s v="12:43 PM"/>
    <x v="0"/>
    <n v="5.9"/>
  </r>
  <r>
    <n v="14606"/>
    <s v="85014B"/>
    <x v="9"/>
    <n v="1"/>
    <n v="1"/>
    <n v="1"/>
    <n v="515335"/>
    <d v="2010-07-11T14:19:00"/>
    <n v="5.95"/>
    <n v="5.95"/>
    <d v="2010-07-11T00:00:00"/>
    <d v="1899-12-30T02:19:00"/>
    <s v="PM"/>
    <s v="2:19 PM"/>
    <x v="0"/>
    <n v="5.95"/>
  </r>
  <r>
    <n v="16799"/>
    <n v="21156"/>
    <x v="10"/>
    <n v="1"/>
    <n v="1"/>
    <n v="1"/>
    <n v="525065"/>
    <d v="2010-10-03T14:28:00"/>
    <n v="1.95"/>
    <n v="1.95"/>
    <d v="2010-10-03T00:00:00"/>
    <d v="1899-12-30T02:28:00"/>
    <s v="PM"/>
    <s v="2:28 PM"/>
    <x v="0"/>
    <n v="1.95"/>
  </r>
  <r>
    <n v="18245"/>
    <n v="84946"/>
    <x v="11"/>
    <n v="24"/>
    <n v="24"/>
    <n v="24"/>
    <n v="535349"/>
    <d v="2010-11-25T16:52:00"/>
    <n v="1.25"/>
    <n v="1.25"/>
    <d v="2010-11-25T00:00:00"/>
    <d v="1899-12-30T04:52:00"/>
    <s v="PM"/>
    <s v="4:52 PM"/>
    <x v="0"/>
    <n v="30"/>
  </r>
  <r>
    <n v="15150"/>
    <n v="82484"/>
    <x v="12"/>
    <n v="3"/>
    <n v="3"/>
    <n v="3"/>
    <n v="521949"/>
    <d v="2010-09-09T17:16:00"/>
    <n v="6.45"/>
    <n v="6.45"/>
    <d v="2010-09-09T00:00:00"/>
    <d v="1899-12-30T05:16:00"/>
    <s v="PM"/>
    <s v="5:16 PM"/>
    <x v="0"/>
    <n v="19.350000000000001"/>
  </r>
  <r>
    <n v="17511"/>
    <n v="22519"/>
    <x v="13"/>
    <n v="36"/>
    <n v="36"/>
    <n v="36"/>
    <n v="514876"/>
    <d v="2010-07-07T10:33:00"/>
    <n v="1.85"/>
    <n v="1.85"/>
    <d v="2010-07-07T00:00:00"/>
    <d v="1899-12-30T10:33:00"/>
    <s v="AM"/>
    <s v="10:33 AM"/>
    <x v="0"/>
    <n v="66.600000000000009"/>
  </r>
  <r>
    <n v="12598"/>
    <n v="22561"/>
    <x v="14"/>
    <n v="12"/>
    <n v="12"/>
    <n v="12"/>
    <n v="521162"/>
    <d v="2010-09-02T14:22:00"/>
    <n v="1.65"/>
    <n v="1.65"/>
    <d v="2010-09-02T00:00:00"/>
    <d v="1899-12-30T02:22:00"/>
    <s v="PM"/>
    <s v="2:22 PM"/>
    <x v="3"/>
    <n v="19.799999999999997"/>
  </r>
  <r>
    <n v="16374"/>
    <n v="20798"/>
    <x v="15"/>
    <n v="4"/>
    <n v="4"/>
    <n v="4"/>
    <n v="506572"/>
    <d v="2010-04-30T13:10:00"/>
    <n v="2.1"/>
    <n v="2.1"/>
    <d v="2010-04-30T00:00:00"/>
    <d v="1899-12-30T01:10:00"/>
    <s v="PM"/>
    <s v="1:10 PM"/>
    <x v="0"/>
    <n v="8.4"/>
  </r>
  <r>
    <n v="17449"/>
    <n v="48188"/>
    <x v="16"/>
    <n v="1"/>
    <n v="1"/>
    <n v="1"/>
    <n v="505974"/>
    <d v="2010-04-26T18:06:00"/>
    <n v="7.49"/>
    <n v="7.49"/>
    <d v="2010-04-26T00:00:00"/>
    <d v="1899-12-30T06:06:00"/>
    <s v="PM"/>
    <s v="6:06 PM"/>
    <x v="0"/>
    <n v="7.49"/>
  </r>
  <r>
    <n v="13415"/>
    <n v="10125"/>
    <x v="17"/>
    <n v="1"/>
    <n v="1"/>
    <n v="1"/>
    <n v="491622"/>
    <d v="2009-12-11T14:20:00"/>
    <n v="0.85"/>
    <n v="0.85"/>
    <d v="2009-12-11T00:00:00"/>
    <d v="1899-12-30T02:20:00"/>
    <s v="PM"/>
    <s v="2:20 PM"/>
    <x v="0"/>
    <n v="0.85"/>
  </r>
  <r>
    <n v="12924"/>
    <n v="21696"/>
    <x v="18"/>
    <n v="6"/>
    <n v="6"/>
    <n v="6"/>
    <n v="509982"/>
    <d v="2010-05-26T14:28:00"/>
    <n v="2.95"/>
    <n v="2.95"/>
    <d v="2010-05-26T00:00:00"/>
    <d v="1899-12-30T02:28:00"/>
    <s v="PM"/>
    <s v="2:28 PM"/>
    <x v="0"/>
    <n v="17.700000000000003"/>
  </r>
  <r>
    <n v="13078"/>
    <s v="85114B"/>
    <x v="19"/>
    <n v="6"/>
    <n v="6"/>
    <n v="6"/>
    <n v="524611"/>
    <d v="2010-09-30T09:37:00"/>
    <n v="1.65"/>
    <n v="1.65"/>
    <d v="2010-09-30T00:00:00"/>
    <d v="1899-12-30T09:37:00"/>
    <s v="AM"/>
    <s v="9:37 AM"/>
    <x v="0"/>
    <n v="9.8999999999999986"/>
  </r>
  <r>
    <n v="17340"/>
    <n v="22413"/>
    <x v="20"/>
    <n v="12"/>
    <n v="12"/>
    <n v="12"/>
    <n v="501906"/>
    <d v="2010-03-21T16:02:00"/>
    <n v="2.95"/>
    <n v="2.95"/>
    <d v="2010-03-21T00:00:00"/>
    <d v="1899-12-30T04:02:00"/>
    <s v="PM"/>
    <s v="4:02 PM"/>
    <x v="0"/>
    <n v="35.400000000000006"/>
  </r>
  <r>
    <n v="13782"/>
    <n v="20979"/>
    <x v="21"/>
    <n v="1"/>
    <n v="1"/>
    <n v="1"/>
    <n v="505708"/>
    <d v="2010-04-25T12:15:00"/>
    <n v="1.25"/>
    <n v="1.25"/>
    <d v="2010-04-25T00:00:00"/>
    <d v="1899-12-30T12:15:00"/>
    <s v="PM"/>
    <s v="12:15 PM"/>
    <x v="0"/>
    <n v="1.25"/>
  </r>
  <r>
    <n v="13408"/>
    <s v="79323W"/>
    <x v="22"/>
    <n v="24"/>
    <n v="24"/>
    <n v="24"/>
    <n v="497935"/>
    <d v="2010-02-15T10:47:00"/>
    <n v="5.45"/>
    <n v="5.45"/>
    <d v="2010-02-15T00:00:00"/>
    <d v="1899-12-30T10:47:00"/>
    <s v="AM"/>
    <s v="10:47 AM"/>
    <x v="0"/>
    <n v="130.80000000000001"/>
  </r>
  <r>
    <n v="14253"/>
    <s v="15044C"/>
    <x v="23"/>
    <n v="6"/>
    <n v="6"/>
    <n v="6"/>
    <n v="502792"/>
    <d v="2010-03-26T15:08:00"/>
    <n v="2.95"/>
    <n v="2.95"/>
    <d v="2010-03-26T00:00:00"/>
    <d v="1899-12-30T03:08:00"/>
    <s v="PM"/>
    <s v="3:08 PM"/>
    <x v="0"/>
    <n v="17.700000000000003"/>
  </r>
  <r>
    <n v="12744"/>
    <n v="21179"/>
    <x v="24"/>
    <n v="12"/>
    <n v="12"/>
    <n v="12"/>
    <n v="521403"/>
    <d v="2010-09-06T10:19:00"/>
    <s v="1.25"/>
    <n v="1.25"/>
    <d v="2010-09-06T00:00:00"/>
    <d v="1899-12-30T10:19:00"/>
    <s v="AM"/>
    <s v="10:19 AM"/>
    <x v="4"/>
    <n v="15"/>
  </r>
  <r>
    <n v="17765"/>
    <s v="72529W"/>
    <x v="25"/>
    <n v="1"/>
    <n v="1"/>
    <n v="1"/>
    <s v=" 522904 "/>
    <d v="2010-09-17T12:45:00"/>
    <n v="2.12"/>
    <n v="2.12"/>
    <d v="2010-09-17T00:00:00"/>
    <d v="1899-12-30T12:45:00"/>
    <s v="PM"/>
    <s v="12:45 PM"/>
    <x v="0"/>
    <n v="2.12"/>
  </r>
  <r>
    <n v="15032"/>
    <n v="22415"/>
    <x v="26"/>
    <n v="3"/>
    <n v="3"/>
    <n v="3"/>
    <n v="537810"/>
    <s v="08-12-2010 13:30"/>
    <n v="7.95"/>
    <n v="7.95"/>
    <d v="2010-08-12T00:00:00"/>
    <d v="1899-12-30T13:30:00"/>
    <m/>
    <s v="13:30 "/>
    <x v="0"/>
    <n v="23.85"/>
  </r>
  <r>
    <n v="17663"/>
    <n v="21258"/>
    <x v="27"/>
    <n v="1"/>
    <n v="1"/>
    <n v="1"/>
    <n v="520505"/>
    <d v="2010-08-26T12:51:00"/>
    <n v="12.75"/>
    <n v="12.75"/>
    <d v="2010-08-26T00:00:00"/>
    <d v="1899-12-30T12:51:00"/>
    <s v="PM"/>
    <s v="12:51 PM"/>
    <x v="0"/>
    <n v="12.75"/>
  </r>
  <r>
    <n v="17284"/>
    <n v="21122"/>
    <x v="28"/>
    <n v="24"/>
    <n v="24"/>
    <n v="24"/>
    <s v=" 533067 "/>
    <d v="2010-11-15T17:14:00"/>
    <n v="1.25"/>
    <n v="1.25"/>
    <d v="2010-11-15T00:00:00"/>
    <d v="1899-12-30T05:14:00"/>
    <s v="PM"/>
    <s v="5:14 PM"/>
    <x v="0"/>
    <n v="30"/>
  </r>
  <r>
    <n v="15967"/>
    <n v="21009"/>
    <x v="29"/>
    <n v="6"/>
    <n v="6"/>
    <n v="6"/>
    <n v="523971"/>
    <d v="2010-09-26T13:53:00"/>
    <n v="1.25"/>
    <n v="1.25"/>
    <d v="2010-09-26T00:00:00"/>
    <d v="1899-12-30T01:53:00"/>
    <s v="PM"/>
    <s v="1:53 PM"/>
    <x v="0"/>
    <n v="7.5"/>
  </r>
  <r>
    <n v="17965"/>
    <s v="15056BL"/>
    <x v="30"/>
    <n v="2"/>
    <n v="2"/>
    <n v="2"/>
    <n v="499625"/>
    <d v="2010-03-01T13:14:00"/>
    <n v="5.95"/>
    <n v="5.95"/>
    <d v="2010-03-01T00:00:00"/>
    <d v="1899-12-30T01:14:00"/>
    <s v="PM"/>
    <s v="1:14 PM"/>
    <x v="0"/>
    <n v="11.9"/>
  </r>
  <r>
    <n v="15812"/>
    <n v="47566"/>
    <x v="31"/>
    <n v="8"/>
    <n v="8"/>
    <n v="8"/>
    <n v="500147"/>
    <d v="2010-03-04T17:22:00"/>
    <n v="4.6500000000000004"/>
    <n v="4.6500000000000004"/>
    <d v="2010-03-04T00:00:00"/>
    <d v="1899-12-30T05:22:00"/>
    <s v="PM"/>
    <s v="5:22 PM"/>
    <x v="0"/>
    <n v="37.200000000000003"/>
  </r>
  <r>
    <n v="17218"/>
    <n v="22569"/>
    <x v="32"/>
    <n v="2"/>
    <n v="2"/>
    <n v="2"/>
    <n v="537421"/>
    <d v="2010-12-06T15:25:00"/>
    <n v="3.75"/>
    <n v="3.75"/>
    <d v="2010-12-06T00:00:00"/>
    <d v="1899-12-30T03:25:00"/>
    <s v="PM"/>
    <s v="3:25 PM"/>
    <x v="0"/>
    <n v="7.5"/>
  </r>
  <r>
    <n v="15384"/>
    <n v="21930"/>
    <x v="33"/>
    <n v="10"/>
    <n v="10"/>
    <n v="10"/>
    <n v="534526"/>
    <d v="2010-11-23T12:04:00"/>
    <n v="1.95"/>
    <n v="1.95"/>
    <d v="2010-11-23T00:00:00"/>
    <d v="1899-12-30T12:04:00"/>
    <s v="PM"/>
    <s v="12:04 PM"/>
    <x v="0"/>
    <n v="19.5"/>
  </r>
  <r>
    <n v="17464"/>
    <n v="22556"/>
    <x v="34"/>
    <n v="1"/>
    <n v="1"/>
    <n v="1"/>
    <n v="503164"/>
    <d v="2010-03-30T13:15:00"/>
    <n v="1.65"/>
    <n v="1.65"/>
    <d v="2010-03-30T00:00:00"/>
    <d v="1899-12-30T01:15:00"/>
    <s v="PM"/>
    <s v="1:15 PM"/>
    <x v="0"/>
    <n v="1.65"/>
  </r>
  <r>
    <n v="13263"/>
    <n v="21499"/>
    <x v="35"/>
    <n v="25"/>
    <n v="25"/>
    <n v="25"/>
    <n v="528618"/>
    <d v="2010-10-22T17:07:00"/>
    <n v="0.42"/>
    <n v="0.42"/>
    <d v="2010-10-22T00:00:00"/>
    <d v="1899-12-30T05:07:00"/>
    <s v="PM"/>
    <s v="5:07 PM"/>
    <x v="0"/>
    <n v="10.5"/>
  </r>
  <r>
    <n v="14156"/>
    <n v="22196"/>
    <x v="36"/>
    <n v="12"/>
    <n v="12"/>
    <n v="12"/>
    <n v="505015"/>
    <d v="2010-04-19T13:30:00"/>
    <n v="0.85"/>
    <n v="0.85"/>
    <d v="2010-04-19T00:00:00"/>
    <d v="1899-12-30T01:30:00"/>
    <s v="PM"/>
    <s v="1:30 PM"/>
    <x v="1"/>
    <n v="10.199999999999999"/>
  </r>
  <r>
    <n v="17160"/>
    <s v="84510B"/>
    <x v="37"/>
    <n v="10"/>
    <n v="10"/>
    <n v="10"/>
    <n v="497272"/>
    <d v="2010-02-08T13:50:00"/>
    <n v="1.25"/>
    <n v="1.25"/>
    <d v="2010-02-08T00:00:00"/>
    <d v="1899-12-30T01:50:00"/>
    <s v="PM"/>
    <s v="1:50 PM"/>
    <x v="0"/>
    <n v="12.5"/>
  </r>
  <r>
    <n v="16470"/>
    <n v="21890"/>
    <x v="38"/>
    <n v="2"/>
    <n v="2"/>
    <n v="2"/>
    <n v="518480"/>
    <d v="2010-08-09T12:21:00"/>
    <n v="2.95"/>
    <n v="2.95"/>
    <d v="2010-08-09T00:00:00"/>
    <d v="1899-12-30T12:21:00"/>
    <s v="PM"/>
    <s v="12:21 PM"/>
    <x v="0"/>
    <n v="5.9"/>
  </r>
  <r>
    <n v="13488"/>
    <n v="21900"/>
    <x v="39"/>
    <n v="24"/>
    <n v="24"/>
    <n v="24"/>
    <n v="508593"/>
    <d v="2010-05-17T12:06:00"/>
    <n v="0.65"/>
    <n v="0.65"/>
    <d v="2010-05-17T00:00:00"/>
    <d v="1899-12-30T12:06:00"/>
    <s v="PM"/>
    <s v="12:06 PM"/>
    <x v="0"/>
    <n v="15.600000000000001"/>
  </r>
  <r>
    <n v="15288"/>
    <n v="20712"/>
    <x v="40"/>
    <n v="10"/>
    <n v="10"/>
    <n v="10"/>
    <n v="505615"/>
    <d v="2010-04-23T12:49:00"/>
    <s v="1.95"/>
    <n v="1.95"/>
    <d v="2010-04-23T00:00:00"/>
    <d v="1899-12-30T12:49:00"/>
    <s v="PM"/>
    <s v="12:49 PM"/>
    <x v="0"/>
    <n v="19.5"/>
  </r>
  <r>
    <n v="14606"/>
    <n v="22551"/>
    <x v="41"/>
    <n v="1"/>
    <n v="1"/>
    <n v="1"/>
    <n v="523314"/>
    <d v="2010-09-21T13:24:00"/>
    <n v="1.65"/>
    <n v="1.65"/>
    <d v="2010-09-21T00:00:00"/>
    <d v="1899-12-30T01:24:00"/>
    <s v="PM"/>
    <s v="1:24 PM"/>
    <x v="0"/>
    <n v="1.65"/>
  </r>
  <r>
    <n v="14606"/>
    <n v="21563"/>
    <x v="42"/>
    <n v="2"/>
    <n v="2"/>
    <n v="2"/>
    <n v="530538"/>
    <d v="2010-11-03T12:55:00"/>
    <n v="2.95"/>
    <n v="2.95"/>
    <d v="2010-11-03T00:00:00"/>
    <d v="1899-12-30T12:55:00"/>
    <s v="PM"/>
    <s v="12:55 PM"/>
    <x v="0"/>
    <n v="5.9"/>
  </r>
  <r>
    <n v="15768"/>
    <n v="84832"/>
    <x v="43"/>
    <n v="14"/>
    <n v="14"/>
    <n v="14"/>
    <n v="493706"/>
    <d v="2010-01-05T14:32:00"/>
    <n v="0.85"/>
    <n v="0.85"/>
    <d v="2010-01-05T00:00:00"/>
    <d v="1899-12-30T02:32:00"/>
    <s v="PM"/>
    <s v="2:32 PM"/>
    <x v="0"/>
    <n v="11.9"/>
  </r>
  <r>
    <n v="14841"/>
    <n v="21847"/>
    <x v="44"/>
    <n v="24"/>
    <n v="24"/>
    <n v="24"/>
    <n v="490823"/>
    <d v="2009-12-08T12:34:00"/>
    <n v="1.25"/>
    <n v="1.25"/>
    <d v="2009-12-08T00:00:00"/>
    <d v="1899-12-30T12:34:00"/>
    <s v="PM"/>
    <s v="12:34 PM"/>
    <x v="0"/>
    <n v="30"/>
  </r>
  <r>
    <n v="15402"/>
    <n v="21651"/>
    <x v="45"/>
    <n v="6"/>
    <n v="6"/>
    <n v="6"/>
    <n v="506091"/>
    <d v="2010-04-27T12:12:00"/>
    <n v="1.65"/>
    <n v="1.65"/>
    <d v="2010-04-27T00:00:00"/>
    <d v="1899-12-30T12:12:00"/>
    <s v="PM"/>
    <s v="12:12 PM"/>
    <x v="0"/>
    <n v="9.8999999999999986"/>
  </r>
  <r>
    <n v="16253"/>
    <n v="22052"/>
    <x v="46"/>
    <n v="25"/>
    <n v="25"/>
    <n v="25"/>
    <n v="494866"/>
    <d v="2010-01-19T11:20:00"/>
    <n v="0.42"/>
    <n v="0.42"/>
    <d v="2010-01-19T00:00:00"/>
    <d v="1899-12-30T11:20:00"/>
    <s v="AM"/>
    <s v="11:20 AM"/>
    <x v="0"/>
    <n v="10.5"/>
  </r>
  <r>
    <n v="17028"/>
    <n v="84978"/>
    <x v="47"/>
    <n v="12"/>
    <n v="12"/>
    <n v="12"/>
    <n v="498923"/>
    <d v="2010-02-24T09:50:00"/>
    <n v="1.25"/>
    <n v="1.25"/>
    <d v="2010-02-24T00:00:00"/>
    <d v="1899-12-30T09:50:00"/>
    <s v="AM"/>
    <s v="9:50 AM"/>
    <x v="0"/>
    <n v="15"/>
  </r>
  <r>
    <n v="17261"/>
    <n v="21069"/>
    <x v="24"/>
    <n v="1"/>
    <n v="1"/>
    <n v="1"/>
    <n v="516157"/>
    <d v="2010-07-18T11:49:00"/>
    <n v="1.25"/>
    <n v="1.25"/>
    <d v="2010-07-18T00:00:00"/>
    <d v="1899-12-30T11:49:00"/>
    <s v="AM"/>
    <s v="11:49 AM"/>
    <x v="0"/>
    <n v="1.25"/>
  </r>
  <r>
    <n v="17841"/>
    <n v="22511"/>
    <x v="48"/>
    <n v="1"/>
    <n v="1"/>
    <n v="1"/>
    <n v="509100"/>
    <d v="2010-05-20T11:49:00"/>
    <n v="3.75"/>
    <n v="3.75"/>
    <d v="2010-05-20T00:00:00"/>
    <d v="1899-12-30T11:49:00"/>
    <s v="AM"/>
    <s v="11:49 AM"/>
    <x v="0"/>
    <n v="3.75"/>
  </r>
  <r>
    <n v="18231"/>
    <n v="20914"/>
    <x v="49"/>
    <n v="1"/>
    <n v="-1"/>
    <n v="-1"/>
    <s v="C511560"/>
    <d v="2010-06-09T10:39:00"/>
    <n v="2.95"/>
    <n v="2.95"/>
    <d v="2010-06-09T00:00:00"/>
    <d v="1899-12-30T10:39:00"/>
    <s v="AM"/>
    <s v="10:39 AM"/>
    <x v="0"/>
    <n v="2.95"/>
  </r>
  <r>
    <n v="16859"/>
    <n v="22752"/>
    <x v="50"/>
    <n v="4"/>
    <n v="4"/>
    <n v="4"/>
    <n v="524746"/>
    <d v="2010-09-30T14:41:00"/>
    <n v="8.5"/>
    <n v="8.5"/>
    <d v="2010-09-30T00:00:00"/>
    <d v="1899-12-30T02:41:00"/>
    <s v="PM"/>
    <s v="2:41 PM"/>
    <x v="0"/>
    <n v="34"/>
  </r>
  <r>
    <n v="13875"/>
    <n v="22236"/>
    <x v="51"/>
    <n v="2"/>
    <n v="2"/>
    <n v="2"/>
    <n v="496821"/>
    <d v="2010-02-04T10:37:00"/>
    <n v="12.75"/>
    <n v="12.75"/>
    <d v="2010-02-04T00:00:00"/>
    <d v="1899-12-30T10:37:00"/>
    <s v="AM"/>
    <s v="10:37 AM"/>
    <x v="0"/>
    <n v="25.5"/>
  </r>
  <r>
    <n v="12380"/>
    <n v="22380"/>
    <x v="52"/>
    <n v="20"/>
    <n v="20"/>
    <n v="20"/>
    <n v="513964"/>
    <d v="2010-06-29T15:17:00"/>
    <n v="2.1"/>
    <n v="2.1"/>
    <d v="2010-06-29T00:00:00"/>
    <d v="1899-12-30T03:17:00"/>
    <s v="PM"/>
    <s v="3:17 PM"/>
    <x v="5"/>
    <n v="42"/>
  </r>
  <r>
    <n v="14343"/>
    <n v="84578"/>
    <x v="53"/>
    <n v="1"/>
    <n v="1"/>
    <n v="1"/>
    <n v="501291"/>
    <d v="2010-03-15T15:33:00"/>
    <n v="3.75"/>
    <n v="3.75"/>
    <d v="2010-03-15T00:00:00"/>
    <d v="1899-12-30T03:33:00"/>
    <s v="PM"/>
    <s v="3:33 PM"/>
    <x v="0"/>
    <n v="3.75"/>
  </r>
  <r>
    <s v="16059"/>
    <n v="71477"/>
    <x v="54"/>
    <n v="5"/>
    <n v="5"/>
    <n v="5"/>
    <n v="525944"/>
    <d v="2010-10-07T17:42:00"/>
    <n v="3.25"/>
    <n v="3.25"/>
    <d v="2010-10-07T00:00:00"/>
    <d v="1899-12-30T05:42:00"/>
    <s v="PM"/>
    <s v="5:42 PM"/>
    <x v="0"/>
    <n v="16.25"/>
  </r>
  <r>
    <n v="16948"/>
    <n v="21892"/>
    <x v="55"/>
    <n v="12"/>
    <n v="12"/>
    <n v="12"/>
    <n v="498577"/>
    <d v="2010-02-21T13:48:00"/>
    <n v="1.25"/>
    <n v="1.25"/>
    <d v="2010-02-21T00:00:00"/>
    <d v="1899-12-30T01:48:00"/>
    <s v="PM"/>
    <s v="1:48 PM"/>
    <x v="0"/>
    <n v="15"/>
  </r>
  <r>
    <n v="14680"/>
    <n v="21156"/>
    <x v="56"/>
    <n v="2"/>
    <n v="2"/>
    <n v="2"/>
    <n v="497958"/>
    <d v="2010-02-15T13:20:00"/>
    <n v="1.95"/>
    <n v="1.95"/>
    <d v="2010-02-15T00:00:00"/>
    <d v="1899-12-30T01:20:00"/>
    <s v="PM"/>
    <s v="1:20 PM"/>
    <x v="0"/>
    <n v="3.9"/>
  </r>
  <r>
    <n v="17838"/>
    <n v="21622"/>
    <x v="57"/>
    <n v="8"/>
    <n v="8"/>
    <n v="8"/>
    <n v="504152"/>
    <d v="2010-04-11T13:49:00"/>
    <s v="4.95"/>
    <n v="4.95"/>
    <d v="2010-04-11T00:00:00"/>
    <d v="1899-12-30T01:49:00"/>
    <s v="PM"/>
    <s v="1:49 PM"/>
    <x v="0"/>
    <n v="39.6"/>
  </r>
  <r>
    <n v="13243"/>
    <n v="22328"/>
    <x v="58"/>
    <n v="1"/>
    <n v="1"/>
    <n v="1"/>
    <n v="501657"/>
    <d v="2010-03-18T13:10:00"/>
    <n v="2.95"/>
    <n v="2.95"/>
    <d v="2010-03-18T00:00:00"/>
    <d v="1899-12-30T01:10:00"/>
    <s v="PM"/>
    <s v="1:10 PM"/>
    <x v="0"/>
    <n v="2.95"/>
  </r>
  <r>
    <n v="14961"/>
    <n v="20862"/>
    <x v="59"/>
    <n v="6"/>
    <n v="6"/>
    <n v="6"/>
    <n v="491816"/>
    <d v="2009-12-14T13:36:00"/>
    <n v="2.1"/>
    <n v="2.1"/>
    <d v="2009-12-14T00:00:00"/>
    <d v="1899-12-30T01:36:00"/>
    <s v="PM"/>
    <s v="1:36 PM"/>
    <x v="0"/>
    <n v="12.600000000000001"/>
  </r>
  <r>
    <n v="16556"/>
    <n v="22024"/>
    <x v="60"/>
    <n v="24"/>
    <n v="24"/>
    <n v="24"/>
    <n v="493960"/>
    <d v="2010-01-08T15:01:00"/>
    <s v="0.42"/>
    <n v="0.42"/>
    <d v="2010-01-08T00:00:00"/>
    <d v="1899-12-30T03:01:00"/>
    <s v="PM"/>
    <s v="3:01 PM"/>
    <x v="0"/>
    <n v="10.08"/>
  </r>
  <r>
    <n v="14527"/>
    <n v="22745"/>
    <x v="61"/>
    <n v="1"/>
    <n v="1"/>
    <n v="1"/>
    <n v="531746"/>
    <d v="2010-11-09T13:00:00"/>
    <n v="2.1"/>
    <n v="2.1"/>
    <d v="2010-11-09T00:00:00"/>
    <d v="1899-12-30T01:00:00"/>
    <s v="PM"/>
    <s v="1:00 PM"/>
    <x v="0"/>
    <n v="2.1"/>
  </r>
  <r>
    <n v="16954"/>
    <n v="21731"/>
    <x v="62"/>
    <n v="24"/>
    <n v="24"/>
    <n v="24"/>
    <n v="512093"/>
    <d v="2010-06-13T13:06:00"/>
    <n v="1.65"/>
    <n v="1.65"/>
    <d v="2010-06-13T00:00:00"/>
    <d v="1899-12-30T01:06:00"/>
    <s v="PM"/>
    <s v="1:06 PM"/>
    <x v="0"/>
    <n v="39.599999999999994"/>
  </r>
  <r>
    <n v="15259"/>
    <n v="22355"/>
    <x v="63"/>
    <n v="10"/>
    <n v="10"/>
    <n v="10"/>
    <n v="495576"/>
    <d v="2010-01-26T09:41:00"/>
    <n v="0.85"/>
    <n v="0.85"/>
    <d v="2010-01-26T00:00:00"/>
    <d v="1899-12-30T09:41:00"/>
    <s v="AM"/>
    <s v="9:41 AM"/>
    <x v="0"/>
    <n v="8.5"/>
  </r>
  <r>
    <n v="13824"/>
    <n v="21431"/>
    <x v="64"/>
    <n v="8"/>
    <n v="8"/>
    <n v="8"/>
    <n v="506383"/>
    <d v="2010-04-29T12:30:00"/>
    <n v="1.65"/>
    <n v="1.65"/>
    <d v="2010-04-29T00:00:00"/>
    <d v="1899-12-30T12:30:00"/>
    <s v="PM"/>
    <s v="12:30 PM"/>
    <x v="0"/>
    <n v="13.2"/>
  </r>
  <r>
    <n v="17055"/>
    <n v="48138"/>
    <x v="65"/>
    <n v="3"/>
    <n v="3"/>
    <n v="3"/>
    <n v="523097"/>
    <d v="2010-09-20T12:21:00"/>
    <n v="7.95"/>
    <n v="7.95"/>
    <d v="2010-09-20T00:00:00"/>
    <d v="1899-12-30T12:21:00"/>
    <s v="PM"/>
    <s v="12:21 PM"/>
    <x v="0"/>
    <n v="23.85"/>
  </r>
  <r>
    <s v="16049"/>
    <n v="22745"/>
    <x v="61"/>
    <n v="1"/>
    <n v="1"/>
    <n v="1"/>
    <n v="534221"/>
    <d v="2010-11-21T16:15:00"/>
    <n v="2.1"/>
    <n v="2.1"/>
    <d v="2010-11-21T00:00:00"/>
    <d v="1899-12-30T04:15:00"/>
    <s v="PM"/>
    <s v="4:15 PM"/>
    <x v="0"/>
    <n v="2.1"/>
  </r>
  <r>
    <n v="14081"/>
    <n v="22118"/>
    <x v="66"/>
    <n v="1"/>
    <n v="1"/>
    <n v="1"/>
    <n v="529763"/>
    <d v="2010-10-29T15:00:00"/>
    <n v="4.95"/>
    <n v="4.95"/>
    <d v="2010-10-29T00:00:00"/>
    <d v="1899-12-30T03:00:00"/>
    <s v="PM"/>
    <s v="3:00 PM"/>
    <x v="0"/>
    <n v="4.95"/>
  </r>
  <r>
    <n v="14156"/>
    <n v="22665"/>
    <x v="67"/>
    <n v="6"/>
    <n v="6"/>
    <n v="6"/>
    <n v="528417"/>
    <d v="2010-10-22T09:36:00"/>
    <n v="2.95"/>
    <n v="2.95"/>
    <d v="2010-10-22T00:00:00"/>
    <d v="1899-12-30T09:36:00"/>
    <s v="AM"/>
    <s v="9:36 AM"/>
    <x v="1"/>
    <n v="17.700000000000003"/>
  </r>
  <r>
    <n v="15674"/>
    <n v="22605"/>
    <x v="68"/>
    <n v="3"/>
    <n v="3"/>
    <n v="3"/>
    <n v="510232"/>
    <d v="2010-05-28T09:40:00"/>
    <n v="12.75"/>
    <n v="12.75"/>
    <d v="2010-05-28T00:00:00"/>
    <d v="1899-12-30T09:40:00"/>
    <s v="AM"/>
    <s v="9:40 AM"/>
    <x v="0"/>
    <n v="38.25"/>
  </r>
  <r>
    <n v="12725"/>
    <s v="72807C"/>
    <x v="69"/>
    <n v="4"/>
    <n v="4"/>
    <n v="4"/>
    <n v="528176"/>
    <d v="2010-10-21T10:28:00"/>
    <n v="4.25"/>
    <n v="4.25"/>
    <d v="2010-10-21T00:00:00"/>
    <d v="1899-12-30T10:28:00"/>
    <s v="AM"/>
    <s v="10:28 AM"/>
    <x v="6"/>
    <n v="17"/>
  </r>
  <r>
    <n v="13898"/>
    <n v="22435"/>
    <x v="70"/>
    <n v="12"/>
    <n v="12"/>
    <n v="12"/>
    <n v="528761"/>
    <d v="2010-10-24T15:42:00"/>
    <n v="1.25"/>
    <n v="1.25"/>
    <d v="2010-10-24T00:00:00"/>
    <d v="1899-12-30T03:42:00"/>
    <s v="PM"/>
    <s v="3:42 PM"/>
    <x v="0"/>
    <n v="15"/>
  </r>
  <r>
    <n v="12714"/>
    <n v="22321"/>
    <x v="71"/>
    <n v="24"/>
    <n v="24"/>
    <n v="24"/>
    <n v="501284"/>
    <d v="2010-03-15T14:19:00"/>
    <s v="0.85"/>
    <n v="0.85"/>
    <d v="2010-03-15T00:00:00"/>
    <d v="1899-12-30T02:19:00"/>
    <s v="PM"/>
    <s v="2:19 PM"/>
    <x v="3"/>
    <n v="20.399999999999999"/>
  </r>
  <r>
    <n v="12396"/>
    <n v="22076"/>
    <x v="72"/>
    <n v="12"/>
    <n v="12"/>
    <n v="12"/>
    <n v="496703"/>
    <d v="2010-02-03T13:22:00"/>
    <n v="1.65"/>
    <n v="1.65"/>
    <d v="2010-02-03T00:00:00"/>
    <d v="1899-12-30T01:22:00"/>
    <s v="PM"/>
    <s v="1:22 PM"/>
    <x v="7"/>
    <n v="19.799999999999997"/>
  </r>
  <r>
    <s v="13902"/>
    <n v="85198"/>
    <x v="73"/>
    <n v="3312"/>
    <n v="3312"/>
    <n v="3312"/>
    <n v="497946"/>
    <d v="2010-02-15T11:57:00"/>
    <n v="0.3"/>
    <n v="0.3"/>
    <d v="2010-02-15T00:00:00"/>
    <d v="1899-12-30T11:57:00"/>
    <s v="AM"/>
    <s v="11:57 AM"/>
    <x v="8"/>
    <n v="993.59999999999991"/>
  </r>
  <r>
    <n v="14646"/>
    <n v="21121"/>
    <x v="74"/>
    <n v="288"/>
    <n v="288"/>
    <n v="288"/>
    <n v="507178"/>
    <d v="2010-05-06T15:17:00"/>
    <n v="1.06"/>
    <n v="1.06"/>
    <d v="2010-05-06T00:00:00"/>
    <d v="1899-12-30T03:17:00"/>
    <s v="PM"/>
    <s v="3:17 PM"/>
    <x v="9"/>
    <n v="305.28000000000003"/>
  </r>
  <r>
    <n v="16782"/>
    <n v="22378"/>
    <x v="75"/>
    <n v="1"/>
    <n v="1"/>
    <n v="1"/>
    <n v="516265"/>
    <d v="2010-07-19T12:07:00"/>
    <n v="2.1"/>
    <n v="2.1"/>
    <d v="2010-07-19T00:00:00"/>
    <d v="1899-12-30T12:07:00"/>
    <s v="PM"/>
    <s v="12:07 PM"/>
    <x v="0"/>
    <n v="2.1"/>
  </r>
  <r>
    <n v="16623"/>
    <n v="21175"/>
    <x v="76"/>
    <n v="12"/>
    <n v="12"/>
    <n v="12"/>
    <n v="505885"/>
    <d v="2010-04-26T14:04:00"/>
    <n v="2.1"/>
    <n v="2.1"/>
    <d v="2010-04-26T00:00:00"/>
    <d v="1899-12-30T02:04:00"/>
    <s v="PM"/>
    <s v="2:04 PM"/>
    <x v="0"/>
    <n v="25.200000000000003"/>
  </r>
  <r>
    <n v="16695"/>
    <n v="21892"/>
    <x v="55"/>
    <n v="2"/>
    <n v="2"/>
    <n v="2"/>
    <n v="510139"/>
    <d v="2010-05-27T12:24:00"/>
    <n v="1.25"/>
    <n v="1.25"/>
    <d v="2010-05-27T00:00:00"/>
    <d v="1899-12-30T12:24:00"/>
    <s v="PM"/>
    <s v="12:24 PM"/>
    <x v="0"/>
    <n v="2.5"/>
  </r>
  <r>
    <n v="16670"/>
    <n v="22262"/>
    <x v="77"/>
    <n v="12"/>
    <n v="12"/>
    <n v="12"/>
    <n v="502628"/>
    <d v="2010-03-25T15:36:00"/>
    <n v="0.85"/>
    <n v="0.85"/>
    <d v="2010-03-25T00:00:00"/>
    <d v="1899-12-30T03:36:00"/>
    <s v="PM"/>
    <s v="3:36 PM"/>
    <x v="0"/>
    <n v="10.199999999999999"/>
  </r>
  <r>
    <n v="13542"/>
    <n v="48184"/>
    <x v="78"/>
    <n v="1"/>
    <n v="1"/>
    <n v="1"/>
    <n v="511851"/>
    <d v="2010-06-10T19:21:00"/>
    <n v="7.49"/>
    <n v="7.49"/>
    <d v="2010-06-10T00:00:00"/>
    <d v="1899-12-30T07:21:00"/>
    <s v="PM"/>
    <s v="7:21 PM"/>
    <x v="0"/>
    <n v="7.49"/>
  </r>
  <r>
    <n v="14877"/>
    <s v="85206A"/>
    <x v="79"/>
    <n v="2"/>
    <n v="2"/>
    <n v="2"/>
    <n v="500326"/>
    <d v="2010-03-07T12:25:00"/>
    <n v="1.65"/>
    <n v="1.65"/>
    <d v="2010-03-07T00:00:00"/>
    <d v="1899-12-30T12:25:00"/>
    <s v="PM"/>
    <s v="12:25 PM"/>
    <x v="0"/>
    <n v="3.3"/>
  </r>
  <r>
    <n v="15281"/>
    <n v="22294"/>
    <x v="80"/>
    <n v="24"/>
    <n v="24"/>
    <n v="24"/>
    <n v="526089"/>
    <d v="2010-10-08T12:14:00"/>
    <n v="1.25"/>
    <n v="1.25"/>
    <d v="2010-10-08T00:00:00"/>
    <d v="1899-12-30T12:14:00"/>
    <s v="PM"/>
    <s v="12:14 PM"/>
    <x v="0"/>
    <n v="30"/>
  </r>
  <r>
    <n v="14625"/>
    <n v="21212"/>
    <x v="81"/>
    <n v="24"/>
    <n v="24"/>
    <n v="24"/>
    <n v="518432"/>
    <d v="2010-08-09T11:06:00"/>
    <n v="0.55000000000000004"/>
    <n v="0.55000000000000004"/>
    <d v="2010-08-09T00:00:00"/>
    <d v="1899-12-30T11:06:00"/>
    <s v="AM"/>
    <s v="11:06 AM"/>
    <x v="0"/>
    <n v="13.200000000000001"/>
  </r>
  <r>
    <n v="16409"/>
    <n v="84380"/>
    <x v="82"/>
    <n v="12"/>
    <n v="12"/>
    <n v="12"/>
    <n v="533547"/>
    <d v="2010-11-17T16:48:00"/>
    <n v="1.25"/>
    <n v="1.25"/>
    <d v="2010-11-17T00:00:00"/>
    <d v="1899-12-30T04:48:00"/>
    <s v="PM"/>
    <s v="4:48 PM"/>
    <x v="0"/>
    <n v="15"/>
  </r>
  <r>
    <n v="15710"/>
    <n v="84580"/>
    <x v="83"/>
    <n v="2"/>
    <n v="2"/>
    <n v="2"/>
    <n v="527754"/>
    <d v="2010-10-18T17:05:00"/>
    <n v="3.75"/>
    <n v="3.75"/>
    <d v="2010-10-18T00:00:00"/>
    <d v="1899-12-30T05:05:00"/>
    <s v="PM"/>
    <s v="5:05 PM"/>
    <x v="0"/>
    <n v="7.5"/>
  </r>
  <r>
    <n v="14911"/>
    <n v="21428"/>
    <x v="84"/>
    <n v="4"/>
    <n v="4"/>
    <n v="4"/>
    <n v="496008"/>
    <d v="2010-01-28T12:36:00"/>
    <s v="4.25"/>
    <n v="4.25"/>
    <d v="2010-01-28T00:00:00"/>
    <d v="1899-12-30T12:36:00"/>
    <s v="PM"/>
    <s v="12:36 PM"/>
    <x v="1"/>
    <n v="17"/>
  </r>
  <r>
    <n v="16471"/>
    <n v="84839"/>
    <x v="85"/>
    <n v="2"/>
    <n v="2"/>
    <n v="2"/>
    <n v="509071"/>
    <d v="2010-05-20T11:41:00"/>
    <n v="6.75"/>
    <n v="6.75"/>
    <d v="2010-05-20T00:00:00"/>
    <d v="1899-12-30T11:41:00"/>
    <s v="AM"/>
    <s v="11:41 AM"/>
    <x v="0"/>
    <n v="13.5"/>
  </r>
  <r>
    <n v="16010"/>
    <n v="21986"/>
    <x v="86"/>
    <n v="3"/>
    <n v="3"/>
    <n v="3"/>
    <n v="535656"/>
    <d v="2010-11-28T11:19:00"/>
    <n v="0.28999999999999998"/>
    <n v="0.28999999999999998"/>
    <d v="2010-11-28T00:00:00"/>
    <d v="1899-12-30T11:19:00"/>
    <s v="AM"/>
    <s v="11:19 AM"/>
    <x v="0"/>
    <n v="0.86999999999999988"/>
  </r>
  <r>
    <n v="13952"/>
    <n v="21535"/>
    <x v="87"/>
    <n v="6"/>
    <n v="6"/>
    <n v="6"/>
    <n v="522885"/>
    <d v="2010-09-17T12:06:00"/>
    <n v="2.5499999999999998"/>
    <n v="2.5499999999999998"/>
    <d v="2010-09-17T00:00:00"/>
    <d v="1899-12-30T12:06:00"/>
    <s v="PM"/>
    <s v="12:06 PM"/>
    <x v="0"/>
    <n v="15.299999999999999"/>
  </r>
  <r>
    <n v="13206"/>
    <n v="20749"/>
    <x v="88"/>
    <n v="2"/>
    <n v="2"/>
    <n v="2"/>
    <n v="502038"/>
    <d v="2010-03-22T13:49:00"/>
    <n v="7.95"/>
    <n v="7.95"/>
    <d v="2010-03-22T00:00:00"/>
    <d v="1899-12-30T01:49:00"/>
    <s v="PM"/>
    <s v="1:49 PM"/>
    <x v="0"/>
    <n v="15.9"/>
  </r>
  <r>
    <n v="16767"/>
    <n v="22139"/>
    <x v="89"/>
    <n v="12"/>
    <n v="12"/>
    <n v="12"/>
    <n v="516132"/>
    <d v="2010-07-16T15:27:00"/>
    <n v="4.95"/>
    <n v="4.95"/>
    <d v="2010-07-16T00:00:00"/>
    <d v="1899-12-30T03:27:00"/>
    <s v="PM"/>
    <s v="3:27 PM"/>
    <x v="0"/>
    <n v="59.400000000000006"/>
  </r>
  <r>
    <n v="14210"/>
    <n v="21216"/>
    <x v="90"/>
    <n v="4"/>
    <n v="4"/>
    <n v="4"/>
    <n v="511500"/>
    <d v="2010-06-08T14:44:00"/>
    <n v="4.95"/>
    <n v="4.95"/>
    <d v="2010-06-08T00:00:00"/>
    <d v="1899-12-30T02:44:00"/>
    <s v="PM"/>
    <s v="2:44 PM"/>
    <x v="0"/>
    <n v="19.8"/>
  </r>
  <r>
    <n v="18102"/>
    <n v="21426"/>
    <x v="91"/>
    <n v="96"/>
    <n v="96"/>
    <n v="96"/>
    <n v="518547"/>
    <d v="2010-08-09T18:30:00"/>
    <n v="1.25"/>
    <n v="1.25"/>
    <d v="2010-08-09T00:00:00"/>
    <d v="1899-12-30T06:30:00"/>
    <s v="PM"/>
    <s v="6:30 PM"/>
    <x v="0"/>
    <n v="120"/>
  </r>
  <r>
    <n v="15738"/>
    <n v="22021"/>
    <x v="92"/>
    <n v="12"/>
    <n v="12"/>
    <n v="12"/>
    <n v="501689"/>
    <d v="2010-03-18T17:05:00"/>
    <n v="1.65"/>
    <n v="1.65"/>
    <d v="2010-03-18T00:00:00"/>
    <d v="1899-12-30T05:05:00"/>
    <s v="PM"/>
    <s v="5:05 PM"/>
    <x v="0"/>
    <n v="19.799999999999997"/>
  </r>
  <r>
    <n v="15581"/>
    <n v="85104"/>
    <x v="93"/>
    <n v="4"/>
    <n v="4"/>
    <n v="4"/>
    <n v="489802"/>
    <d v="2009-12-02T12:32:00"/>
    <n v="2.95"/>
    <n v="2.95"/>
    <d v="2009-12-02T00:00:00"/>
    <d v="1899-12-30T12:32:00"/>
    <s v="PM"/>
    <s v="12:32 PM"/>
    <x v="0"/>
    <n v="11.8"/>
  </r>
  <r>
    <n v="13131"/>
    <s v="84997B"/>
    <x v="94"/>
    <n v="6"/>
    <n v="6"/>
    <n v="6"/>
    <n v="497364"/>
    <d v="2010-02-09T09:47:00"/>
    <n v="3.75"/>
    <n v="3.75"/>
    <d v="2010-02-09T00:00:00"/>
    <d v="1899-12-30T09:47:00"/>
    <s v="AM"/>
    <s v="9:47 AM"/>
    <x v="0"/>
    <n v="22.5"/>
  </r>
  <r>
    <n v="18161"/>
    <n v="84879"/>
    <x v="95"/>
    <n v="8"/>
    <n v="8"/>
    <n v="8"/>
    <n v="535332"/>
    <d v="2010-11-25T15:55:00"/>
    <n v="1.69"/>
    <n v="1.69"/>
    <d v="2010-11-25T00:00:00"/>
    <d v="1899-12-30T03:55:00"/>
    <s v="PM"/>
    <s v="3:55 PM"/>
    <x v="0"/>
    <n v="13.52"/>
  </r>
  <r>
    <n v="14426"/>
    <n v="21043"/>
    <x v="96"/>
    <n v="3"/>
    <n v="3"/>
    <n v="3"/>
    <n v="513953"/>
    <d v="2010-06-29T14:14:00"/>
    <n v="5.95"/>
    <n v="5.95"/>
    <d v="2010-06-29T00:00:00"/>
    <d v="1899-12-30T02:14:00"/>
    <s v="PM"/>
    <s v="2:14 PM"/>
    <x v="0"/>
    <n v="17.850000000000001"/>
  </r>
  <r>
    <n v="17962"/>
    <n v="21730"/>
    <x v="97"/>
    <n v="2"/>
    <n v="2"/>
    <n v="2"/>
    <n v="494359"/>
    <d v="2010-01-13T15:24:00"/>
    <n v="4.95"/>
    <n v="4.95"/>
    <d v="2010-01-13T00:00:00"/>
    <d v="1899-12-30T03:24:00"/>
    <s v="PM"/>
    <s v="3:24 PM"/>
    <x v="0"/>
    <n v="9.9"/>
  </r>
  <r>
    <n v="15640"/>
    <n v="22113"/>
    <x v="98"/>
    <n v="12"/>
    <n v="12"/>
    <n v="12"/>
    <n v="533376"/>
    <d v="2010-11-17T10:39:00"/>
    <s v="3.75"/>
    <n v="3.75"/>
    <d v="2010-11-17T00:00:00"/>
    <d v="1899-12-30T10:39:00"/>
    <s v="AM"/>
    <s v="10:39 AM"/>
    <x v="0"/>
    <n v="45"/>
  </r>
  <r>
    <n v="14911"/>
    <s v=" 21888 "/>
    <x v="99"/>
    <n v="4"/>
    <n v="4"/>
    <n v="4"/>
    <n v="536975"/>
    <d v="2010-12-03T14:04:00"/>
    <n v="3.75"/>
    <n v="3.75"/>
    <d v="2010-12-03T00:00:00"/>
    <d v="1899-12-30T02:04:00"/>
    <s v="PM"/>
    <s v="2:04 PM"/>
    <x v="1"/>
    <n v="15"/>
  </r>
  <r>
    <n v="15301"/>
    <n v="22733"/>
    <x v="100"/>
    <n v="18"/>
    <n v="18"/>
    <n v="18"/>
    <n v="537346"/>
    <d v="2010-12-06T12:21:00"/>
    <n v="1.25"/>
    <n v="1.25"/>
    <d v="2010-12-06T00:00:00"/>
    <d v="1899-12-30T12:21:00"/>
    <s v="PM"/>
    <s v="12:21 PM"/>
    <x v="0"/>
    <n v="22.5"/>
  </r>
  <r>
    <n v="16253"/>
    <n v="22208"/>
    <x v="101"/>
    <n v="36"/>
    <n v="36"/>
    <n v="36"/>
    <n v="525577"/>
    <d v="2010-10-06T10:41:00"/>
    <n v="1.65"/>
    <n v="1.65"/>
    <d v="2010-10-06T00:00:00"/>
    <d v="1899-12-30T10:41:00"/>
    <s v="AM"/>
    <s v="10:41 AM"/>
    <x v="0"/>
    <n v="59.4"/>
  </r>
  <r>
    <n v="17364"/>
    <n v="22141"/>
    <x v="102"/>
    <n v="1"/>
    <n v="1"/>
    <n v="1"/>
    <n v="533064"/>
    <d v="2010-11-15T17:01:00"/>
    <n v="2.1"/>
    <n v="2.1"/>
    <d v="2010-11-15T00:00:00"/>
    <d v="1899-12-30T05:01:00"/>
    <s v="PM"/>
    <s v="5:01 PM"/>
    <x v="0"/>
    <n v="2.1"/>
  </r>
  <r>
    <n v="16830"/>
    <s v="85123A"/>
    <x v="103"/>
    <n v="6"/>
    <n v="6"/>
    <n v="6"/>
    <n v="523648"/>
    <d v="2010-09-23T12:37:00"/>
    <n v="2.95"/>
    <n v="2.95"/>
    <d v="2010-09-23T00:00:00"/>
    <d v="1899-12-30T12:37:00"/>
    <s v="PM"/>
    <s v="12:37 PM"/>
    <x v="0"/>
    <n v="17.700000000000003"/>
  </r>
  <r>
    <n v="14769"/>
    <n v="22948"/>
    <x v="104"/>
    <n v="24"/>
    <n v="24"/>
    <n v="24"/>
    <n v="525974"/>
    <d v="2010-10-08T10:23:00"/>
    <n v="0.85"/>
    <n v="0.85"/>
    <d v="2010-10-08T00:00:00"/>
    <d v="1899-12-30T10:23:00"/>
    <s v="AM"/>
    <s v="10:23 AM"/>
    <x v="0"/>
    <n v="20.399999999999999"/>
  </r>
  <r>
    <n v="17269"/>
    <n v="20961"/>
    <x v="105"/>
    <n v="1"/>
    <n v="1"/>
    <n v="1"/>
    <n v="533841"/>
    <d v="2010-11-19T11:12:00"/>
    <n v="1.25"/>
    <n v="1.25"/>
    <d v="2010-11-19T00:00:00"/>
    <d v="1899-12-30T11:12:00"/>
    <s v="AM"/>
    <s v="11:12 AM"/>
    <x v="0"/>
    <n v="1.25"/>
  </r>
  <r>
    <n v="16558"/>
    <n v="22909"/>
    <x v="106"/>
    <n v="12"/>
    <n v="12"/>
    <n v="12"/>
    <n v="537762"/>
    <d v="2010-12-08T12:01:00"/>
    <n v="0.85"/>
    <n v="0.85"/>
    <d v="2010-12-08T00:00:00"/>
    <d v="1899-12-30T12:01:00"/>
    <s v="PM"/>
    <s v="12:01 PM"/>
    <x v="0"/>
    <n v="10.199999999999999"/>
  </r>
  <r>
    <n v="16072"/>
    <n v="35924"/>
    <x v="107"/>
    <n v="1"/>
    <n v="1"/>
    <n v="1"/>
    <n v="525898"/>
    <d v="2010-10-07T15:33:00"/>
    <n v="2.1"/>
    <n v="2.1"/>
    <d v="2010-10-07T00:00:00"/>
    <d v="1899-12-30T03:33:00"/>
    <s v="PM"/>
    <s v="3:33 PM"/>
    <x v="0"/>
    <n v="2.1"/>
  </r>
  <r>
    <n v="12455"/>
    <n v="47568"/>
    <x v="108"/>
    <n v="6"/>
    <n v="6"/>
    <n v="6"/>
    <n v="507880"/>
    <d v="2010-05-11T15:03:00"/>
    <n v="2.1"/>
    <n v="2.1"/>
    <d v="2010-05-11T00:00:00"/>
    <d v="1899-12-30T03:03:00"/>
    <s v="PM"/>
    <s v="3:03 PM"/>
    <x v="10"/>
    <n v="12.600000000000001"/>
  </r>
  <r>
    <n v="12567"/>
    <s v="84997B"/>
    <x v="109"/>
    <n v="6"/>
    <n v="6"/>
    <n v="6"/>
    <n v="537065"/>
    <d v="2010-12-05T11:57:00"/>
    <n v="3.75"/>
    <n v="3.75"/>
    <d v="2010-12-05T00:00:00"/>
    <d v="1899-12-30T11:57:00"/>
    <s v="AM"/>
    <s v="11:57 AM"/>
    <x v="3"/>
    <n v="22.5"/>
  </r>
  <r>
    <n v="13089"/>
    <n v="22440"/>
    <x v="110"/>
    <n v="20"/>
    <n v="20"/>
    <n v="20"/>
    <n v="504413"/>
    <d v="2010-04-13T12:27:00"/>
    <n v="0.42"/>
    <n v="0.42"/>
    <d v="2010-04-13T00:00:00"/>
    <d v="1899-12-30T12:27:00"/>
    <s v="PM"/>
    <s v="12:27 PM"/>
    <x v="0"/>
    <n v="8.4"/>
  </r>
  <r>
    <n v="15061"/>
    <n v="20825"/>
    <x v="111"/>
    <n v="288"/>
    <n v="288"/>
    <n v="288"/>
    <n v="525286"/>
    <d v="2010-10-05T08:34:00"/>
    <n v="3.39"/>
    <n v="3.39"/>
    <d v="2010-10-05T00:00:00"/>
    <d v="1899-12-30T08:34:00"/>
    <s v="AM"/>
    <s v="8:34 AM"/>
    <x v="0"/>
    <n v="976.32"/>
  </r>
  <r>
    <n v="14128"/>
    <n v="22470"/>
    <x v="112"/>
    <n v="6"/>
    <n v="6"/>
    <n v="6"/>
    <n v="511081"/>
    <d v="2010-06-06T14:05:00"/>
    <n v="2.95"/>
    <n v="2.95"/>
    <d v="2010-06-06T00:00:00"/>
    <d v="1899-12-30T02:05:00"/>
    <s v="PM"/>
    <s v="2:05 PM"/>
    <x v="0"/>
    <n v="17.700000000000003"/>
  </r>
  <r>
    <n v="15823"/>
    <n v="22134"/>
    <x v="113"/>
    <n v="12"/>
    <n v="12"/>
    <n v="12"/>
    <n v="490957"/>
    <d v="2009-12-08T15:12:00"/>
    <n v="0.42"/>
    <n v="0.42"/>
    <d v="2009-12-08T00:00:00"/>
    <d v="1899-12-30T03:12:00"/>
    <s v="PM"/>
    <s v="3:12 PM"/>
    <x v="0"/>
    <n v="5.04"/>
  </r>
  <r>
    <n v="17589"/>
    <n v="21327"/>
    <x v="114"/>
    <n v="2"/>
    <n v="2"/>
    <n v="2"/>
    <n v="500336"/>
    <d v="2010-03-07T13:48:00"/>
    <n v="1.65"/>
    <n v="1.65"/>
    <d v="2010-03-07T00:00:00"/>
    <d v="1899-12-30T01:48:00"/>
    <s v="PM"/>
    <s v="1:48 PM"/>
    <x v="0"/>
    <n v="3.3"/>
  </r>
  <r>
    <n v="16392"/>
    <n v="22947"/>
    <x v="115"/>
    <n v="1"/>
    <n v="1"/>
    <n v="1"/>
    <n v="528470"/>
    <d v="2010-10-22T11:40:00"/>
    <n v="16.95"/>
    <n v="16.95"/>
    <d v="2010-10-22T00:00:00"/>
    <d v="1899-12-30T11:40:00"/>
    <s v="AM"/>
    <s v="11:40 AM"/>
    <x v="0"/>
    <n v="16.95"/>
  </r>
  <r>
    <n v="13093"/>
    <n v="22379"/>
    <x v="116"/>
    <n v="25"/>
    <n v="25"/>
    <n v="25"/>
    <n v="521406"/>
    <d v="2010-09-06T10:42:00"/>
    <n v="2.1"/>
    <n v="2.1"/>
    <d v="2010-09-06T00:00:00"/>
    <d v="1899-12-30T10:42:00"/>
    <s v="AM"/>
    <s v="10:42 AM"/>
    <x v="0"/>
    <n v="52.5"/>
  </r>
  <r>
    <n v="18102"/>
    <n v="22764"/>
    <x v="117"/>
    <n v="34"/>
    <n v="34"/>
    <n v="34"/>
    <n v="526945"/>
    <d v="2010-10-14T10:30:00"/>
    <n v="16.88"/>
    <n v="16.88"/>
    <d v="2010-10-14T00:00:00"/>
    <d v="1899-12-30T10:30:00"/>
    <s v="AM"/>
    <s v="10:30 AM"/>
    <x v="0"/>
    <n v="573.91999999999996"/>
  </r>
  <r>
    <n v="14535"/>
    <n v="22082"/>
    <x v="118"/>
    <n v="5"/>
    <n v="5"/>
    <n v="5"/>
    <n v="502613"/>
    <d v="2010-03-25T14:22:00"/>
    <n v="1.65"/>
    <n v="1.65"/>
    <d v="2010-03-25T00:00:00"/>
    <d v="1899-12-30T02:22:00"/>
    <s v="PM"/>
    <s v="2:22 PM"/>
    <x v="0"/>
    <n v="8.25"/>
  </r>
  <r>
    <n v="16797"/>
    <s v="47594B"/>
    <x v="119"/>
    <n v="1"/>
    <n v="1"/>
    <n v="1"/>
    <n v="498594"/>
    <d v="2010-02-21T15:48:00"/>
    <n v="1.95"/>
    <n v="1.95"/>
    <d v="2010-02-21T00:00:00"/>
    <d v="1899-12-30T03:48:00"/>
    <s v="PM"/>
    <s v="3:48 PM"/>
    <x v="0"/>
    <n v="1.95"/>
  </r>
  <r>
    <n v="17435"/>
    <n v="22303"/>
    <x v="120"/>
    <n v="6"/>
    <n v="6"/>
    <n v="6"/>
    <n v="528734"/>
    <d v="2010-10-24T13:55:00"/>
    <n v="2.5499999999999998"/>
    <n v="2.5499999999999998"/>
    <d v="2010-10-24T00:00:00"/>
    <d v="1899-12-30T01:55:00"/>
    <s v="PM"/>
    <s v="1:55 PM"/>
    <x v="0"/>
    <n v="15.299999999999999"/>
  </r>
  <r>
    <n v="12720"/>
    <n v="22617"/>
    <x v="121"/>
    <n v="3"/>
    <n v="3"/>
    <n v="3"/>
    <n v="516485"/>
    <d v="2010-07-21T09:46:00"/>
    <n v="4.95"/>
    <n v="4.95"/>
    <d v="2010-07-21T00:00:00"/>
    <d v="1899-12-30T09:46:00"/>
    <s v="AM"/>
    <s v="9:46 AM"/>
    <x v="2"/>
    <n v="14.850000000000001"/>
  </r>
  <r>
    <n v="14159"/>
    <n v="22975"/>
    <x v="122"/>
    <n v="1"/>
    <n v="1"/>
    <n v="1"/>
    <n v="535266"/>
    <d v="2010-11-25T13:32:00"/>
    <n v="1.25"/>
    <n v="1.25"/>
    <d v="2010-11-25T00:00:00"/>
    <d v="1899-12-30T01:32:00"/>
    <s v="PM"/>
    <s v="1:32 PM"/>
    <x v="0"/>
    <n v="1.25"/>
  </r>
  <r>
    <n v="15191"/>
    <s v="72753C"/>
    <x v="123"/>
    <n v="2"/>
    <n v="2"/>
    <n v="2"/>
    <n v="495010"/>
    <d v="2010-01-20T12:35:00"/>
    <n v="7.95"/>
    <n v="7.95"/>
    <d v="2010-01-20T00:00:00"/>
    <d v="1899-12-30T12:35:00"/>
    <s v="PM"/>
    <s v="12:35 PM"/>
    <x v="0"/>
    <n v="15.9"/>
  </r>
  <r>
    <n v="17841"/>
    <n v="22111"/>
    <x v="124"/>
    <n v="7"/>
    <n v="7"/>
    <n v="7"/>
    <n v="536557"/>
    <d v="2010-12-01T14:41:00"/>
    <n v="4.95"/>
    <n v="4.95"/>
    <d v="2010-12-01T00:00:00"/>
    <d v="1899-12-30T02:41:00"/>
    <s v="PM"/>
    <s v="2:41 PM"/>
    <x v="0"/>
    <n v="34.65"/>
  </r>
  <r>
    <n v="14177"/>
    <n v="20621"/>
    <x v="125"/>
    <n v="1"/>
    <n v="1"/>
    <n v="1"/>
    <n v="499377"/>
    <d v="2010-02-26T11:59:00"/>
    <n v="2.1"/>
    <n v="2.1"/>
    <d v="2010-02-26T00:00:00"/>
    <d v="1899-12-30T11:59:00"/>
    <s v="AM"/>
    <s v="11:59 AM"/>
    <x v="0"/>
    <n v="2.1"/>
  </r>
  <r>
    <n v="13174"/>
    <n v="21872"/>
    <x v="126"/>
    <n v="1"/>
    <n v="1"/>
    <n v="1"/>
    <n v="523867"/>
    <d v="2010-09-24T12:43:00"/>
    <n v="1.25"/>
    <n v="1.25"/>
    <d v="2010-09-24T00:00:00"/>
    <d v="1899-12-30T12:43:00"/>
    <s v="PM"/>
    <s v="12:43 PM"/>
    <x v="0"/>
    <n v="1.25"/>
  </r>
  <r>
    <n v="17448"/>
    <n v="22421"/>
    <x v="127"/>
    <n v="12"/>
    <n v="12"/>
    <n v="12"/>
    <n v="512527"/>
    <d v="2010-06-16T11:53:00"/>
    <n v="0.42"/>
    <n v="0.42"/>
    <d v="2010-06-16T00:00:00"/>
    <d v="1899-12-30T11:53:00"/>
    <s v="AM"/>
    <s v="11:53 AM"/>
    <x v="0"/>
    <n v="5.04"/>
  </r>
  <r>
    <n v="13081"/>
    <n v="22613"/>
    <x v="128"/>
    <n v="12"/>
    <n v="12"/>
    <n v="12"/>
    <n v="510331"/>
    <d v="2010-05-28T13:57:00"/>
    <n v="0.85"/>
    <n v="0.85"/>
    <d v="2010-05-28T00:00:00"/>
    <d v="1899-12-30T01:57:00"/>
    <s v="PM"/>
    <s v="1:57 PM"/>
    <x v="0"/>
    <n v="10.199999999999999"/>
  </r>
  <r>
    <n v="12681"/>
    <n v="48138"/>
    <x v="129"/>
    <n v="2"/>
    <n v="2"/>
    <n v="2"/>
    <n v="509985"/>
    <d v="2010-05-26T14:43:00"/>
    <n v="7.49"/>
    <n v="7.49"/>
    <d v="2010-05-26T00:00:00"/>
    <d v="1899-12-30T02:43:00"/>
    <s v="PM"/>
    <s v="2:43 PM"/>
    <x v="3"/>
    <n v="14.98"/>
  </r>
  <r>
    <n v="15255"/>
    <n v="22595"/>
    <x v="130"/>
    <n v="48"/>
    <n v="48"/>
    <n v="48"/>
    <n v="521363"/>
    <d v="2010-09-05T10:06:00"/>
    <n v="0.85"/>
    <n v="0.85"/>
    <d v="2010-09-05T00:00:00"/>
    <d v="1899-12-30T10:06:00"/>
    <s v="AM"/>
    <s v="10:06 AM"/>
    <x v="0"/>
    <n v="40.799999999999997"/>
  </r>
  <r>
    <n v="17738"/>
    <s v="85231G"/>
    <x v="131"/>
    <n v="12"/>
    <n v="12"/>
    <n v="12"/>
    <n v="503837"/>
    <d v="2010-04-07T16:21:00"/>
    <n v="0.85"/>
    <n v="0.85"/>
    <d v="2010-04-07T00:00:00"/>
    <d v="1899-12-30T04:21:00"/>
    <s v="PM"/>
    <s v="4:21 PM"/>
    <x v="0"/>
    <n v="10.199999999999999"/>
  </r>
  <r>
    <n v="12678"/>
    <n v="21987"/>
    <x v="132"/>
    <n v="84"/>
    <n v="84"/>
    <n v="84"/>
    <n v="507122"/>
    <d v="2010-05-06T11:50:00"/>
    <n v="0.65"/>
    <n v="0.65"/>
    <d v="2010-05-06T00:00:00"/>
    <d v="1899-12-30T11:50:00"/>
    <s v="AM"/>
    <s v="11:50 AM"/>
    <x v="3"/>
    <n v="54.6"/>
  </r>
  <r>
    <n v="13891"/>
    <n v="21866"/>
    <x v="133"/>
    <n v="1"/>
    <n v="1"/>
    <n v="1"/>
    <n v="528329"/>
    <d v="2010-10-21T13:23:00"/>
    <n v="1.25"/>
    <n v="1.25"/>
    <d v="2010-10-21T00:00:00"/>
    <d v="1899-12-30T01:23:00"/>
    <s v="PM"/>
    <s v="1:23 PM"/>
    <x v="0"/>
    <n v="1.25"/>
  </r>
  <r>
    <n v="17366"/>
    <n v="20754"/>
    <x v="134"/>
    <n v="1"/>
    <n v="1"/>
    <n v="1"/>
    <n v="521973"/>
    <d v="2010-09-09T19:46:00"/>
    <s v="2.10"/>
    <n v="2.1"/>
    <d v="2010-09-09T00:00:00"/>
    <d v="1899-12-30T07:46:00"/>
    <s v="PM"/>
    <s v="7:46 PM"/>
    <x v="0"/>
    <n v="2.1"/>
  </r>
  <r>
    <n v="13012"/>
    <n v="85150"/>
    <x v="135"/>
    <n v="12"/>
    <n v="12"/>
    <n v="12"/>
    <n v="515760"/>
    <d v="2010-07-14T13:40:00"/>
    <n v="2.5499999999999998"/>
    <n v="2.5499999999999998"/>
    <d v="2010-07-14T00:00:00"/>
    <d v="1899-12-30T01:40:00"/>
    <s v="PM"/>
    <s v="1:40 PM"/>
    <x v="0"/>
    <n v="30.599999999999998"/>
  </r>
  <r>
    <n v="14606"/>
    <n v="21870"/>
    <x v="136"/>
    <n v="2"/>
    <n v="2"/>
    <n v="2"/>
    <n v="508721"/>
    <d v="2010-05-17T17:24:00"/>
    <n v="1.25"/>
    <n v="1.25"/>
    <d v="2010-05-17T00:00:00"/>
    <d v="1899-12-30T05:24:00"/>
    <s v="PM"/>
    <s v="5:24 PM"/>
    <x v="0"/>
    <n v="2.5"/>
  </r>
  <r>
    <n v="13026"/>
    <n v="22178"/>
    <x v="137"/>
    <n v="12"/>
    <n v="12"/>
    <n v="12"/>
    <n v="500354"/>
    <d v="2010-03-07T15:27:00"/>
    <n v="1.25"/>
    <n v="1.25"/>
    <d v="2010-03-07T00:00:00"/>
    <d v="1899-12-30T03:27:00"/>
    <s v="PM"/>
    <s v="3:27 PM"/>
    <x v="0"/>
    <n v="15"/>
  </r>
  <r>
    <n v="13610"/>
    <n v="21179"/>
    <x v="138"/>
    <n v="2"/>
    <n v="2"/>
    <n v="2"/>
    <n v="495715"/>
    <d v="2010-01-26T14:05:00"/>
    <n v="1.25"/>
    <n v="1.25"/>
    <d v="2010-01-26T00:00:00"/>
    <d v="1899-12-30T02:05:00"/>
    <s v="PM"/>
    <s v="2:05 PM"/>
    <x v="0"/>
    <n v="2.5"/>
  </r>
  <r>
    <n v="16772"/>
    <n v="48194"/>
    <x v="139"/>
    <n v="3"/>
    <n v="3"/>
    <n v="3"/>
    <n v="493948"/>
    <d v="2010-01-08T12:38:00"/>
    <n v="6.75"/>
    <n v="6.75"/>
    <d v="2010-01-08T00:00:00"/>
    <d v="1899-12-30T12:38:00"/>
    <s v="PM"/>
    <s v="12:38 PM"/>
    <x v="0"/>
    <n v="20.25"/>
  </r>
  <r>
    <n v="16062"/>
    <n v="22077"/>
    <x v="140"/>
    <n v="12"/>
    <n v="12"/>
    <n v="12"/>
    <n v="513053"/>
    <s v="2010-06-21 13:32"/>
    <n v="1.65"/>
    <n v="1.65"/>
    <d v="2010-06-21T00:00:00"/>
    <d v="1899-12-30T13:32:00"/>
    <m/>
    <s v="13:32 "/>
    <x v="0"/>
    <n v="19.799999999999997"/>
  </r>
  <r>
    <n v="17115"/>
    <n v="21710"/>
    <x v="141"/>
    <n v="4"/>
    <n v="4"/>
    <n v="4"/>
    <n v="496058"/>
    <d v="2010-01-28T15:17:00"/>
    <n v="4.95"/>
    <n v="4.95"/>
    <d v="2010-01-28T00:00:00"/>
    <d v="1899-12-30T03:17:00"/>
    <s v="PM"/>
    <s v="3:17 PM"/>
    <x v="0"/>
    <n v="19.8"/>
  </r>
  <r>
    <n v="16863"/>
    <n v="22112"/>
    <x v="142"/>
    <n v="3"/>
    <n v="3"/>
    <n v="3"/>
    <n v="528966"/>
    <d v="2010-10-26T10:03:00"/>
    <n v="4.95"/>
    <n v="4.95"/>
    <d v="2010-10-26T00:00:00"/>
    <d v="1899-12-30T10:03:00"/>
    <s v="AM"/>
    <s v="10:03 AM"/>
    <x v="0"/>
    <n v="14.850000000000001"/>
  </r>
  <r>
    <n v="13728"/>
    <n v="48111"/>
    <x v="143"/>
    <n v="4"/>
    <n v="4"/>
    <n v="4"/>
    <n v="521775"/>
    <d v="2010-09-08T12:38:00"/>
    <n v="7.95"/>
    <n v="7.95"/>
    <d v="2010-09-08T00:00:00"/>
    <d v="1899-12-30T12:38:00"/>
    <s v="PM"/>
    <s v="12:38 PM"/>
    <x v="0"/>
    <n v="31.8"/>
  </r>
  <r>
    <n v="15443"/>
    <n v="22528"/>
    <x v="144"/>
    <n v="4"/>
    <n v="4"/>
    <n v="4"/>
    <n v="504154"/>
    <d v="2010-04-11T14:28:00"/>
    <n v="1.25"/>
    <n v="1.25"/>
    <d v="2010-04-11T00:00:00"/>
    <d v="1899-12-30T02:28:00"/>
    <s v="PM"/>
    <s v="2:28 PM"/>
    <x v="0"/>
    <n v="5"/>
  </r>
  <r>
    <n v="14606"/>
    <n v="21260"/>
    <x v="145"/>
    <n v="1"/>
    <n v="1"/>
    <n v="1"/>
    <n v="494267"/>
    <d v="2010-01-12T17:15:00"/>
    <n v="3.25"/>
    <n v="3.25"/>
    <d v="2010-01-12T00:00:00"/>
    <d v="1899-12-30T05:15:00"/>
    <s v="PM"/>
    <s v="5:15 PM"/>
    <x v="0"/>
    <n v="3.25"/>
  </r>
  <r>
    <n v="18231"/>
    <n v="22194"/>
    <x v="146"/>
    <n v="1"/>
    <n v="1"/>
    <n v="1"/>
    <n v="505479"/>
    <d v="2010-04-22T12:12:00"/>
    <n v="8.5"/>
    <n v="8.5"/>
    <d v="2010-04-22T00:00:00"/>
    <d v="1899-12-30T12:12:00"/>
    <s v="PM"/>
    <s v="12:12 PM"/>
    <x v="0"/>
    <n v="8.5"/>
  </r>
  <r>
    <s v="17700"/>
    <n v="22256"/>
    <x v="147"/>
    <n v="12"/>
    <n v="12"/>
    <n v="12"/>
    <n v="507597"/>
    <d v="2010-05-10T13:21:00"/>
    <n v="1.25"/>
    <n v="1.25"/>
    <d v="2010-05-10T00:00:00"/>
    <d v="1899-12-30T01:21:00"/>
    <s v="PM"/>
    <s v="1:21 PM"/>
    <x v="0"/>
    <n v="15"/>
  </r>
  <r>
    <n v="17511"/>
    <n v="22411"/>
    <x v="148"/>
    <n v="200"/>
    <n v="200"/>
    <n v="200"/>
    <n v="507996"/>
    <d v="2010-05-12T10:56:00"/>
    <n v="1.65"/>
    <n v="1.65"/>
    <d v="2010-05-12T00:00:00"/>
    <d v="1899-12-30T10:56:00"/>
    <s v="AM"/>
    <s v="10:56 AM"/>
    <x v="0"/>
    <n v="330"/>
  </r>
  <r>
    <n v="16794"/>
    <n v="22470"/>
    <x v="112"/>
    <n v="2"/>
    <n v="2"/>
    <n v="2"/>
    <n v="509441"/>
    <d v="2010-05-23T15:52:00"/>
    <n v="2.95"/>
    <n v="2.95"/>
    <d v="2010-05-23T00:00:00"/>
    <d v="1899-12-30T03:52:00"/>
    <s v="PM"/>
    <s v="3:52 PM"/>
    <x v="0"/>
    <n v="5.9"/>
  </r>
  <r>
    <n v="15976"/>
    <n v="22429"/>
    <x v="149"/>
    <n v="1"/>
    <n v="1"/>
    <n v="1"/>
    <n v="520700"/>
    <d v="2010-08-29T11:31:00"/>
    <n v="4.25"/>
    <n v="4.25"/>
    <d v="2010-08-29T00:00:00"/>
    <d v="1899-12-30T11:31:00"/>
    <s v="AM"/>
    <s v="11:31 AM"/>
    <x v="0"/>
    <n v="4.25"/>
  </r>
  <r>
    <n v="17841"/>
    <n v="22835"/>
    <x v="150"/>
    <n v="1"/>
    <n v="1"/>
    <n v="1"/>
    <n v="533761"/>
    <d v="2010-11-18T14:52:00"/>
    <n v="4.6500000000000004"/>
    <n v="4.6500000000000004"/>
    <d v="2010-11-18T00:00:00"/>
    <d v="1899-12-30T02:52:00"/>
    <s v="PM"/>
    <s v="2:52 PM"/>
    <x v="0"/>
    <n v="4.6500000000000004"/>
  </r>
  <r>
    <n v="17539"/>
    <n v="21658"/>
    <x v="151"/>
    <n v="10"/>
    <n v="-10"/>
    <n v="-10"/>
    <s v="C502092"/>
    <d v="2010-03-22T16:50:00"/>
    <n v="3.95"/>
    <n v="3.95"/>
    <d v="2010-03-22T00:00:00"/>
    <d v="1899-12-30T04:50:00"/>
    <s v="PM"/>
    <s v="4:50 PM"/>
    <x v="0"/>
    <n v="39.5"/>
  </r>
  <r>
    <n v="16607"/>
    <n v="22759"/>
    <x v="152"/>
    <n v="12"/>
    <n v="12"/>
    <n v="12"/>
    <n v="520904"/>
    <d v="2010-09-01T10:15:00"/>
    <s v="1.65"/>
    <n v="1.65"/>
    <d v="2010-09-01T00:00:00"/>
    <d v="1899-12-30T10:15:00"/>
    <s v="AM"/>
    <s v="10:15 AM"/>
    <x v="0"/>
    <n v="19.799999999999997"/>
  </r>
  <r>
    <n v="13869"/>
    <n v="22759"/>
    <x v="152"/>
    <n v="3"/>
    <n v="3"/>
    <n v="3"/>
    <n v="534656"/>
    <d v="2010-11-23T13:36:00"/>
    <n v="1.65"/>
    <n v="1.65"/>
    <d v="2010-11-23T00:00:00"/>
    <d v="1899-12-30T01:36:00"/>
    <s v="PM"/>
    <s v="1:36 PM"/>
    <x v="0"/>
    <n v="4.9499999999999993"/>
  </r>
  <r>
    <n v="16466"/>
    <n v="21652"/>
    <x v="153"/>
    <n v="6"/>
    <n v="6"/>
    <n v="6"/>
    <n v="511059"/>
    <d v="2010-06-06T12:27:00"/>
    <n v="1.95"/>
    <n v="1.95"/>
    <d v="2010-06-06T00:00:00"/>
    <d v="1899-12-30T12:27:00"/>
    <s v="PM"/>
    <s v="12:27 PM"/>
    <x v="0"/>
    <n v="11.7"/>
  </r>
  <r>
    <n v="15599"/>
    <n v="21135"/>
    <x v="154"/>
    <n v="16"/>
    <n v="16"/>
    <n v="16"/>
    <n v="523013"/>
    <d v="2010-09-20T10:15:00"/>
    <n v="1.69"/>
    <n v="1.69"/>
    <d v="2010-09-20T00:00:00"/>
    <d v="1899-12-30T10:15:00"/>
    <s v="AM"/>
    <s v="10:15 AM"/>
    <x v="0"/>
    <n v="27.04"/>
  </r>
  <r>
    <n v="13873"/>
    <n v="21304"/>
    <x v="155"/>
    <n v="6"/>
    <n v="6"/>
    <n v="6"/>
    <n v="499942"/>
    <d v="2010-03-03T12:31:00"/>
    <n v="4.95"/>
    <n v="4.95"/>
    <d v="2010-03-03T00:00:00"/>
    <d v="1899-12-30T12:31:00"/>
    <s v="PM"/>
    <s v="12:31 PM"/>
    <x v="0"/>
    <n v="29.700000000000003"/>
  </r>
  <r>
    <n v="17460"/>
    <n v="21212"/>
    <x v="81"/>
    <n v="24"/>
    <n v="24"/>
    <n v="24"/>
    <n v="495294"/>
    <d v="2010-01-22T13:25:00"/>
    <n v="0.55000000000000004"/>
    <n v="0.55000000000000004"/>
    <d v="2010-01-22T00:00:00"/>
    <d v="1899-12-30T01:25:00"/>
    <s v="PM"/>
    <s v="1:25 PM"/>
    <x v="0"/>
    <n v="13.200000000000001"/>
  </r>
  <r>
    <n v="18149"/>
    <s v="85123A"/>
    <x v="103"/>
    <n v="10"/>
    <n v="10"/>
    <n v="10"/>
    <n v="520722"/>
    <d v="2010-08-29T14:44:00"/>
    <n v="2.95"/>
    <n v="2.95"/>
    <d v="2010-08-29T00:00:00"/>
    <d v="1899-12-30T02:44:00"/>
    <s v="PM"/>
    <s v="2:44 PM"/>
    <x v="0"/>
    <n v="29.5"/>
  </r>
  <r>
    <n v="12733"/>
    <n v="22904"/>
    <x v="156"/>
    <n v="4"/>
    <n v="4"/>
    <n v="4"/>
    <n v="532985"/>
    <d v="2010-11-15T13:56:00"/>
    <n v="2.95"/>
    <n v="2.95"/>
    <d v="2010-11-15T00:00:00"/>
    <d v="1899-12-30T01:56:00"/>
    <s v="PM"/>
    <s v="1:56 PM"/>
    <x v="11"/>
    <n v="11.8"/>
  </r>
  <r>
    <n v="12693"/>
    <n v="37447"/>
    <x v="157"/>
    <n v="12"/>
    <n v="12"/>
    <n v="12"/>
    <n v="514682"/>
    <d v="2010-07-05T13:56:00"/>
    <n v="1.49"/>
    <n v="1.49"/>
    <d v="2010-07-05T00:00:00"/>
    <d v="1899-12-30T01:56:00"/>
    <s v="PM"/>
    <s v="1:56 PM"/>
    <x v="2"/>
    <n v="17.88"/>
  </r>
  <r>
    <n v="13593"/>
    <n v="84946"/>
    <x v="11"/>
    <n v="6"/>
    <n v="6"/>
    <n v="6"/>
    <n v="522248"/>
    <d v="2010-09-13T12:19:00"/>
    <n v="1.25"/>
    <n v="1.25"/>
    <d v="2010-09-13T00:00:00"/>
    <d v="1899-12-30T12:19:00"/>
    <s v="PM"/>
    <s v="12:19 PM"/>
    <x v="0"/>
    <n v="7.5"/>
  </r>
  <r>
    <n v="12621"/>
    <n v="85216"/>
    <x v="158"/>
    <n v="12"/>
    <n v="12"/>
    <n v="12"/>
    <n v="497383"/>
    <d v="2010-02-09T12:01:00"/>
    <n v="0.65"/>
    <n v="0.65"/>
    <d v="2010-02-09T00:00:00"/>
    <d v="1899-12-30T12:01:00"/>
    <s v="PM"/>
    <s v="12:01 PM"/>
    <x v="2"/>
    <n v="7.8000000000000007"/>
  </r>
  <r>
    <n v="13694"/>
    <n v="21378"/>
    <x v="159"/>
    <n v="144"/>
    <n v="144"/>
    <n v="144"/>
    <n v="501614"/>
    <d v="2010-03-18T10:58:00"/>
    <n v="0.65"/>
    <n v="0.65"/>
    <d v="2010-03-18T00:00:00"/>
    <d v="1899-12-30T10:58:00"/>
    <s v="AM"/>
    <s v="10:58 AM"/>
    <x v="0"/>
    <n v="93.600000000000009"/>
  </r>
  <r>
    <n v="16400"/>
    <n v="37448"/>
    <x v="160"/>
    <n v="1"/>
    <n v="1"/>
    <n v="1"/>
    <n v="508652"/>
    <d v="2010-05-17T15:48:00"/>
    <n v="1.49"/>
    <n v="1.49"/>
    <d v="2010-05-17T00:00:00"/>
    <d v="1899-12-30T03:48:00"/>
    <s v="PM"/>
    <s v="3:48 PM"/>
    <x v="0"/>
    <n v="1.49"/>
  </r>
  <r>
    <n v="14065"/>
    <s v=" 22283 "/>
    <x v="161"/>
    <n v="2"/>
    <n v="2"/>
    <n v="2"/>
    <n v="533038"/>
    <d v="2010-11-15T16:13:00"/>
    <n v="7.95"/>
    <n v="7.95"/>
    <d v="2010-11-15T00:00:00"/>
    <d v="1899-12-30T04:13:00"/>
    <s v="PM"/>
    <s v="4:13 PM"/>
    <x v="0"/>
    <n v="15.9"/>
  </r>
  <r>
    <n v="15272"/>
    <n v="22058"/>
    <x v="162"/>
    <n v="1"/>
    <n v="1"/>
    <n v="1"/>
    <n v="497909"/>
    <d v="2010-02-14T13:39:00"/>
    <n v="1.49"/>
    <n v="1.49"/>
    <d v="2010-02-14T00:00:00"/>
    <d v="1899-12-30T01:39:00"/>
    <s v="PM"/>
    <s v="1:39 PM"/>
    <x v="0"/>
    <n v="1.49"/>
  </r>
  <r>
    <n v="17085"/>
    <n v="22292"/>
    <x v="163"/>
    <n v="4"/>
    <n v="4"/>
    <n v="4"/>
    <n v="501267"/>
    <d v="2010-03-15T12:54:00"/>
    <n v="1.45"/>
    <n v="1.45"/>
    <d v="2010-03-15T00:00:00"/>
    <d v="1899-12-30T12:54:00"/>
    <s v="PM"/>
    <s v="12:54 PM"/>
    <x v="0"/>
    <n v="5.8"/>
  </r>
  <r>
    <n v="17738"/>
    <n v="22151"/>
    <x v="164"/>
    <n v="24"/>
    <n v="24"/>
    <n v="24"/>
    <n v="501710"/>
    <d v="2010-03-19T10:07:00"/>
    <n v="0.42"/>
    <n v="0.42"/>
    <d v="2010-03-19T00:00:00"/>
    <d v="1899-12-30T10:07:00"/>
    <s v="AM"/>
    <s v="10:07 AM"/>
    <x v="0"/>
    <n v="10.08"/>
  </r>
  <r>
    <n v="17804"/>
    <n v="84789"/>
    <x v="165"/>
    <n v="2"/>
    <n v="2"/>
    <n v="2"/>
    <n v="513559"/>
    <d v="2010-06-25T13:35:00"/>
    <n v="3.75"/>
    <n v="3.75"/>
    <d v="2010-06-25T00:00:00"/>
    <d v="1899-12-30T01:35:00"/>
    <s v="PM"/>
    <s v="1:35 PM"/>
    <x v="0"/>
    <n v="7.5"/>
  </r>
  <r>
    <n v="14930"/>
    <n v="20726"/>
    <x v="166"/>
    <n v="10"/>
    <n v="10"/>
    <n v="10"/>
    <n v="509759"/>
    <d v="2010-05-25T15:21:00"/>
    <n v="1.65"/>
    <n v="1.65"/>
    <d v="2010-05-25T00:00:00"/>
    <d v="1899-12-30T03:21:00"/>
    <s v="PM"/>
    <s v="3:21 PM"/>
    <x v="12"/>
    <n v="16.5"/>
  </r>
  <r>
    <n v="17561"/>
    <n v="22132"/>
    <x v="167"/>
    <n v="1"/>
    <n v="1"/>
    <n v="1"/>
    <n v="532681"/>
    <d v="2010-11-14T12:36:00"/>
    <n v="0.85"/>
    <n v="0.85"/>
    <d v="2010-11-14T00:00:00"/>
    <d v="1899-12-30T12:36:00"/>
    <s v="PM"/>
    <s v="12:36 PM"/>
    <x v="0"/>
    <n v="0.85"/>
  </r>
  <r>
    <n v="17449"/>
    <s v="82494L"/>
    <x v="168"/>
    <n v="4"/>
    <n v="4"/>
    <n v="4"/>
    <n v="500362"/>
    <d v="2010-03-07T16:12:00"/>
    <n v="2.95"/>
    <n v="2.95"/>
    <d v="2010-03-07T00:00:00"/>
    <d v="1899-12-30T04:12:00"/>
    <s v="PM"/>
    <s v="4:12 PM"/>
    <x v="0"/>
    <n v="11.8"/>
  </r>
  <r>
    <n v="17428"/>
    <n v="22833"/>
    <x v="169"/>
    <n v="1"/>
    <n v="1"/>
    <n v="1"/>
    <n v="531735"/>
    <d v="2010-11-09T12:28:00"/>
    <n v="49.95"/>
    <n v="49.95"/>
    <d v="2010-11-09T00:00:00"/>
    <d v="1899-12-30T12:28:00"/>
    <s v="PM"/>
    <s v="12:28 PM"/>
    <x v="0"/>
    <n v="49.95"/>
  </r>
  <r>
    <n v="12921"/>
    <n v="22940"/>
    <x v="170"/>
    <n v="4"/>
    <n v="4"/>
    <n v="4"/>
    <n v="521989"/>
    <d v="2010-09-10T10:47:00"/>
    <n v="4.25"/>
    <n v="4.25"/>
    <d v="2010-09-10T00:00:00"/>
    <d v="1899-12-30T10:47:00"/>
    <s v="AM"/>
    <s v="10:47 AM"/>
    <x v="0"/>
    <n v="17"/>
  </r>
  <r>
    <n v="15235"/>
    <n v="22703"/>
    <x v="171"/>
    <n v="6"/>
    <n v="6"/>
    <n v="6"/>
    <n v="534516"/>
    <d v="2010-11-23T12:00:00"/>
    <n v="2.1"/>
    <n v="2.1"/>
    <d v="2010-11-23T00:00:00"/>
    <d v="1899-12-30T12:00:00"/>
    <s v="PM"/>
    <s v="12:00 PM"/>
    <x v="0"/>
    <n v="12.600000000000001"/>
  </r>
  <r>
    <n v="14911"/>
    <s v="47503E"/>
    <x v="172"/>
    <n v="12"/>
    <n v="12"/>
    <n v="12"/>
    <n v="512280"/>
    <d v="2010-06-14T14:03:00"/>
    <n v="1.25"/>
    <n v="1.25"/>
    <d v="2010-06-14T00:00:00"/>
    <d v="1899-12-30T02:03:00"/>
    <s v="PM"/>
    <s v="2:03 PM"/>
    <x v="1"/>
    <n v="15"/>
  </r>
  <r>
    <n v="14426"/>
    <n v="21586"/>
    <x v="173"/>
    <n v="12"/>
    <n v="12"/>
    <n v="12"/>
    <n v="500125"/>
    <d v="2010-03-04T14:36:00"/>
    <n v="2.5499999999999998"/>
    <n v="2.5499999999999998"/>
    <d v="2010-03-04T00:00:00"/>
    <d v="1899-12-30T02:36:00"/>
    <s v="PM"/>
    <s v="2:36 PM"/>
    <x v="0"/>
    <n v="30.599999999999998"/>
  </r>
  <r>
    <n v="13694"/>
    <n v="20869"/>
    <x v="174"/>
    <n v="240"/>
    <n v="240"/>
    <n v="240"/>
    <n v="493436"/>
    <d v="2010-01-04T13:03:00"/>
    <n v="0.38"/>
    <n v="0.38"/>
    <d v="2010-01-04T00:00:00"/>
    <d v="1899-12-30T01:03:00"/>
    <s v="PM"/>
    <s v="1:03 PM"/>
    <x v="0"/>
    <n v="91.2"/>
  </r>
  <r>
    <n v="16555"/>
    <n v="37500"/>
    <x v="175"/>
    <n v="4"/>
    <n v="-4"/>
    <n v="-4"/>
    <s v="C517067"/>
    <d v="2010-07-26T13:42:00"/>
    <n v="9.9499999999999993"/>
    <n v="9.9499999999999993"/>
    <d v="2010-07-26T00:00:00"/>
    <d v="1899-12-30T01:42:00"/>
    <s v="PM"/>
    <s v="1:42 PM"/>
    <x v="0"/>
    <n v="39.799999999999997"/>
  </r>
  <r>
    <n v="13819"/>
    <n v="21213"/>
    <x v="176"/>
    <n v="24"/>
    <n v="24"/>
    <n v="24"/>
    <n v="497341"/>
    <d v="2010-02-08T15:30:00"/>
    <n v="0.55000000000000004"/>
    <n v="0.55000000000000004"/>
    <d v="2010-02-08T00:00:00"/>
    <d v="1899-12-30T03:30:00"/>
    <s v="PM"/>
    <s v="3:30 PM"/>
    <x v="0"/>
    <n v="13.200000000000001"/>
  </r>
  <r>
    <n v="12356"/>
    <n v="22956"/>
    <x v="177"/>
    <n v="48"/>
    <n v="48"/>
    <n v="48"/>
    <n v="532305"/>
    <d v="2010-11-11T14:23:00"/>
    <n v="1.85"/>
    <n v="1.85"/>
    <d v="2010-11-11T00:00:00"/>
    <d v="1899-12-30T02:23:00"/>
    <s v="PM"/>
    <s v="2:23 PM"/>
    <x v="13"/>
    <n v="88.800000000000011"/>
  </r>
  <r>
    <n v="17739"/>
    <n v="22665"/>
    <x v="67"/>
    <n v="12"/>
    <n v="12"/>
    <n v="12"/>
    <n v="530163"/>
    <s v="11/02/2010 08:02"/>
    <n v="2.95"/>
    <n v="2.95"/>
    <d v="2010-11-02T00:00:00"/>
    <d v="1899-12-30T08:02:00"/>
    <m/>
    <s v="8:02 "/>
    <x v="0"/>
    <n v="35.400000000000006"/>
  </r>
  <r>
    <n v="13089"/>
    <n v="22633"/>
    <x v="178"/>
    <n v="12"/>
    <n v="12"/>
    <n v="12"/>
    <n v="525860"/>
    <d v="2010-10-07T13:19:00"/>
    <n v="2.1"/>
    <n v="2.1"/>
    <d v="2010-10-07T00:00:00"/>
    <d v="1899-12-30T01:19:00"/>
    <s v="PM"/>
    <s v="1:19 PM"/>
    <x v="0"/>
    <n v="25.200000000000003"/>
  </r>
  <r>
    <n v="17022"/>
    <n v="21564"/>
    <x v="179"/>
    <n v="6"/>
    <n v="6"/>
    <n v="6"/>
    <n v="525002"/>
    <d v="2010-10-03T10:27:00"/>
    <n v="2.95"/>
    <n v="2.95"/>
    <d v="2010-10-03T00:00:00"/>
    <d v="1899-12-30T10:27:00"/>
    <s v="AM"/>
    <s v="10:27 AM"/>
    <x v="0"/>
    <n v="17.700000000000003"/>
  </r>
  <r>
    <n v="14395"/>
    <n v="20992"/>
    <x v="180"/>
    <n v="4"/>
    <n v="4"/>
    <n v="4"/>
    <n v="507691"/>
    <d v="2010-05-11T10:19:00"/>
    <n v="0.85"/>
    <n v="0.85"/>
    <d v="2010-05-11T00:00:00"/>
    <d v="1899-12-30T10:19:00"/>
    <s v="AM"/>
    <s v="10:19 AM"/>
    <x v="0"/>
    <n v="3.4"/>
  </r>
  <r>
    <n v="13297"/>
    <n v="22605"/>
    <x v="68"/>
    <n v="0"/>
    <n v="0"/>
    <m/>
    <n v="512400"/>
    <d v="2010-06-15T12:35:00"/>
    <n v="12.75"/>
    <n v="12.75"/>
    <d v="2010-06-15T00:00:00"/>
    <d v="1899-12-30T12:35:00"/>
    <s v="PM"/>
    <s v="12:35 PM"/>
    <x v="0"/>
    <n v="0"/>
  </r>
  <r>
    <n v="15596"/>
    <n v="22501"/>
    <x v="181"/>
    <n v="2"/>
    <n v="2"/>
    <n v="2"/>
    <n v="525172"/>
    <d v="2010-10-04T12:22:00"/>
    <n v="9.9499999999999993"/>
    <n v="9.9499999999999993"/>
    <d v="2010-10-04T00:00:00"/>
    <d v="1899-12-30T12:22:00"/>
    <s v="PM"/>
    <s v="12:22 PM"/>
    <x v="0"/>
    <n v="19.899999999999999"/>
  </r>
  <r>
    <n v="15641"/>
    <n v="84869"/>
    <x v="182"/>
    <n v="12"/>
    <n v="12"/>
    <n v="12"/>
    <n v="492216"/>
    <d v="2009-12-15T17:25:00"/>
    <n v="1.95"/>
    <n v="1.95"/>
    <d v="2009-12-15T00:00:00"/>
    <d v="1899-12-30T05:25:00"/>
    <s v="PM"/>
    <s v="5:25 PM"/>
    <x v="0"/>
    <n v="23.4"/>
  </r>
  <r>
    <n v="15768"/>
    <n v="22151"/>
    <x v="164"/>
    <n v="2"/>
    <n v="2"/>
    <n v="2"/>
    <n v="490008"/>
    <d v="2009-12-03T12:10:00"/>
    <n v="0.42"/>
    <n v="0.42"/>
    <d v="2009-12-03T00:00:00"/>
    <d v="1899-12-30T12:10:00"/>
    <s v="PM"/>
    <s v="12:10 PM"/>
    <x v="0"/>
    <n v="0.84"/>
  </r>
  <r>
    <n v="12949"/>
    <n v="37448"/>
    <x v="160"/>
    <n v="24"/>
    <n v="24"/>
    <n v="24"/>
    <s v=" 490093 "/>
    <d v="2009-12-03T15:56:00"/>
    <n v="1.49"/>
    <n v="1.49"/>
    <d v="2009-12-03T00:00:00"/>
    <d v="1899-12-30T03:56:00"/>
    <s v="PM"/>
    <s v="3:56 PM"/>
    <x v="0"/>
    <n v="35.76"/>
  </r>
  <r>
    <n v="16551"/>
    <n v="21843"/>
    <x v="183"/>
    <n v="3"/>
    <n v="3"/>
    <n v="3"/>
    <n v="497346"/>
    <d v="2010-02-08T15:48:00"/>
    <n v="10.95"/>
    <n v="10.95"/>
    <d v="2010-02-08T00:00:00"/>
    <d v="1899-12-30T03:48:00"/>
    <s v="PM"/>
    <s v="3:48 PM"/>
    <x v="0"/>
    <n v="32.849999999999994"/>
  </r>
  <r>
    <n v="17091"/>
    <n v="22607"/>
    <x v="184"/>
    <n v="2"/>
    <n v="2"/>
    <n v="2"/>
    <n v="506718"/>
    <d v="2010-05-04T09:01:00"/>
    <n v="8.5"/>
    <n v="8.5"/>
    <d v="2010-05-04T00:00:00"/>
    <d v="1899-12-30T09:01:00"/>
    <s v="AM"/>
    <s v="9:01 AM"/>
    <x v="0"/>
    <n v="17"/>
  </r>
  <r>
    <n v="15024"/>
    <n v="22441"/>
    <x v="185"/>
    <n v="3"/>
    <n v="3"/>
    <n v="3"/>
    <n v="526462"/>
    <d v="2010-10-11T16:14:00"/>
    <n v="2.1"/>
    <n v="2.1"/>
    <d v="2010-10-11T00:00:00"/>
    <d v="1899-12-30T04:14:00"/>
    <s v="PM"/>
    <s v="4:14 PM"/>
    <x v="0"/>
    <n v="6.3000000000000007"/>
  </r>
  <r>
    <n v="14194"/>
    <n v="85200"/>
    <x v="186"/>
    <n v="12"/>
    <n v="12"/>
    <n v="12"/>
    <n v="499900"/>
    <d v="2010-03-03T12:02:00"/>
    <n v="1.25"/>
    <n v="1.25"/>
    <d v="2010-03-03T00:00:00"/>
    <d v="1899-12-30T12:02:00"/>
    <s v="PM"/>
    <s v="12:02 PM"/>
    <x v="0"/>
    <n v="15"/>
  </r>
  <r>
    <n v="16085"/>
    <n v="21790"/>
    <x v="187"/>
    <n v="3"/>
    <n v="3"/>
    <n v="3"/>
    <n v="495029"/>
    <d v="2010-01-20T14:03:00"/>
    <n v="0.85"/>
    <n v="0.85"/>
    <d v="2010-01-20T00:00:00"/>
    <d v="1899-12-30T02:03:00"/>
    <s v="PM"/>
    <s v="2:03 PM"/>
    <x v="0"/>
    <n v="2.5499999999999998"/>
  </r>
  <r>
    <n v="13869"/>
    <n v="22576"/>
    <x v="188"/>
    <n v="4"/>
    <n v="4"/>
    <n v="4"/>
    <n v="534656"/>
    <d v="2010-11-23T13:36:00"/>
    <n v="0.85"/>
    <n v="0.85"/>
    <d v="2010-11-23T00:00:00"/>
    <d v="1899-12-30T01:36:00"/>
    <s v="PM"/>
    <s v="1:36 PM"/>
    <x v="0"/>
    <n v="3.4"/>
  </r>
  <r>
    <n v="17589"/>
    <n v="22553"/>
    <x v="189"/>
    <n v="10"/>
    <n v="10"/>
    <n v="10"/>
    <n v="514355"/>
    <d v="2010-07-01T16:48:00"/>
    <n v="1.65"/>
    <n v="1.65"/>
    <d v="2010-07-01T00:00:00"/>
    <d v="1899-12-30T04:48:00"/>
    <s v="PM"/>
    <s v="4:48 PM"/>
    <x v="0"/>
    <n v="16.5"/>
  </r>
  <r>
    <n v="17338"/>
    <n v="22396"/>
    <x v="190"/>
    <n v="1"/>
    <n v="1"/>
    <n v="1"/>
    <n v="532076"/>
    <d v="2010-11-10T15:00:00"/>
    <n v="1.25"/>
    <n v="1.25"/>
    <d v="2010-11-10T00:00:00"/>
    <d v="1899-12-30T03:00:00"/>
    <s v="PM"/>
    <s v="3:00 PM"/>
    <x v="0"/>
    <n v="1.25"/>
  </r>
  <r>
    <n v="12359"/>
    <n v="20819"/>
    <x v="191"/>
    <n v="4"/>
    <n v="4"/>
    <n v="4"/>
    <n v="490382"/>
    <d v="2009-12-05T13:32:00"/>
    <n v="3.75"/>
    <n v="3.75"/>
    <d v="2009-12-05T00:00:00"/>
    <d v="1899-12-30T01:32:00"/>
    <s v="PM"/>
    <s v="1:32 PM"/>
    <x v="10"/>
    <n v="15"/>
  </r>
  <r>
    <n v="16170"/>
    <n v="85016"/>
    <x v="192"/>
    <n v="6"/>
    <n v="6"/>
    <n v="6"/>
    <n v="518426"/>
    <d v="2010-08-09T09:45:00"/>
    <s v="2.55"/>
    <n v="2.5499999999999998"/>
    <d v="2010-08-09T00:00:00"/>
    <d v="1899-12-30T09:45:00"/>
    <s v="AM"/>
    <s v="9:45 AM"/>
    <x v="0"/>
    <n v="15.299999999999999"/>
  </r>
  <r>
    <n v="16072"/>
    <n v="22909"/>
    <x v="106"/>
    <n v="8"/>
    <n v="8"/>
    <n v="8"/>
    <n v="525928"/>
    <d v="2010-10-07T16:48:00"/>
    <n v="0.85"/>
    <n v="0.85"/>
    <d v="2010-10-07T00:00:00"/>
    <d v="1899-12-30T04:48:00"/>
    <s v="PM"/>
    <s v="4:48 PM"/>
    <x v="0"/>
    <n v="6.8"/>
  </r>
  <r>
    <n v="12949"/>
    <s v="84406B"/>
    <x v="193"/>
    <n v="8"/>
    <n v="8"/>
    <n v="8"/>
    <n v="530753"/>
    <d v="2010-11-04T11:56:00"/>
    <n v="3.25"/>
    <n v="3.25"/>
    <d v="2010-11-04T00:00:00"/>
    <d v="1899-12-30T11:56:00"/>
    <s v="AM"/>
    <s v="11:56 AM"/>
    <x v="0"/>
    <n v="26"/>
  </r>
  <r>
    <n v="17702"/>
    <s v="84931B"/>
    <x v="194"/>
    <n v="6"/>
    <n v="6"/>
    <n v="6"/>
    <n v="530785"/>
    <d v="2010-11-04T12:09:00"/>
    <n v="2.5499999999999998"/>
    <n v="2.5499999999999998"/>
    <d v="2010-11-04T00:00:00"/>
    <d v="1899-12-30T12:09:00"/>
    <s v="PM"/>
    <s v="12:09 PM"/>
    <x v="0"/>
    <n v="15.299999999999999"/>
  </r>
  <r>
    <s v="14854"/>
    <n v="82600"/>
    <x v="195"/>
    <n v="12"/>
    <n v="12"/>
    <n v="12"/>
    <n v="517111"/>
    <d v="2010-07-26T15:41:00"/>
    <n v="2.1"/>
    <n v="2.1"/>
    <d v="2010-07-26T00:00:00"/>
    <d v="1899-12-30T03:41:00"/>
    <s v="PM"/>
    <s v="3:41 PM"/>
    <x v="0"/>
    <n v="25.200000000000003"/>
  </r>
  <r>
    <n v="15424"/>
    <s v="16156S"/>
    <x v="196"/>
    <n v="25"/>
    <n v="25"/>
    <n v="25"/>
    <n v="521195"/>
    <d v="2010-09-02T17:17:00"/>
    <n v="0.42"/>
    <n v="0.42"/>
    <d v="2010-09-02T00:00:00"/>
    <d v="1899-12-30T05:17:00"/>
    <s v="PM"/>
    <s v="5:17 PM"/>
    <x v="0"/>
    <n v="10.5"/>
  </r>
  <r>
    <n v="18041"/>
    <n v="85119"/>
    <x v="197"/>
    <n v="1"/>
    <n v="1"/>
    <n v="1"/>
    <n v="502922"/>
    <d v="2010-03-29T14:04:00"/>
    <n v="1.69"/>
    <n v="1.69"/>
    <d v="2010-03-29T00:00:00"/>
    <d v="1899-12-30T02:04:00"/>
    <s v="PM"/>
    <s v="2:04 PM"/>
    <x v="0"/>
    <n v="1.69"/>
  </r>
  <r>
    <n v="16643"/>
    <n v="22406"/>
    <x v="24"/>
    <n v="12"/>
    <n v="12"/>
    <n v="12"/>
    <n v="526749"/>
    <d v="2010-10-13T09:47:00"/>
    <n v="1.25"/>
    <n v="1.25"/>
    <d v="2010-10-13T00:00:00"/>
    <d v="1899-12-30T09:47:00"/>
    <s v="AM"/>
    <s v="9:47 AM"/>
    <x v="0"/>
    <n v="15"/>
  </r>
  <r>
    <n v="14343"/>
    <n v="22588"/>
    <x v="198"/>
    <n v="3"/>
    <n v="3"/>
    <n v="3"/>
    <n v="527053"/>
    <d v="2010-10-14T13:05:00"/>
    <n v="2.5499999999999998"/>
    <n v="2.5499999999999998"/>
    <d v="2010-10-14T00:00:00"/>
    <d v="1899-12-30T01:05:00"/>
    <s v="PM"/>
    <s v="1:05 PM"/>
    <x v="0"/>
    <n v="7.6499999999999995"/>
  </r>
  <r>
    <n v="16718"/>
    <s v="85135B"/>
    <x v="199"/>
    <n v="3"/>
    <n v="3"/>
    <n v="3"/>
    <n v="537153"/>
    <d v="2010-12-05T13:03:00"/>
    <n v="7.95"/>
    <n v="7.95"/>
    <d v="2010-12-05T00:00:00"/>
    <d v="1899-12-30T01:03:00"/>
    <s v="PM"/>
    <s v="1:03 PM"/>
    <x v="0"/>
    <n v="23.85"/>
  </r>
  <r>
    <n v="13527"/>
    <n v="21908"/>
    <x v="200"/>
    <n v="1"/>
    <n v="1"/>
    <n v="1"/>
    <n v="495158"/>
    <d v="2010-01-21T12:37:00"/>
    <n v="2.1"/>
    <n v="2.1"/>
    <d v="2010-01-21T00:00:00"/>
    <d v="1899-12-30T12:37:00"/>
    <s v="PM"/>
    <s v="12:37 PM"/>
    <x v="0"/>
    <n v="2.1"/>
  </r>
  <r>
    <n v="17315"/>
    <s v="85099B"/>
    <x v="201"/>
    <n v="1"/>
    <n v="1"/>
    <n v="1"/>
    <n v="530085"/>
    <d v="2010-11-01T13:26:00"/>
    <n v="1.95"/>
    <n v="1.95"/>
    <d v="2010-11-01T00:00:00"/>
    <d v="1899-12-30T01:26:00"/>
    <s v="PM"/>
    <s v="1:26 PM"/>
    <x v="0"/>
    <n v="1.95"/>
  </r>
  <r>
    <n v="12748"/>
    <n v="22561"/>
    <x v="14"/>
    <n v="2"/>
    <n v="2"/>
    <n v="2"/>
    <n v="537871"/>
    <d v="2010-12-08T17:20:00"/>
    <n v="1.65"/>
    <n v="1.65"/>
    <d v="2010-12-08T00:00:00"/>
    <d v="1899-12-30T05:20:00"/>
    <s v="PM"/>
    <s v="5:20 PM"/>
    <x v="0"/>
    <n v="3.3"/>
  </r>
  <r>
    <n v="14911"/>
    <n v="21976"/>
    <x v="202"/>
    <n v="24"/>
    <n v="24"/>
    <n v="24"/>
    <n v="521642"/>
    <d v="2010-09-07T13:04:00"/>
    <n v="0.55000000000000004"/>
    <n v="0.55000000000000004"/>
    <d v="2010-09-07T00:00:00"/>
    <d v="1899-12-30T01:04:00"/>
    <s v="PM"/>
    <s v="1:04 PM"/>
    <x v="1"/>
    <n v="13.200000000000001"/>
  </r>
  <r>
    <n v="14110"/>
    <n v="20685"/>
    <x v="203"/>
    <n v="2"/>
    <n v="2"/>
    <n v="2"/>
    <n v="502724"/>
    <d v="2010-03-26T11:26:00"/>
    <n v="7.49"/>
    <n v="7.49"/>
    <d v="2010-03-26T00:00:00"/>
    <d v="1899-12-30T11:26:00"/>
    <s v="AM"/>
    <s v="11:26 AM"/>
    <x v="0"/>
    <n v="14.98"/>
  </r>
  <r>
    <n v="16549"/>
    <n v="22143"/>
    <x v="204"/>
    <n v="2"/>
    <n v="2"/>
    <n v="2"/>
    <n v="529156"/>
    <d v="2010-10-26T16:47:00"/>
    <n v="2.1"/>
    <n v="2.1"/>
    <d v="2010-10-26T00:00:00"/>
    <d v="1899-12-30T04:47:00"/>
    <s v="PM"/>
    <s v="4:47 PM"/>
    <x v="0"/>
    <n v="4.2"/>
  </r>
  <r>
    <n v="16120"/>
    <n v="84199"/>
    <x v="205"/>
    <n v="1"/>
    <n v="1"/>
    <n v="1"/>
    <n v="526906"/>
    <d v="2010-10-13T15:22:00"/>
    <n v="0.21"/>
    <n v="0.21"/>
    <d v="2010-10-13T00:00:00"/>
    <d v="1899-12-30T03:22:00"/>
    <s v="PM"/>
    <s v="3:22 PM"/>
    <x v="0"/>
    <n v="0.21"/>
  </r>
  <r>
    <n v="15494"/>
    <n v="84077"/>
    <x v="206"/>
    <n v="192"/>
    <n v="192"/>
    <n v="192"/>
    <n v="519610"/>
    <d v="2010-08-18T16:54:00"/>
    <n v="0.21"/>
    <n v="0.21"/>
    <d v="2010-08-18T00:00:00"/>
    <d v="1899-12-30T04:54:00"/>
    <s v="PM"/>
    <s v="4:54 PM"/>
    <x v="0"/>
    <n v="40.32"/>
  </r>
  <r>
    <n v="15038"/>
    <n v="21169"/>
    <x v="207"/>
    <n v="1"/>
    <n v="1"/>
    <n v="1"/>
    <n v="529842"/>
    <d v="2010-10-31T12:52:00"/>
    <n v="1.69"/>
    <n v="1.69"/>
    <d v="2010-10-31T00:00:00"/>
    <d v="1899-12-30T12:52:00"/>
    <s v="PM"/>
    <s v="12:52 PM"/>
    <x v="0"/>
    <n v="1.69"/>
  </r>
  <r>
    <n v="15194"/>
    <s v="16156N"/>
    <x v="208"/>
    <n v="25"/>
    <n v="25"/>
    <n v="25"/>
    <n v="489916"/>
    <d v="2009-12-03T10:37:00"/>
    <n v="0.42"/>
    <n v="0.42"/>
    <d v="2009-12-03T00:00:00"/>
    <d v="1899-12-30T10:37:00"/>
    <s v="AM"/>
    <s v="10:37 AM"/>
    <x v="0"/>
    <n v="10.5"/>
  </r>
  <r>
    <n v="14258"/>
    <n v="37503"/>
    <x v="209"/>
    <n v="6"/>
    <n v="6"/>
    <n v="6"/>
    <n v="490142"/>
    <d v="2009-12-04T08:36:00"/>
    <n v="10.75"/>
    <n v="10.75"/>
    <d v="2009-12-04T00:00:00"/>
    <d v="1899-12-30T08:36:00"/>
    <s v="AM"/>
    <s v="8:36 AM"/>
    <x v="0"/>
    <n v="64.5"/>
  </r>
  <r>
    <n v="15164"/>
    <n v="22578"/>
    <x v="210"/>
    <n v="3"/>
    <n v="3"/>
    <n v="3"/>
    <n v="525009"/>
    <d v="2010-10-03T10:50:00"/>
    <n v="0.85"/>
    <n v="0.85"/>
    <d v="2010-10-03T00:00:00"/>
    <d v="1899-12-30T10:50:00"/>
    <s v="AM"/>
    <s v="10:50 AM"/>
    <x v="0"/>
    <n v="2.5499999999999998"/>
  </r>
  <r>
    <n v="13276"/>
    <n v="22905"/>
    <x v="211"/>
    <n v="2"/>
    <n v="2"/>
    <n v="2"/>
    <n v="531359"/>
    <d v="2010-11-07T14:17:00"/>
    <n v="2.95"/>
    <n v="2.95"/>
    <d v="2010-11-07T00:00:00"/>
    <d v="1899-12-30T02:17:00"/>
    <s v="PM"/>
    <s v="2:17 PM"/>
    <x v="0"/>
    <n v="5.9"/>
  </r>
  <r>
    <n v="17589"/>
    <n v="22139"/>
    <x v="89"/>
    <n v="15"/>
    <n v="15"/>
    <n v="15"/>
    <n v="508864"/>
    <d v="2010-05-18T16:09:00"/>
    <n v="4.95"/>
    <n v="4.95"/>
    <d v="2010-05-18T00:00:00"/>
    <d v="1899-12-30T04:09:00"/>
    <s v="PM"/>
    <s v="4:09 PM"/>
    <x v="0"/>
    <n v="74.25"/>
  </r>
  <r>
    <n v="14114"/>
    <s v="85014A"/>
    <x v="212"/>
    <n v="3"/>
    <n v="3"/>
    <n v="3"/>
    <n v="504200"/>
    <d v="2010-04-12T11:07:00"/>
    <n v="5.95"/>
    <n v="5.95"/>
    <d v="2010-04-12T00:00:00"/>
    <d v="1899-12-30T11:07:00"/>
    <s v="AM"/>
    <s v="11:07 AM"/>
    <x v="0"/>
    <n v="17.850000000000001"/>
  </r>
  <r>
    <n v="12635"/>
    <n v="21244"/>
    <x v="213"/>
    <n v="8"/>
    <n v="8"/>
    <n v="8"/>
    <n v="521839"/>
    <d v="2010-09-09T10:50:00"/>
    <n v="1.69"/>
    <n v="1.69"/>
    <d v="2010-09-09T00:00:00"/>
    <d v="1899-12-30T10:50:00"/>
    <s v="AM"/>
    <s v="10:50 AM"/>
    <x v="0"/>
    <n v="13.52"/>
  </r>
  <r>
    <n v="16899"/>
    <n v="21888"/>
    <x v="99"/>
    <n v="3"/>
    <n v="3"/>
    <n v="3"/>
    <n v="535412"/>
    <d v="2010-11-26T11:28:00"/>
    <n v="3.75"/>
    <n v="3.75"/>
    <d v="2010-11-26T00:00:00"/>
    <d v="1899-12-30T11:28:00"/>
    <s v="AM"/>
    <s v="11:28 AM"/>
    <x v="0"/>
    <n v="11.25"/>
  </r>
  <r>
    <n v="16593"/>
    <n v="22060"/>
    <x v="214"/>
    <n v="6"/>
    <n v="6"/>
    <n v="6"/>
    <n v="492817"/>
    <d v="2009-12-20T13:37:00"/>
    <n v="9.9499999999999993"/>
    <n v="9.9499999999999993"/>
    <d v="2009-12-20T00:00:00"/>
    <d v="1899-12-30T01:37:00"/>
    <s v="PM"/>
    <s v="1:37 PM"/>
    <x v="0"/>
    <n v="59.699999999999996"/>
  </r>
  <r>
    <n v="17025"/>
    <n v="22178"/>
    <x v="137"/>
    <n v="36"/>
    <n v="36"/>
    <n v="36"/>
    <n v="536573"/>
    <d v="2010-12-01T15:45:00"/>
    <n v="1.25"/>
    <n v="1.25"/>
    <d v="2010-12-01T00:00:00"/>
    <d v="1899-12-30T03:45:00"/>
    <s v="PM"/>
    <s v="3:45 PM"/>
    <x v="0"/>
    <n v="45"/>
  </r>
  <r>
    <n v="16923"/>
    <s v="85202"/>
    <x v="215"/>
    <n v="3"/>
    <n v="3"/>
    <n v="3"/>
    <n v="496303"/>
    <d v="2010-01-31T11:14:00"/>
    <n v="0.42"/>
    <n v="0.42"/>
    <d v="2010-01-31T00:00:00"/>
    <d v="1899-12-30T11:14:00"/>
    <s v="AM"/>
    <s v="11:14 AM"/>
    <x v="0"/>
    <n v="1.26"/>
  </r>
  <r>
    <n v="16843"/>
    <n v="22367"/>
    <x v="216"/>
    <n v="16"/>
    <n v="16"/>
    <n v="16"/>
    <n v="517853"/>
    <d v="2010-08-02T13:45:00"/>
    <n v="1.95"/>
    <n v="1.95"/>
    <d v="2010-08-02T00:00:00"/>
    <d v="1899-12-30T01:45:00"/>
    <s v="PM"/>
    <s v="1:45 PM"/>
    <x v="0"/>
    <n v="31.2"/>
  </r>
  <r>
    <n v="16422"/>
    <n v="17003"/>
    <x v="217"/>
    <n v="720"/>
    <n v="720"/>
    <n v="720"/>
    <n v="516536"/>
    <d v="2010-07-21T11:36:00"/>
    <n v="0.16"/>
    <n v="0.16"/>
    <d v="2010-07-21T00:00:00"/>
    <d v="1899-12-30T11:36:00"/>
    <s v="AM"/>
    <s v="11:36 AM"/>
    <x v="0"/>
    <n v="115.2"/>
  </r>
  <r>
    <n v="12913"/>
    <n v="21741"/>
    <x v="218"/>
    <n v="12"/>
    <n v="12"/>
    <n v="12"/>
    <n v="503355"/>
    <d v="2010-03-31T13:40:00"/>
    <n v="2.95"/>
    <n v="2.95"/>
    <d v="2010-03-31T00:00:00"/>
    <d v="1899-12-30T01:40:00"/>
    <s v="PM"/>
    <s v="1:40 PM"/>
    <x v="0"/>
    <n v="35.400000000000006"/>
  </r>
  <r>
    <n v="14375"/>
    <n v="22080"/>
    <x v="219"/>
    <n v="1"/>
    <n v="1"/>
    <n v="1"/>
    <n v="512564"/>
    <d v="2010-06-16T14:34:00"/>
    <n v="1.25"/>
    <n v="1.25"/>
    <d v="2010-06-16T00:00:00"/>
    <d v="1899-12-30T02:34:00"/>
    <s v="PM"/>
    <s v="2:34 PM"/>
    <x v="0"/>
    <n v="1.25"/>
  </r>
  <r>
    <n v="15719"/>
    <n v="21624"/>
    <x v="220"/>
    <n v="1"/>
    <n v="1"/>
    <n v="1"/>
    <n v="515533"/>
    <d v="2010-07-13T12:08:00"/>
    <n v="5.95"/>
    <n v="5.95"/>
    <d v="2010-07-13T00:00:00"/>
    <d v="1899-12-30T12:08:00"/>
    <s v="PM"/>
    <s v="12:08 PM"/>
    <x v="0"/>
    <n v="5.95"/>
  </r>
  <r>
    <n v="17271"/>
    <n v="84937"/>
    <x v="221"/>
    <n v="6"/>
    <n v="6"/>
    <n v="6"/>
    <n v="490063"/>
    <d v="2009-12-03T13:49:00"/>
    <n v="2.1"/>
    <n v="2.1"/>
    <d v="2009-12-03T00:00:00"/>
    <d v="1899-12-30T01:49:00"/>
    <s v="PM"/>
    <s v="1:49 PM"/>
    <x v="0"/>
    <n v="12.600000000000001"/>
  </r>
  <r>
    <s v="12900"/>
    <n v="22583"/>
    <x v="222"/>
    <n v="6"/>
    <n v="6"/>
    <n v="6"/>
    <n v="526905"/>
    <d v="2010-10-13T15:17:00"/>
    <n v="2.5499999999999998"/>
    <n v="2.5499999999999998"/>
    <d v="2010-10-13T00:00:00"/>
    <d v="1899-12-30T03:17:00"/>
    <s v="PM"/>
    <s v="3:17 PM"/>
    <x v="0"/>
    <n v="15.299999999999999"/>
  </r>
  <r>
    <n v="12993"/>
    <n v="22384"/>
    <x v="223"/>
    <n v="10"/>
    <n v="10"/>
    <n v="10"/>
    <n v="523122"/>
    <d v="2010-09-20T13:09:00"/>
    <n v="1.65"/>
    <n v="1.65"/>
    <d v="2010-09-20T00:00:00"/>
    <d v="1899-12-30T01:09:00"/>
    <s v="PM"/>
    <s v="1:09 PM"/>
    <x v="0"/>
    <n v="16.5"/>
  </r>
  <r>
    <n v="17860"/>
    <n v="20770"/>
    <x v="224"/>
    <n v="1"/>
    <n v="1"/>
    <n v="1"/>
    <n v="525857"/>
    <d v="2010-10-07T13:09:00"/>
    <n v="2.5499999999999998"/>
    <n v="2.5499999999999998"/>
    <d v="2010-10-07T00:00:00"/>
    <d v="1899-12-30T01:09:00"/>
    <s v="PM"/>
    <s v="1:09 PM"/>
    <x v="0"/>
    <n v="2.5499999999999998"/>
  </r>
  <r>
    <n v="16259"/>
    <n v="22669"/>
    <x v="225"/>
    <n v="2"/>
    <n v="2"/>
    <n v="2"/>
    <n v="528919"/>
    <d v="2010-10-25T14:27:00"/>
    <n v="2.95"/>
    <n v="2.95"/>
    <d v="2010-10-25T00:00:00"/>
    <d v="1899-12-30T02:27:00"/>
    <s v="PM"/>
    <s v="2:27 PM"/>
    <x v="0"/>
    <n v="5.9"/>
  </r>
  <r>
    <n v="14754"/>
    <n v="22356"/>
    <x v="226"/>
    <n v="4"/>
    <n v="4"/>
    <n v="4"/>
    <n v="510058"/>
    <d v="2010-05-27T10:13:00"/>
    <n v="0.85"/>
    <n v="0.85"/>
    <d v="2010-05-27T00:00:00"/>
    <d v="1899-12-30T10:13:00"/>
    <s v="AM"/>
    <s v="10:13 AM"/>
    <x v="0"/>
    <n v="3.4"/>
  </r>
  <r>
    <n v="14936"/>
    <n v="22553"/>
    <x v="189"/>
    <n v="12"/>
    <n v="12"/>
    <n v="12"/>
    <n v="523313"/>
    <d v="2010-09-21T13:21:00"/>
    <n v="1.65"/>
    <n v="1.65"/>
    <d v="2010-09-21T00:00:00"/>
    <d v="1899-12-30T01:21:00"/>
    <s v="PM"/>
    <s v="1:21 PM"/>
    <x v="12"/>
    <n v="19.799999999999997"/>
  </r>
  <r>
    <n v="14084"/>
    <n v="22331"/>
    <x v="227"/>
    <n v="8"/>
    <n v="8"/>
    <n v="8"/>
    <n v="515929"/>
    <d v="2010-07-15T14:36:00"/>
    <n v="1.65"/>
    <n v="1.65"/>
    <d v="2010-07-15T00:00:00"/>
    <d v="1899-12-30T02:36:00"/>
    <s v="PM"/>
    <s v="2:36 PM"/>
    <x v="0"/>
    <n v="13.2"/>
  </r>
  <r>
    <n v="13324"/>
    <n v="22482"/>
    <x v="228"/>
    <n v="1"/>
    <n v="1"/>
    <n v="1"/>
    <n v="509634"/>
    <d v="2010-05-25T10:23:00"/>
    <n v="1.25"/>
    <n v="1.25"/>
    <d v="2010-05-25T00:00:00"/>
    <d v="1899-12-30T10:23:00"/>
    <s v="AM"/>
    <s v="10:23 AM"/>
    <x v="0"/>
    <n v="1.25"/>
  </r>
  <r>
    <n v="18060"/>
    <n v="22948"/>
    <x v="104"/>
    <n v="24"/>
    <n v="24"/>
    <n v="24"/>
    <n v="529342"/>
    <d v="2010-10-27T16:41:00"/>
    <n v="0.85"/>
    <n v="0.85"/>
    <d v="2010-10-27T00:00:00"/>
    <d v="1899-12-30T04:41:00"/>
    <s v="PM"/>
    <s v="4:41 PM"/>
    <x v="0"/>
    <n v="20.399999999999999"/>
  </r>
  <r>
    <n v="13291"/>
    <n v="22173"/>
    <x v="229"/>
    <n v="2"/>
    <n v="2"/>
    <n v="2"/>
    <n v="513555"/>
    <d v="2010-06-25T13:17:00"/>
    <n v="2.95"/>
    <n v="2.95"/>
    <d v="2010-06-25T00:00:00"/>
    <d v="1899-12-30T01:17:00"/>
    <s v="PM"/>
    <s v="1:17 PM"/>
    <x v="0"/>
    <n v="5.9"/>
  </r>
  <r>
    <n v="18257"/>
    <n v="22474"/>
    <x v="230"/>
    <n v="4"/>
    <n v="4"/>
    <n v="4"/>
    <n v="510173"/>
    <d v="2010-05-27T14:40:00"/>
    <n v="4.95"/>
    <n v="4.95"/>
    <d v="2010-05-27T00:00:00"/>
    <d v="1899-12-30T02:40:00"/>
    <s v="PM"/>
    <s v="2:40 PM"/>
    <x v="0"/>
    <n v="19.8"/>
  </r>
  <r>
    <n v="12770"/>
    <n v="21937"/>
    <x v="231"/>
    <n v="50"/>
    <n v="50"/>
    <n v="50"/>
    <n v="521888"/>
    <d v="2010-09-09T11:43:00"/>
    <n v="2.5499999999999998"/>
    <n v="2.5499999999999998"/>
    <d v="2010-09-09T00:00:00"/>
    <d v="1899-12-30T11:43:00"/>
    <s v="AM"/>
    <s v="11:43 AM"/>
    <x v="14"/>
    <n v="127.49999999999999"/>
  </r>
  <r>
    <n v="14515"/>
    <n v="21126"/>
    <x v="232"/>
    <n v="1"/>
    <n v="1"/>
    <n v="1"/>
    <n v="511251"/>
    <d v="2010-06-07T12:37:00"/>
    <n v="1.25"/>
    <n v="1.25"/>
    <d v="2010-06-07T00:00:00"/>
    <d v="1899-12-30T12:37:00"/>
    <s v="PM"/>
    <s v="12:37 PM"/>
    <x v="0"/>
    <n v="1.25"/>
  </r>
  <r>
    <n v="16105"/>
    <n v="37370"/>
    <x v="233"/>
    <n v="12"/>
    <n v="12"/>
    <n v="12"/>
    <n v="518219"/>
    <d v="2010-08-05T13:21:00"/>
    <n v="1.25"/>
    <n v="1.25"/>
    <d v="2010-08-05T00:00:00"/>
    <d v="1899-12-30T01:21:00"/>
    <s v="PM"/>
    <s v="1:21 PM"/>
    <x v="0"/>
    <n v="15"/>
  </r>
  <r>
    <n v="14535"/>
    <n v="82605"/>
    <x v="234"/>
    <n v="2"/>
    <n v="2"/>
    <n v="2"/>
    <n v="531804"/>
    <d v="2010-11-09T16:03:00"/>
    <n v="2.1"/>
    <n v="2.1"/>
    <d v="2010-11-09T00:00:00"/>
    <d v="1899-12-30T04:03:00"/>
    <s v="PM"/>
    <s v="4:03 PM"/>
    <x v="0"/>
    <n v="4.2"/>
  </r>
  <r>
    <n v="17422"/>
    <s v="17136A"/>
    <x v="235"/>
    <n v="24"/>
    <n v="24"/>
    <n v="24"/>
    <n v="534471"/>
    <d v="2010-11-23T10:24:00"/>
    <n v="0.08"/>
    <n v="0.08"/>
    <d v="2010-11-23T00:00:00"/>
    <d v="1899-12-30T10:24:00"/>
    <s v="AM"/>
    <s v="10:24 AM"/>
    <x v="0"/>
    <n v="1.92"/>
  </r>
  <r>
    <n v="16731"/>
    <n v="21897"/>
    <x v="236"/>
    <n v="1"/>
    <n v="1"/>
    <n v="1"/>
    <n v="499659"/>
    <d v="2010-03-01T15:05:00"/>
    <n v="2.95"/>
    <n v="2.95"/>
    <d v="2010-03-01T00:00:00"/>
    <d v="1899-12-30T03:05:00"/>
    <s v="PM"/>
    <s v="3:05 PM"/>
    <x v="0"/>
    <n v="2.95"/>
  </r>
  <r>
    <n v="14527"/>
    <n v="21532"/>
    <x v="237"/>
    <n v="0"/>
    <n v="0"/>
    <m/>
    <n v="494451"/>
    <d v="2010-01-14T13:50:00"/>
    <n v="2.1"/>
    <n v="2.1"/>
    <d v="2010-01-14T00:00:00"/>
    <d v="1899-12-30T01:50:00"/>
    <s v="PM"/>
    <s v="1:50 PM"/>
    <x v="0"/>
    <n v="0"/>
  </r>
  <r>
    <n v="13407"/>
    <n v="84676"/>
    <x v="238"/>
    <n v="3"/>
    <n v="-3"/>
    <n v="-3"/>
    <s v="C504557"/>
    <d v="2010-04-14T13:54:00"/>
    <n v="2.95"/>
    <n v="2.95"/>
    <d v="2010-04-14T00:00:00"/>
    <d v="1899-12-30T01:54:00"/>
    <s v="PM"/>
    <s v="1:54 PM"/>
    <x v="0"/>
    <n v="8.8500000000000014"/>
  </r>
  <r>
    <n v="13590"/>
    <n v="22663"/>
    <x v="239"/>
    <n v="3"/>
    <n v="3"/>
    <n v="3"/>
    <n v="525020"/>
    <d v="2010-10-03T11:53:00"/>
    <n v="1.95"/>
    <n v="1.95"/>
    <d v="2010-10-03T00:00:00"/>
    <d v="1899-12-30T11:53:00"/>
    <s v="AM"/>
    <s v="11:53 AM"/>
    <x v="0"/>
    <n v="5.85"/>
  </r>
  <r>
    <n v="13137"/>
    <n v="21891"/>
    <x v="240"/>
    <n v="2"/>
    <n v="2"/>
    <n v="2"/>
    <n v="528705"/>
    <d v="2010-10-24T13:07:00"/>
    <n v="1.25"/>
    <n v="1.25"/>
    <d v="2010-10-24T00:00:00"/>
    <d v="1899-12-30T01:07:00"/>
    <s v="PM"/>
    <s v="1:07 PM"/>
    <x v="0"/>
    <n v="2.5"/>
  </r>
  <r>
    <n v="17690"/>
    <n v="22986"/>
    <x v="241"/>
    <n v="25"/>
    <n v="25"/>
    <n v="25"/>
    <n v="529611"/>
    <d v="2010-10-29T10:39:00"/>
    <n v="0.42"/>
    <n v="0.42"/>
    <d v="2010-10-29T00:00:00"/>
    <d v="1899-12-30T10:39:00"/>
    <s v="AM"/>
    <s v="10:39 AM"/>
    <x v="0"/>
    <n v="10.5"/>
  </r>
  <r>
    <n v="12369"/>
    <n v="22334"/>
    <x v="242"/>
    <n v="8"/>
    <n v="8"/>
    <n v="8"/>
    <n v="522773"/>
    <d v="2010-09-16T14:34:00"/>
    <n v="1.65"/>
    <n v="1.65"/>
    <d v="2010-09-16T00:00:00"/>
    <d v="1899-12-30T02:34:00"/>
    <s v="PM"/>
    <s v="2:34 PM"/>
    <x v="15"/>
    <n v="13.2"/>
  </r>
  <r>
    <n v="14890"/>
    <n v="22139"/>
    <x v="89"/>
    <n v="3"/>
    <n v="3"/>
    <n v="3"/>
    <n v="503241"/>
    <d v="2010-03-31T09:40:00"/>
    <n v="4.95"/>
    <n v="4.95"/>
    <d v="2010-03-31T00:00:00"/>
    <d v="1899-12-30T09:40:00"/>
    <s v="AM"/>
    <s v="9:40 AM"/>
    <x v="0"/>
    <n v="14.850000000000001"/>
  </r>
  <r>
    <n v="14606"/>
    <n v="20966"/>
    <x v="243"/>
    <n v="1"/>
    <n v="1"/>
    <n v="1"/>
    <n v="496944"/>
    <d v="2010-02-04T17:29:00"/>
    <n v="1.25"/>
    <n v="1.25"/>
    <d v="2010-02-04T00:00:00"/>
    <d v="1899-12-30T05:29:00"/>
    <s v="PM"/>
    <s v="5:29 PM"/>
    <x v="0"/>
    <n v="1.25"/>
  </r>
  <r>
    <n v="17346"/>
    <n v="21213"/>
    <x v="176"/>
    <n v="2"/>
    <n v="2"/>
    <n v="2"/>
    <n v="511638"/>
    <d v="2010-06-09T13:08:00"/>
    <n v="0.55000000000000004"/>
    <n v="0.55000000000000004"/>
    <d v="2010-06-09T00:00:00"/>
    <d v="1899-12-30T01:08:00"/>
    <s v="PM"/>
    <s v="1:08 PM"/>
    <x v="0"/>
    <n v="1.1000000000000001"/>
  </r>
  <r>
    <n v="14606"/>
    <n v="22539"/>
    <x v="244"/>
    <n v="1"/>
    <n v="1"/>
    <n v="1"/>
    <n v="505725"/>
    <d v="2010-04-25T13:55:00"/>
    <n v="0.42"/>
    <n v="0.42"/>
    <d v="2010-04-25T00:00:00"/>
    <d v="1899-12-30T01:55:00"/>
    <s v="PM"/>
    <s v="1:55 PM"/>
    <x v="0"/>
    <n v="0.42"/>
  </r>
  <r>
    <n v="17975"/>
    <n v="35400"/>
    <x v="245"/>
    <n v="1"/>
    <n v="1"/>
    <n v="1"/>
    <n v="530020"/>
    <d v="2010-11-01T10:52:00"/>
    <n v="8.9499999999999993"/>
    <n v="8.9499999999999993"/>
    <d v="2010-11-01T00:00:00"/>
    <d v="1899-12-30T10:52:00"/>
    <s v="AM"/>
    <s v="10:52 AM"/>
    <x v="0"/>
    <n v="8.9499999999999993"/>
  </r>
  <r>
    <n v="16510"/>
    <n v="85146"/>
    <x v="246"/>
    <n v="4"/>
    <n v="4"/>
    <n v="4"/>
    <n v="502795"/>
    <d v="2010-03-26T15:32:00"/>
    <n v="5.95"/>
    <n v="5.95"/>
    <d v="2010-03-26T00:00:00"/>
    <d v="1899-12-30T03:32:00"/>
    <s v="PM"/>
    <s v="3:32 PM"/>
    <x v="0"/>
    <n v="23.8"/>
  </r>
  <r>
    <n v="14044"/>
    <n v="22667"/>
    <x v="247"/>
    <n v="1"/>
    <n v="1"/>
    <n v="1"/>
    <n v="518663"/>
    <d v="2010-08-10T14:27:00"/>
    <n v="2.95"/>
    <n v="2.95"/>
    <d v="2010-08-10T00:00:00"/>
    <d v="1899-12-30T02:27:00"/>
    <s v="PM"/>
    <s v="2:27 PM"/>
    <x v="0"/>
    <n v="2.95"/>
  </r>
  <r>
    <n v="14644"/>
    <s v="35004S"/>
    <x v="248"/>
    <n v="6"/>
    <n v="6"/>
    <n v="6"/>
    <n v="490101"/>
    <d v="2009-12-03T16:24:00"/>
    <n v="6.35"/>
    <n v="6.35"/>
    <d v="2009-12-03T00:00:00"/>
    <d v="1899-12-30T04:24:00"/>
    <s v="PM"/>
    <s v="4:24 PM"/>
    <x v="0"/>
    <n v="38.099999999999994"/>
  </r>
  <r>
    <n v="16401"/>
    <n v="22034"/>
    <x v="249"/>
    <n v="12"/>
    <n v="12"/>
    <n v="12"/>
    <n v="531271"/>
    <d v="2010-11-07T11:52:00"/>
    <n v="0.42"/>
    <n v="0.42"/>
    <d v="2010-11-07T00:00:00"/>
    <d v="1899-12-30T11:52:00"/>
    <s v="AM"/>
    <s v="11:52 AM"/>
    <x v="0"/>
    <n v="5.04"/>
  </r>
  <r>
    <s v="12511"/>
    <n v="22660"/>
    <x v="250"/>
    <n v="2"/>
    <n v="2"/>
    <n v="2"/>
    <n v="525764"/>
    <d v="2010-10-07T10:39:00"/>
    <n v="7.95"/>
    <n v="7.95"/>
    <d v="2010-10-07T00:00:00"/>
    <d v="1899-12-30T10:39:00"/>
    <s v="AM"/>
    <s v="10:39 AM"/>
    <x v="16"/>
    <n v="15.9"/>
  </r>
  <r>
    <n v="13110"/>
    <n v="21314"/>
    <x v="251"/>
    <n v="4"/>
    <n v="4"/>
    <n v="4"/>
    <n v="494795"/>
    <d v="2010-01-18T14:14:00"/>
    <n v="2.1"/>
    <n v="2.1"/>
    <d v="2010-01-18T00:00:00"/>
    <d v="1899-12-30T02:14:00"/>
    <s v="PM"/>
    <s v="2:14 PM"/>
    <x v="0"/>
    <n v="8.4"/>
  </r>
  <r>
    <n v="12458"/>
    <n v="20973"/>
    <x v="252"/>
    <n v="24"/>
    <n v="24"/>
    <s v="24"/>
    <n v="518428"/>
    <d v="2010-08-09T10:33:00"/>
    <n v="0.65"/>
    <n v="0.65"/>
    <d v="2010-08-09T00:00:00"/>
    <d v="1899-12-30T10:33:00"/>
    <s v="AM"/>
    <s v="10:33 AM"/>
    <x v="17"/>
    <n v="15.600000000000001"/>
  </r>
  <r>
    <n v="14667"/>
    <n v="21754"/>
    <x v="253"/>
    <n v="8"/>
    <n v="8"/>
    <n v="8"/>
    <n v="505056"/>
    <d v="2010-04-19T14:59:00"/>
    <n v="5.95"/>
    <n v="5.95"/>
    <d v="2010-04-19T00:00:00"/>
    <d v="1899-12-30T02:59:00"/>
    <s v="PM"/>
    <s v="2:59 PM"/>
    <x v="0"/>
    <n v="47.6"/>
  </r>
  <r>
    <n v="15754"/>
    <n v="21590"/>
    <x v="254"/>
    <n v="24"/>
    <n v="24"/>
    <n v="24"/>
    <n v="503251"/>
    <d v="2010-03-31T10:32:00"/>
    <n v="1.25"/>
    <n v="1.25"/>
    <d v="2010-03-31T00:00:00"/>
    <d v="1899-12-30T10:32:00"/>
    <s v="AM"/>
    <s v="10:32 AM"/>
    <x v="0"/>
    <n v="30"/>
  </r>
  <r>
    <n v="12497"/>
    <n v="21889"/>
    <x v="255"/>
    <n v="144"/>
    <n v="144"/>
    <n v="144"/>
    <n v="530799"/>
    <d v="2010-11-04T12:31:00"/>
    <n v="1.06"/>
    <n v="1.06"/>
    <d v="2010-11-04T00:00:00"/>
    <d v="1899-12-30T12:31:00"/>
    <s v="PM"/>
    <s v="12:31 PM"/>
    <x v="2"/>
    <n v="152.64000000000001"/>
  </r>
  <r>
    <n v="17442"/>
    <n v="21915"/>
    <x v="256"/>
    <n v="12"/>
    <n v="12"/>
    <n v="12"/>
    <n v="508621"/>
    <d v="2010-05-17T13:45:00"/>
    <n v="1.25"/>
    <n v="1.25"/>
    <d v="2010-05-17T00:00:00"/>
    <d v="1899-12-30T01:45:00"/>
    <s v="PM"/>
    <s v="1:45 PM"/>
    <x v="0"/>
    <n v="15"/>
  </r>
  <r>
    <n v="18247"/>
    <n v="21754"/>
    <x v="253"/>
    <n v="3"/>
    <n v="3"/>
    <n v="3"/>
    <n v="528167"/>
    <d v="2010-10-21T09:49:00"/>
    <n v="5.95"/>
    <n v="5.95"/>
    <d v="2010-10-21T00:00:00"/>
    <d v="1899-12-30T09:49:00"/>
    <s v="AM"/>
    <s v="9:49 AM"/>
    <x v="0"/>
    <n v="17.850000000000001"/>
  </r>
  <r>
    <n v="17623"/>
    <s v="84970L"/>
    <x v="257"/>
    <n v="12"/>
    <n v="12"/>
    <n v="12"/>
    <n v="512943"/>
    <d v="2010-06-20T14:38:00"/>
    <n v="0.95"/>
    <n v="0.95"/>
    <d v="2010-06-20T00:00:00"/>
    <d v="1899-12-30T02:38:00"/>
    <s v="PM"/>
    <s v="2:38 PM"/>
    <x v="0"/>
    <n v="11.399999999999999"/>
  </r>
  <r>
    <n v="15572"/>
    <s v="85099B"/>
    <x v="201"/>
    <n v="2"/>
    <n v="2"/>
    <n v="2"/>
    <n v="528102"/>
    <d v="2010-10-20T13:40:00"/>
    <n v="1.95"/>
    <n v="1.95"/>
    <d v="2010-10-20T00:00:00"/>
    <d v="1899-12-30T01:40:00"/>
    <s v="PM"/>
    <s v="1:40 PM"/>
    <x v="0"/>
    <n v="3.9"/>
  </r>
  <r>
    <n v="17511"/>
    <n v="82484"/>
    <x v="12"/>
    <n v="24"/>
    <n v="24"/>
    <n v="24"/>
    <n v="526845"/>
    <d v="2010-10-13T12:18:00"/>
    <n v="5.55"/>
    <n v="5.55"/>
    <d v="2010-10-13T00:00:00"/>
    <d v="1899-12-30T12:18:00"/>
    <s v="PM"/>
    <s v="12:18 PM"/>
    <x v="0"/>
    <n v="133.19999999999999"/>
  </r>
  <r>
    <n v="16549"/>
    <n v="21899"/>
    <x v="258"/>
    <n v="2"/>
    <n v="2"/>
    <n v="2"/>
    <n v="529156"/>
    <d v="2010-10-26T16:47:00"/>
    <n v="0.65"/>
    <n v="0.65"/>
    <d v="2010-10-26T00:00:00"/>
    <d v="1899-12-30T04:47:00"/>
    <s v="PM"/>
    <s v="4:47 PM"/>
    <x v="0"/>
    <n v="1.3"/>
  </r>
  <r>
    <n v="17012"/>
    <n v="22162"/>
    <x v="259"/>
    <n v="8"/>
    <n v="8"/>
    <n v="8"/>
    <n v="491967"/>
    <d v="2009-12-14T17:34:00"/>
    <n v="2.95"/>
    <n v="2.95"/>
    <d v="2009-12-14T00:00:00"/>
    <d v="1899-12-30T05:34:00"/>
    <s v="PM"/>
    <s v="5:34 PM"/>
    <x v="0"/>
    <n v="23.6"/>
  </r>
  <r>
    <n v="14070"/>
    <n v="22173"/>
    <x v="229"/>
    <n v="3"/>
    <n v="3"/>
    <n v="3"/>
    <n v="495367"/>
    <d v="2010-01-24T12:27:00"/>
    <n v="2.95"/>
    <n v="2.95"/>
    <d v="2010-01-24T00:00:00"/>
    <d v="1899-12-30T12:27:00"/>
    <s v="PM"/>
    <s v="12:27 PM"/>
    <x v="0"/>
    <n v="8.8500000000000014"/>
  </r>
  <r>
    <n v="14507"/>
    <n v="22694"/>
    <x v="260"/>
    <n v="6"/>
    <n v="6"/>
    <n v="6"/>
    <n v="535409"/>
    <d v="2010-11-26T11:24:00"/>
    <n v="2.1"/>
    <n v="2.1"/>
    <d v="2010-11-26T00:00:00"/>
    <d v="1899-12-30T11:24:00"/>
    <s v="AM"/>
    <s v="11:24 AM"/>
    <x v="0"/>
    <n v="12.600000000000001"/>
  </r>
  <r>
    <n v="16510"/>
    <s v="85061W"/>
    <x v="261"/>
    <n v="24"/>
    <n v="24"/>
    <n v="24"/>
    <n v="517392"/>
    <d v="2010-07-29T09:49:00"/>
    <n v="0.85"/>
    <n v="0.85"/>
    <d v="2010-07-29T00:00:00"/>
    <d v="1899-12-30T09:49:00"/>
    <s v="AM"/>
    <s v="9:49 AM"/>
    <x v="0"/>
    <n v="20.399999999999999"/>
  </r>
  <r>
    <n v="12784"/>
    <n v="22524"/>
    <x v="262"/>
    <n v="10"/>
    <n v="10"/>
    <n v="10"/>
    <n v="513763"/>
    <d v="2010-06-28T13:06:00"/>
    <n v="1.25"/>
    <n v="1.25"/>
    <d v="2010-06-28T00:00:00"/>
    <d v="1899-12-30T01:06:00"/>
    <s v="PM"/>
    <s v="1:06 PM"/>
    <x v="13"/>
    <n v="12.5"/>
  </r>
  <r>
    <n v="15062"/>
    <s v="82616C"/>
    <x v="263"/>
    <n v="6"/>
    <n v="6"/>
    <n v="6"/>
    <n v="526504"/>
    <d v="2010-10-12T10:38:00"/>
    <n v="2.95"/>
    <n v="2.95"/>
    <d v="2010-10-12T00:00:00"/>
    <d v="1899-12-30T10:38:00"/>
    <s v="AM"/>
    <s v="10:38 AM"/>
    <x v="0"/>
    <n v="17.700000000000003"/>
  </r>
  <r>
    <n v="13468"/>
    <s v="85123A"/>
    <x v="103"/>
    <n v="6"/>
    <n v="6"/>
    <s v="6"/>
    <n v="504373"/>
    <d v="2010-04-13T11:04:00"/>
    <n v="2.95"/>
    <n v="2.95"/>
    <d v="2010-04-13T00:00:00"/>
    <d v="1899-12-30T11:04:00"/>
    <s v="AM"/>
    <s v="11:04 AM"/>
    <x v="0"/>
    <n v="17.700000000000003"/>
  </r>
  <r>
    <n v="14415"/>
    <n v="22201"/>
    <x v="264"/>
    <n v="1"/>
    <n v="1"/>
    <n v="1"/>
    <n v="519241"/>
    <d v="2010-08-15T14:01:00"/>
    <n v="4.25"/>
    <n v="4.25"/>
    <d v="2010-08-15T00:00:00"/>
    <d v="1899-12-30T02:01:00"/>
    <s v="PM"/>
    <s v="2:01 PM"/>
    <x v="0"/>
    <n v="4.25"/>
  </r>
  <r>
    <n v="16782"/>
    <n v="21755"/>
    <x v="265"/>
    <n v="1"/>
    <n v="1"/>
    <n v="1"/>
    <n v="513594"/>
    <d v="2010-06-27T10:54:00"/>
    <n v="5.95"/>
    <n v="5.95"/>
    <d v="2010-06-27T00:00:00"/>
    <d v="1899-12-30T10:54:00"/>
    <s v="AM"/>
    <s v="10:54 AM"/>
    <x v="0"/>
    <n v="5.95"/>
  </r>
  <r>
    <n v="17971"/>
    <n v="22302"/>
    <x v="266"/>
    <n v="6"/>
    <n v="6"/>
    <n v="6"/>
    <n v="511654"/>
    <d v="2010-06-09T14:04:00"/>
    <n v="2.5499999999999998"/>
    <n v="2.5499999999999998"/>
    <d v="2010-06-09T00:00:00"/>
    <d v="1899-12-30T02:04:00"/>
    <s v="PM"/>
    <s v="2:04 PM"/>
    <x v="0"/>
    <n v="15.299999999999999"/>
  </r>
  <r>
    <n v="16085"/>
    <s v="72529W"/>
    <x v="25"/>
    <n v="6"/>
    <n v="6"/>
    <n v="6"/>
    <n v="521369"/>
    <d v="2010-09-05T11:14:00"/>
    <n v="2.12"/>
    <n v="2.12"/>
    <d v="2010-09-05T00:00:00"/>
    <d v="1899-12-30T11:14:00"/>
    <s v="AM"/>
    <s v="11:14 AM"/>
    <x v="0"/>
    <n v="12.72"/>
  </r>
  <r>
    <n v="17511"/>
    <n v="22197"/>
    <x v="267"/>
    <n v="0"/>
    <n v="0"/>
    <m/>
    <n v="491800"/>
    <d v="2009-12-14T12:58:00"/>
    <n v="0.72"/>
    <n v="0.72"/>
    <d v="2009-12-14T00:00:00"/>
    <d v="1899-12-30T12:58:00"/>
    <s v="PM"/>
    <s v="12:58 PM"/>
    <x v="0"/>
    <n v="0"/>
  </r>
  <r>
    <n v="14898"/>
    <s v="72760B"/>
    <x v="268"/>
    <n v="2"/>
    <n v="2"/>
    <n v="2"/>
    <n v="490106"/>
    <d v="2009-12-03T16:40:00"/>
    <n v="9.9499999999999993"/>
    <n v="9.9499999999999993"/>
    <d v="2009-12-03T00:00:00"/>
    <d v="1899-12-30T04:40:00"/>
    <s v="PM"/>
    <s v="4:40 PM"/>
    <x v="0"/>
    <n v="19.899999999999999"/>
  </r>
  <r>
    <n v="17283"/>
    <n v="22600"/>
    <x v="269"/>
    <n v="20"/>
    <n v="20"/>
    <n v="20"/>
    <n v="535423"/>
    <d v="2010-11-26T11:53:00"/>
    <n v="0.85"/>
    <n v="0.85"/>
    <d v="2010-11-26T00:00:00"/>
    <d v="1899-12-30T11:53:00"/>
    <s v="AM"/>
    <s v="11:53 AM"/>
    <x v="0"/>
    <n v="17"/>
  </r>
  <r>
    <n v="12714"/>
    <n v="22073"/>
    <x v="270"/>
    <n v="4"/>
    <n v="4"/>
    <n v="4"/>
    <n v="493964"/>
    <d v="2010-01-08T16:29:00"/>
    <n v="3.75"/>
    <n v="3.75"/>
    <d v="2010-01-08T00:00:00"/>
    <d v="1899-12-30T04:29:00"/>
    <s v="PM"/>
    <s v="4:29 PM"/>
    <x v="3"/>
    <n v="15"/>
  </r>
  <r>
    <n v="14755"/>
    <n v="22863"/>
    <x v="271"/>
    <n v="6"/>
    <n v="6"/>
    <n v="6"/>
    <n v="527423"/>
    <d v="2010-10-17T16:06:00"/>
    <n v="2.95"/>
    <n v="2.95"/>
    <d v="2010-10-17T00:00:00"/>
    <d v="1899-12-30T04:06:00"/>
    <s v="PM"/>
    <s v="4:06 PM"/>
    <x v="0"/>
    <n v="17.700000000000003"/>
  </r>
  <r>
    <n v="15555"/>
    <n v="22144"/>
    <x v="272"/>
    <n v="3"/>
    <n v="3"/>
    <n v="3"/>
    <n v="534765"/>
    <d v="2010-11-24T10:25:00"/>
    <n v="2.1"/>
    <n v="2.1"/>
    <d v="2010-11-24T00:00:00"/>
    <d v="1899-12-30T10:25:00"/>
    <s v="AM"/>
    <s v="10:25 AM"/>
    <x v="0"/>
    <n v="6.3000000000000007"/>
  </r>
  <r>
    <n v="15329"/>
    <n v="22111"/>
    <x v="124"/>
    <n v="3"/>
    <n v="3"/>
    <n v="3"/>
    <n v="501793"/>
    <d v="2010-03-19T13:32:00"/>
    <n v="4.95"/>
    <n v="4.95"/>
    <d v="2010-03-19T00:00:00"/>
    <d v="1899-12-30T01:32:00"/>
    <s v="PM"/>
    <s v="1:32 PM"/>
    <x v="0"/>
    <n v="14.850000000000001"/>
  </r>
  <r>
    <n v="14607"/>
    <n v="22411"/>
    <x v="273"/>
    <n v="100"/>
    <n v="100"/>
    <n v="100"/>
    <n v="496990"/>
    <d v="2010-02-05T11:22:00"/>
    <n v="1.65"/>
    <n v="1.65"/>
    <d v="2010-02-05T00:00:00"/>
    <d v="1899-12-30T11:22:00"/>
    <s v="AM"/>
    <s v="11:22 AM"/>
    <x v="0"/>
    <n v="165"/>
  </r>
  <r>
    <n v="14527"/>
    <s v="47570B"/>
    <x v="274"/>
    <n v="1"/>
    <n v="1"/>
    <n v="1"/>
    <n v="500030"/>
    <d v="2010-03-04T11:29:00"/>
    <n v="10.65"/>
    <n v="10.65"/>
    <d v="2010-03-04T00:00:00"/>
    <d v="1899-12-30T11:29:00"/>
    <s v="AM"/>
    <s v="11:29 AM"/>
    <x v="0"/>
    <n v="10.65"/>
  </r>
  <r>
    <n v="17243"/>
    <n v="21346"/>
    <x v="275"/>
    <n v="1"/>
    <n v="-1"/>
    <n v="-1"/>
    <s v="C495309"/>
    <d v="2010-01-22T14:16:00"/>
    <n v="5.95"/>
    <n v="5.95"/>
    <d v="2010-01-22T00:00:00"/>
    <d v="1899-12-30T02:16:00"/>
    <s v="PM"/>
    <s v="2:16 PM"/>
    <x v="0"/>
    <n v="5.95"/>
  </r>
  <r>
    <n v="14911"/>
    <n v="82484"/>
    <x v="12"/>
    <n v="6"/>
    <n v="6"/>
    <n v="6"/>
    <n v="529093"/>
    <d v="2010-10-26T13:39:00"/>
    <n v="6.45"/>
    <n v="6.45"/>
    <d v="2010-10-26T00:00:00"/>
    <d v="1899-12-30T01:39:00"/>
    <s v="PM"/>
    <s v="1:39 PM"/>
    <x v="1"/>
    <n v="38.700000000000003"/>
  </r>
  <r>
    <n v="15736"/>
    <n v="85047"/>
    <x v="276"/>
    <n v="3"/>
    <n v="3"/>
    <n v="3"/>
    <n v="524726"/>
    <d v="2010-09-30T14:19:00"/>
    <n v="6.35"/>
    <n v="6.35"/>
    <d v="2010-09-30T00:00:00"/>
    <d v="1899-12-30T02:19:00"/>
    <s v="PM"/>
    <s v="2:19 PM"/>
    <x v="0"/>
    <n v="19.049999999999997"/>
  </r>
  <r>
    <n v="15911"/>
    <n v="21552"/>
    <x v="277"/>
    <n v="1"/>
    <n v="1"/>
    <n v="1"/>
    <n v="492729"/>
    <d v="2009-12-18T11:32:00"/>
    <n v="5.95"/>
    <n v="5.95"/>
    <d v="2009-12-18T00:00:00"/>
    <d v="1899-12-30T11:32:00"/>
    <s v="AM"/>
    <s v="11:32 AM"/>
    <x v="0"/>
    <n v="5.95"/>
  </r>
  <r>
    <n v="16325"/>
    <n v="22145"/>
    <x v="278"/>
    <n v="12"/>
    <n v="12"/>
    <n v="12"/>
    <n v="525761"/>
    <d v="2010-10-07T10:37:00"/>
    <n v="2.1"/>
    <n v="2.1"/>
    <d v="2010-10-07T00:00:00"/>
    <d v="1899-12-30T10:37:00"/>
    <s v="AM"/>
    <s v="10:37 AM"/>
    <x v="0"/>
    <n v="25.200000000000003"/>
  </r>
  <r>
    <n v="17858"/>
    <n v="82483"/>
    <x v="279"/>
    <n v="4"/>
    <n v="4"/>
    <n v="4"/>
    <n v="528743"/>
    <d v="2010-10-24T14:16:00"/>
    <n v="5.95"/>
    <n v="5.95"/>
    <d v="2010-10-24T00:00:00"/>
    <d v="1899-12-30T02:16:00"/>
    <s v="PM"/>
    <s v="2:16 PM"/>
    <x v="0"/>
    <n v="23.8"/>
  </r>
  <r>
    <n v="12932"/>
    <n v="20685"/>
    <x v="203"/>
    <n v="2"/>
    <n v="2"/>
    <n v="2"/>
    <n v="511041"/>
    <d v="2010-06-06T11:21:00"/>
    <n v="7.49"/>
    <n v="7.49"/>
    <d v="2010-06-06T00:00:00"/>
    <d v="1899-12-30T11:21:00"/>
    <s v="AM"/>
    <s v="11:21 AM"/>
    <x v="0"/>
    <n v="14.98"/>
  </r>
  <r>
    <n v="14498"/>
    <s v="84536B"/>
    <x v="280"/>
    <n v="16"/>
    <n v="16"/>
    <n v="16"/>
    <n v="518509"/>
    <d v="2010-08-09T14:39:00"/>
    <n v="0.42"/>
    <n v="0.42"/>
    <d v="2010-08-09T00:00:00"/>
    <d v="1899-12-30T02:39:00"/>
    <s v="PM"/>
    <s v="2:39 PM"/>
    <x v="0"/>
    <n v="6.72"/>
  </r>
  <r>
    <n v="16200"/>
    <s v="84288B"/>
    <x v="281"/>
    <n v="12"/>
    <n v="12"/>
    <s v="12"/>
    <n v="489866"/>
    <d v="2009-12-02T15:04:00"/>
    <n v="1.95"/>
    <n v="1.95"/>
    <d v="2009-12-02T00:00:00"/>
    <d v="1899-12-30T03:04:00"/>
    <s v="PM"/>
    <s v="3:04 PM"/>
    <x v="0"/>
    <n v="23.4"/>
  </r>
  <r>
    <n v="13668"/>
    <n v="22582"/>
    <x v="282"/>
    <n v="4"/>
    <n v="4"/>
    <n v="4"/>
    <n v="534083"/>
    <d v="2010-11-21T11:52:00"/>
    <n v="2.5499999999999998"/>
    <n v="2.5499999999999998"/>
    <d v="2010-11-21T00:00:00"/>
    <d v="1899-12-30T11:52:00"/>
    <s v="AM"/>
    <s v="11:52 AM"/>
    <x v="0"/>
    <n v="10.199999999999999"/>
  </r>
  <r>
    <n v="13569"/>
    <n v="22726"/>
    <x v="283"/>
    <n v="1"/>
    <n v="1"/>
    <n v="1"/>
    <n v="525856"/>
    <d v="2010-10-07T13:05:00"/>
    <n v="3.75"/>
    <n v="3.75"/>
    <d v="2010-10-07T00:00:00"/>
    <d v="1899-12-30T01:05:00"/>
    <s v="PM"/>
    <s v="1:05 PM"/>
    <x v="0"/>
    <n v="3.75"/>
  </r>
  <r>
    <n v="15150"/>
    <n v="22492"/>
    <x v="284"/>
    <n v="36"/>
    <n v="36"/>
    <n v="36"/>
    <n v="512177"/>
    <d v="2010-06-14T12:01:00"/>
    <n v="0.65"/>
    <n v="0.65"/>
    <d v="2010-06-14T00:00:00"/>
    <d v="1899-12-30T12:01:00"/>
    <s v="PM"/>
    <s v="12:01 PM"/>
    <x v="0"/>
    <n v="23.400000000000002"/>
  </r>
  <r>
    <n v="13564"/>
    <n v="22217"/>
    <x v="285"/>
    <n v="12"/>
    <n v="12"/>
    <n v="12"/>
    <n v="504340"/>
    <d v="2010-04-12T16:50:00"/>
    <n v="1.25"/>
    <n v="1.25"/>
    <d v="2010-04-12T00:00:00"/>
    <d v="1899-12-30T04:50:00"/>
    <s v="PM"/>
    <s v="4:50 PM"/>
    <x v="0"/>
    <n v="15"/>
  </r>
  <r>
    <n v="15498"/>
    <n v="22358"/>
    <x v="286"/>
    <n v="6"/>
    <n v="6"/>
    <n v="6"/>
    <n v="507390"/>
    <d v="2010-05-09T12:18:00"/>
    <n v="2.95"/>
    <n v="2.95"/>
    <d v="2010-05-09T00:00:00"/>
    <d v="1899-12-30T12:18:00"/>
    <s v="PM"/>
    <s v="12:18 PM"/>
    <x v="0"/>
    <n v="17.700000000000003"/>
  </r>
  <r>
    <n v="14680"/>
    <n v="21843"/>
    <x v="183"/>
    <n v="4"/>
    <n v="4"/>
    <n v="4"/>
    <n v="498705"/>
    <d v="2010-02-22T12:44:00"/>
    <n v="10.95"/>
    <n v="10.95"/>
    <d v="2010-02-22T00:00:00"/>
    <d v="1899-12-30T12:44:00"/>
    <s v="PM"/>
    <s v="12:44 PM"/>
    <x v="0"/>
    <n v="43.8"/>
  </r>
  <r>
    <n v="17993"/>
    <n v="22147"/>
    <x v="287"/>
    <n v="1"/>
    <n v="1"/>
    <n v="1"/>
    <n v="503543"/>
    <d v="2010-04-01T14:23:00"/>
    <n v="1.45"/>
    <n v="1.45"/>
    <d v="2010-04-01T00:00:00"/>
    <d v="1899-12-30T02:23:00"/>
    <s v="PM"/>
    <s v="2:23 PM"/>
    <x v="0"/>
    <n v="1.45"/>
  </r>
  <r>
    <n v="16782"/>
    <n v="22602"/>
    <x v="288"/>
    <n v="9"/>
    <n v="9"/>
    <n v="9"/>
    <n v="536088"/>
    <s v="2010-11-30 11:30"/>
    <n v="0.85"/>
    <n v="0.85"/>
    <d v="2010-11-30T00:00:00"/>
    <d v="1899-12-30T11:30:00"/>
    <m/>
    <s v="11:30 "/>
    <x v="0"/>
    <n v="7.6499999999999995"/>
  </r>
  <r>
    <n v="16612"/>
    <n v="21790"/>
    <x v="187"/>
    <n v="12"/>
    <n v="12"/>
    <n v="12"/>
    <n v="530165"/>
    <d v="2010-11-02T08:49:00"/>
    <n v="0.85"/>
    <n v="0.85"/>
    <d v="2010-11-02T00:00:00"/>
    <d v="1899-12-30T08:49:00"/>
    <s v="AM"/>
    <s v="8:49 AM"/>
    <x v="0"/>
    <n v="10.199999999999999"/>
  </r>
  <r>
    <n v="13564"/>
    <n v="22457"/>
    <x v="289"/>
    <n v="6"/>
    <n v="6"/>
    <n v="6"/>
    <n v="522826"/>
    <d v="2010-09-17T10:16:00"/>
    <n v="2.95"/>
    <n v="2.95"/>
    <d v="2010-09-17T00:00:00"/>
    <d v="1899-12-30T10:16:00"/>
    <s v="AM"/>
    <s v="10:16 AM"/>
    <x v="0"/>
    <n v="17.700000000000003"/>
  </r>
  <r>
    <n v="13152"/>
    <n v="22080"/>
    <x v="290"/>
    <n v="10"/>
    <n v="10"/>
    <n v="10"/>
    <n v="498596"/>
    <d v="2010-02-21T15:58:00"/>
    <n v="1.65"/>
    <n v="1.65"/>
    <d v="2010-02-21T00:00:00"/>
    <d v="1899-12-30T03:58:00"/>
    <s v="PM"/>
    <s v="3:58 PM"/>
    <x v="0"/>
    <n v="16.5"/>
  </r>
  <r>
    <n v="16279"/>
    <n v="22150"/>
    <x v="291"/>
    <n v="6"/>
    <n v="6"/>
    <n v="6"/>
    <n v="510737"/>
    <d v="2010-06-03T11:44:00"/>
    <n v="1.95"/>
    <n v="1.95"/>
    <d v="2010-06-03T00:00:00"/>
    <d v="1899-12-30T11:44:00"/>
    <s v="AM"/>
    <s v="11:44 AM"/>
    <x v="0"/>
    <n v="11.7"/>
  </r>
  <r>
    <n v="15023"/>
    <s v="85025B"/>
    <x v="292"/>
    <n v="2"/>
    <n v="2"/>
    <n v="2"/>
    <n v="496773"/>
    <d v="2010-02-03T15:45:00"/>
    <n v="1.65"/>
    <n v="1.65"/>
    <d v="2010-02-03T00:00:00"/>
    <d v="1899-12-30T03:45:00"/>
    <s v="PM"/>
    <s v="3:45 PM"/>
    <x v="0"/>
    <n v="3.3"/>
  </r>
  <r>
    <n v="14415"/>
    <n v="22576"/>
    <x v="188"/>
    <n v="14"/>
    <n v="14"/>
    <n v="14"/>
    <n v="535274"/>
    <d v="2010-11-25T13:51:00"/>
    <n v="0.85"/>
    <n v="0.85"/>
    <d v="2010-11-25T00:00:00"/>
    <d v="1899-12-30T01:51:00"/>
    <s v="PM"/>
    <s v="1:51 PM"/>
    <x v="0"/>
    <n v="11.9"/>
  </r>
  <r>
    <n v="14177"/>
    <s v="84997C"/>
    <x v="293"/>
    <n v="2"/>
    <n v="2"/>
    <n v="2"/>
    <n v="532004"/>
    <d v="2010-11-10T12:38:00"/>
    <n v="3.75"/>
    <n v="3.75"/>
    <d v="2010-11-10T00:00:00"/>
    <d v="1899-12-30T12:38:00"/>
    <s v="PM"/>
    <s v="12:38 PM"/>
    <x v="0"/>
    <n v="7.5"/>
  </r>
  <r>
    <n v="16549"/>
    <n v="22575"/>
    <x v="7"/>
    <n v="1"/>
    <n v="1"/>
    <n v="1"/>
    <n v="529156"/>
    <d v="2010-10-26T16:47:00"/>
    <n v="1.95"/>
    <n v="1.95"/>
    <d v="2010-10-26T00:00:00"/>
    <d v="1899-12-30T04:47:00"/>
    <s v="PM"/>
    <s v="4:47 PM"/>
    <x v="0"/>
    <n v="1.95"/>
  </r>
  <r>
    <n v="15198"/>
    <n v="72741"/>
    <x v="294"/>
    <n v="9"/>
    <n v="9"/>
    <n v="9"/>
    <n v="529213"/>
    <d v="2010-10-27T10:32:00"/>
    <n v="1.45"/>
    <n v="1.45"/>
    <d v="2010-10-27T00:00:00"/>
    <d v="1899-12-30T10:32:00"/>
    <s v="AM"/>
    <s v="10:32 AM"/>
    <x v="0"/>
    <n v="13.049999999999999"/>
  </r>
  <r>
    <n v="13240"/>
    <n v="21742"/>
    <x v="295"/>
    <n v="1"/>
    <n v="1"/>
    <n v="1"/>
    <n v="499236"/>
    <d v="2010-02-25T13:17:00"/>
    <n v="5.95"/>
    <n v="5.95"/>
    <d v="2010-02-25T00:00:00"/>
    <d v="1899-12-30T01:17:00"/>
    <s v="PM"/>
    <s v="1:17 PM"/>
    <x v="0"/>
    <n v="5.95"/>
  </r>
  <r>
    <n v="13085"/>
    <n v="84992"/>
    <x v="296"/>
    <n v="24"/>
    <n v="24"/>
    <n v="24"/>
    <s v=" 496092 "/>
    <d v="2010-01-29T10:06:00"/>
    <n v="0.55000000000000004"/>
    <n v="0.55000000000000004"/>
    <d v="2010-01-29T00:00:00"/>
    <d v="1899-12-30T10:06:00"/>
    <s v="AM"/>
    <s v="10:06 AM"/>
    <x v="0"/>
    <n v="13.200000000000001"/>
  </r>
  <r>
    <n v="17228"/>
    <s v="84997C"/>
    <x v="297"/>
    <n v="4"/>
    <n v="4"/>
    <n v="4"/>
    <n v="508653"/>
    <d v="2010-05-17T15:54:00"/>
    <n v="3.75"/>
    <n v="3.75"/>
    <d v="2010-05-17T00:00:00"/>
    <d v="1899-12-30T03:54:00"/>
    <s v="PM"/>
    <s v="3:54 PM"/>
    <x v="0"/>
    <n v="15"/>
  </r>
  <r>
    <n v="14277"/>
    <n v="22352"/>
    <x v="298"/>
    <n v="12"/>
    <n v="-12"/>
    <n v="-12"/>
    <s v="C490798"/>
    <d v="2009-12-08T11:51:00"/>
    <n v="2.5499999999999998"/>
    <n v="2.5499999999999998"/>
    <d v="2009-12-08T00:00:00"/>
    <d v="1899-12-30T11:51:00"/>
    <s v="AM"/>
    <s v="11:51 AM"/>
    <x v="3"/>
    <n v="30.599999999999998"/>
  </r>
  <r>
    <n v="13564"/>
    <n v="82585"/>
    <x v="299"/>
    <n v="4"/>
    <n v="4"/>
    <n v="4"/>
    <n v="490636"/>
    <d v="2009-12-07T12:08:00"/>
    <n v="1.25"/>
    <n v="1.25"/>
    <d v="2009-12-07T00:00:00"/>
    <d v="1899-12-30T12:08:00"/>
    <s v="PM"/>
    <s v="12:08 PM"/>
    <x v="0"/>
    <n v="5"/>
  </r>
  <r>
    <n v="16892"/>
    <n v="21796"/>
    <x v="300"/>
    <n v="1"/>
    <n v="1"/>
    <n v="1"/>
    <n v="510781"/>
    <d v="2010-06-03T15:17:00"/>
    <n v="12.75"/>
    <n v="12.75"/>
    <d v="2010-06-03T00:00:00"/>
    <d v="1899-12-30T03:17:00"/>
    <s v="PM"/>
    <s v="3:17 PM"/>
    <x v="0"/>
    <n v="12.75"/>
  </r>
  <r>
    <n v="15061"/>
    <n v="20825"/>
    <x v="111"/>
    <n v="288"/>
    <n v="288"/>
    <n v="288"/>
    <n v="525286"/>
    <d v="2010-10-05T08:34:00"/>
    <n v="3.39"/>
    <n v="3.39"/>
    <d v="2010-10-05T00:00:00"/>
    <d v="1899-12-30T08:34:00"/>
    <s v="AM"/>
    <s v="8:34 AM"/>
    <x v="0"/>
    <n v="976.32"/>
  </r>
  <r>
    <n v="17454"/>
    <n v="22411"/>
    <x v="148"/>
    <n v="10"/>
    <n v="10"/>
    <n v="10"/>
    <n v="521223"/>
    <d v="2010-09-03T10:43:00"/>
    <n v="1.95"/>
    <n v="1.95"/>
    <d v="2010-09-03T00:00:00"/>
    <d v="1899-12-30T10:43:00"/>
    <s v="AM"/>
    <s v="10:43 AM"/>
    <x v="0"/>
    <n v="19.5"/>
  </r>
  <r>
    <n v="13625"/>
    <n v="21313"/>
    <x v="301"/>
    <n v="12"/>
    <n v="12"/>
    <n v="12"/>
    <n v="505443"/>
    <d v="2010-04-22T10:50:00"/>
    <n v="0.85"/>
    <n v="0.85"/>
    <d v="2010-04-22T00:00:00"/>
    <d v="1899-12-30T10:50:00"/>
    <s v="AM"/>
    <s v="10:50 AM"/>
    <x v="0"/>
    <n v="10.199999999999999"/>
  </r>
  <r>
    <n v="14329"/>
    <n v="22520"/>
    <x v="302"/>
    <n v="12"/>
    <n v="12"/>
    <n v="12"/>
    <n v="507445"/>
    <d v="2010-05-10T09:38:00"/>
    <n v="0.85"/>
    <n v="0.85"/>
    <d v="2010-05-10T00:00:00"/>
    <d v="1899-12-30T09:38:00"/>
    <s v="AM"/>
    <s v="9:38 AM"/>
    <x v="0"/>
    <n v="10.199999999999999"/>
  </r>
  <r>
    <n v="14157"/>
    <n v="22444"/>
    <x v="303"/>
    <n v="24"/>
    <n v="24"/>
    <n v="24"/>
    <n v="527740"/>
    <d v="2010-10-18T15:48:00"/>
    <n v="1.25"/>
    <n v="1.25"/>
    <d v="2010-10-18T00:00:00"/>
    <d v="1899-12-30T03:48:00"/>
    <s v="PM"/>
    <s v="3:48 PM"/>
    <x v="0"/>
    <n v="30"/>
  </r>
  <r>
    <s v="16515"/>
    <n v="22523"/>
    <x v="304"/>
    <n v="1"/>
    <n v="1"/>
    <s v="1"/>
    <n v="527819"/>
    <d v="2010-10-19T11:22:00"/>
    <n v="0.85"/>
    <n v="0.85"/>
    <d v="2010-10-19T00:00:00"/>
    <d v="1899-12-30T11:22:00"/>
    <s v="AM"/>
    <s v="11:22 AM"/>
    <x v="0"/>
    <n v="0.85"/>
  </r>
  <r>
    <s v="14514"/>
    <n v="22118"/>
    <x v="66"/>
    <n v="2"/>
    <n v="2"/>
    <n v="2"/>
    <n v="524524"/>
    <d v="2010-09-29T13:14:00"/>
    <n v="4.95"/>
    <n v="4.95"/>
    <d v="2010-09-29T00:00:00"/>
    <d v="1899-12-30T01:14:00"/>
    <s v="PM"/>
    <s v="1:14 PM"/>
    <x v="0"/>
    <n v="9.9"/>
  </r>
  <r>
    <n v="14478"/>
    <n v="84950"/>
    <x v="305"/>
    <n v="24"/>
    <n v="24"/>
    <n v="24"/>
    <n v="518665"/>
    <d v="2010-08-10T14:43:00"/>
    <n v="0.85"/>
    <n v="0.85"/>
    <d v="2010-08-10T00:00:00"/>
    <d v="1899-12-30T02:43:00"/>
    <s v="PM"/>
    <s v="2:43 PM"/>
    <x v="0"/>
    <n v="20.399999999999999"/>
  </r>
  <r>
    <n v="15860"/>
    <n v="21034"/>
    <x v="306"/>
    <n v="1"/>
    <n v="1"/>
    <n v="1"/>
    <n v="507129"/>
    <d v="2010-05-06T12:15:00"/>
    <n v="0.95"/>
    <n v="0.95"/>
    <d v="2010-05-06T00:00:00"/>
    <d v="1899-12-30T12:15:00"/>
    <s v="PM"/>
    <s v="12:15 PM"/>
    <x v="0"/>
    <n v="0.95"/>
  </r>
  <r>
    <n v="13178"/>
    <n v="21559"/>
    <x v="307"/>
    <n v="6"/>
    <n v="6"/>
    <n v="6"/>
    <n v="531374"/>
    <d v="2010-11-07T15:50:00"/>
    <n v="2.5499999999999998"/>
    <n v="2.5499999999999998"/>
    <d v="2010-11-07T00:00:00"/>
    <d v="1899-12-30T03:50:00"/>
    <s v="PM"/>
    <s v="3:50 PM"/>
    <x v="0"/>
    <n v="15.299999999999999"/>
  </r>
  <r>
    <n v="13263"/>
    <s v="85123A"/>
    <x v="103"/>
    <n v="2"/>
    <n v="2"/>
    <n v="2"/>
    <n v="532337"/>
    <d v="2010-11-11T15:49:00"/>
    <n v="2.95"/>
    <n v="2.95"/>
    <d v="2010-11-11T00:00:00"/>
    <d v="1899-12-30T03:49:00"/>
    <s v="PM"/>
    <s v="3:49 PM"/>
    <x v="0"/>
    <n v="5.9"/>
  </r>
  <r>
    <s v="13089"/>
    <n v="84975"/>
    <x v="308"/>
    <n v="36"/>
    <n v="36"/>
    <n v="36"/>
    <n v="522334"/>
    <d v="2010-09-14T09:43:00"/>
    <n v="1.69"/>
    <n v="1.69"/>
    <d v="2010-09-14T00:00:00"/>
    <d v="1899-12-30T09:43:00"/>
    <s v="AM"/>
    <s v="9:43 AM"/>
    <x v="0"/>
    <n v="60.839999999999996"/>
  </r>
  <r>
    <n v="17115"/>
    <n v="90029"/>
    <x v="309"/>
    <n v="5"/>
    <n v="5"/>
    <n v="5"/>
    <n v="496058"/>
    <d v="2010-01-28T15:17:00"/>
    <n v="8.5"/>
    <n v="8.5"/>
    <d v="2010-01-28T00:00:00"/>
    <d v="1899-12-30T03:17:00"/>
    <s v="PM"/>
    <s v="3:17 PM"/>
    <x v="0"/>
    <n v="42.5"/>
  </r>
  <r>
    <n v="13299"/>
    <n v="21056"/>
    <x v="310"/>
    <n v="4"/>
    <n v="4"/>
    <n v="4"/>
    <n v="526510"/>
    <d v="2010-10-12T10:53:00"/>
    <n v="8.9499999999999993"/>
    <n v="8.9499999999999993"/>
    <d v="2010-10-12T00:00:00"/>
    <d v="1899-12-30T10:53:00"/>
    <s v="AM"/>
    <s v="10:53 AM"/>
    <x v="0"/>
    <n v="35.799999999999997"/>
  </r>
  <r>
    <n v="15768"/>
    <n v="21755"/>
    <x v="265"/>
    <n v="4"/>
    <n v="4"/>
    <n v="4"/>
    <n v="491068"/>
    <d v="2009-12-09T12:18:00"/>
    <n v="5.95"/>
    <n v="5.95"/>
    <d v="2009-12-09T00:00:00"/>
    <d v="1899-12-30T12:18:00"/>
    <s v="PM"/>
    <s v="12:18 PM"/>
    <x v="0"/>
    <n v="23.8"/>
  </r>
  <r>
    <n v="14723"/>
    <n v="22068"/>
    <x v="311"/>
    <n v="2"/>
    <n v="2"/>
    <n v="2"/>
    <n v="526236"/>
    <d v="2010-10-10T16:08:00"/>
    <n v="1.65"/>
    <n v="1.65"/>
    <d v="2010-10-10T00:00:00"/>
    <d v="1899-12-30T04:08:00"/>
    <s v="PM"/>
    <s v="4:08 PM"/>
    <x v="0"/>
    <n v="3.3"/>
  </r>
  <r>
    <n v="17345"/>
    <n v="21484"/>
    <x v="312"/>
    <n v="2"/>
    <n v="2"/>
    <n v="2"/>
    <n v="535946"/>
    <d v="2010-11-29T11:54:00"/>
    <n v="3.45"/>
    <n v="3.45"/>
    <d v="2010-11-29T00:00:00"/>
    <d v="1899-12-30T11:54:00"/>
    <s v="AM"/>
    <s v="11:54 AM"/>
    <x v="0"/>
    <n v="6.9"/>
  </r>
  <r>
    <n v="14037"/>
    <n v="21479"/>
    <x v="313"/>
    <n v="3"/>
    <n v="3"/>
    <n v="3"/>
    <n v="490609"/>
    <d v="2009-12-07T11:39:00"/>
    <n v="3.75"/>
    <n v="3.75"/>
    <d v="2009-12-07T00:00:00"/>
    <d v="1899-12-30T11:39:00"/>
    <s v="AM"/>
    <s v="11:39 AM"/>
    <x v="0"/>
    <n v="11.25"/>
  </r>
  <r>
    <n v="14769"/>
    <n v="22625"/>
    <x v="314"/>
    <n v="2"/>
    <n v="2"/>
    <n v="2"/>
    <n v="520561"/>
    <d v="2010-08-26T16:46:00"/>
    <n v="8.5"/>
    <n v="8.5"/>
    <d v="2010-08-26T00:00:00"/>
    <d v="1899-12-30T04:46:00"/>
    <s v="PM"/>
    <s v="4:46 PM"/>
    <x v="0"/>
    <n v="17"/>
  </r>
  <r>
    <n v="18279"/>
    <s v="85231B"/>
    <x v="315"/>
    <n v="24"/>
    <n v="24"/>
    <n v="24"/>
    <n v="515150"/>
    <d v="2010-07-08T14:48:00"/>
    <n v="0.85"/>
    <n v="0.85"/>
    <d v="2010-07-08T00:00:00"/>
    <d v="1899-12-30T02:48:00"/>
    <s v="PM"/>
    <s v="2:48 PM"/>
    <x v="0"/>
    <n v="20.399999999999999"/>
  </r>
  <r>
    <n v="15527"/>
    <n v="22867"/>
    <x v="316"/>
    <n v="24"/>
    <n v="24"/>
    <n v="24"/>
    <n v="531935"/>
    <s v="11/10/2010 12:13"/>
    <n v="2.1"/>
    <n v="2.1"/>
    <d v="2010-11-10T00:00:00"/>
    <d v="1899-12-30T12:13:00"/>
    <m/>
    <s v="12:13 "/>
    <x v="0"/>
    <n v="50.400000000000006"/>
  </r>
  <r>
    <n v="14410"/>
    <n v="22865"/>
    <x v="317"/>
    <n v="2"/>
    <n v="2"/>
    <n v="2"/>
    <n v="535803"/>
    <d v="2010-11-28T14:57:00"/>
    <n v="2.1"/>
    <n v="2.1"/>
    <d v="2010-11-28T00:00:00"/>
    <d v="1899-12-30T02:57:00"/>
    <s v="PM"/>
    <s v="2:57 PM"/>
    <x v="0"/>
    <n v="4.2"/>
  </r>
  <r>
    <n v="13680"/>
    <n v="21181"/>
    <x v="318"/>
    <n v="12"/>
    <n v="12"/>
    <n v="12"/>
    <n v="494471"/>
    <d v="2010-01-14T14:48:00"/>
    <n v="2.1"/>
    <n v="2.1"/>
    <d v="2010-01-14T00:00:00"/>
    <d v="1899-12-30T02:48:00"/>
    <s v="PM"/>
    <s v="2:48 PM"/>
    <x v="0"/>
    <n v="25.200000000000003"/>
  </r>
  <r>
    <n v="16784"/>
    <n v="22599"/>
    <x v="319"/>
    <n v="6"/>
    <n v="6"/>
    <n v="6"/>
    <n v="529837"/>
    <s v="2010-10-31 12:34"/>
    <n v="0.85"/>
    <n v="0.85"/>
    <d v="2010-10-31T00:00:00"/>
    <d v="1899-12-30T12:34:00"/>
    <m/>
    <s v="12:34 "/>
    <x v="0"/>
    <n v="5.0999999999999996"/>
  </r>
  <r>
    <n v="16960"/>
    <n v="84754"/>
    <x v="320"/>
    <n v="2"/>
    <n v="2"/>
    <n v="2"/>
    <n v="532679"/>
    <d v="2010-11-14T12:17:00"/>
    <n v="1.25"/>
    <n v="1.25"/>
    <d v="2010-11-14T00:00:00"/>
    <d v="1899-12-30T12:17:00"/>
    <s v="PM"/>
    <s v="12:17 PM"/>
    <x v="0"/>
    <n v="2.5"/>
  </r>
  <r>
    <n v="14897"/>
    <n v="22773"/>
    <x v="321"/>
    <n v="12"/>
    <n v="12"/>
    <n v="12"/>
    <n v="528989"/>
    <d v="2010-10-26T11:17:00"/>
    <n v="1.25"/>
    <n v="1.25"/>
    <d v="2010-10-26T00:00:00"/>
    <d v="1899-12-30T11:17:00"/>
    <s v="AM"/>
    <s v="11:17 AM"/>
    <x v="0"/>
    <n v="15"/>
  </r>
  <r>
    <n v="15640"/>
    <n v="21931"/>
    <x v="322"/>
    <n v="10"/>
    <n v="10"/>
    <n v="10"/>
    <n v="498303"/>
    <d v="2010-02-18T09:31:00"/>
    <n v="1.95"/>
    <n v="1.95"/>
    <d v="2010-02-18T00:00:00"/>
    <d v="1899-12-30T09:31:00"/>
    <s v="AM"/>
    <s v="9:31 AM"/>
    <x v="0"/>
    <n v="19.5"/>
  </r>
  <r>
    <n v="15639"/>
    <n v="21519"/>
    <x v="323"/>
    <n v="12"/>
    <n v="12"/>
    <n v="12"/>
    <n v="522331"/>
    <d v="2010-09-14T09:05:00"/>
    <n v="0.42"/>
    <n v="0.42"/>
    <d v="2010-09-14T00:00:00"/>
    <d v="1899-12-30T09:05:00"/>
    <s v="AM"/>
    <s v="9:05 AM"/>
    <x v="0"/>
    <n v="5.04"/>
  </r>
  <r>
    <n v="13564"/>
    <s v="85232A"/>
    <x v="324"/>
    <n v="6"/>
    <n v="6"/>
    <n v="6"/>
    <n v="517712"/>
    <d v="2010-08-01T11:17:00"/>
    <n v="4.95"/>
    <n v="4.95"/>
    <d v="2010-08-01T00:00:00"/>
    <d v="1899-12-30T11:17:00"/>
    <s v="AM"/>
    <s v="11:17 AM"/>
    <x v="0"/>
    <n v="29.700000000000003"/>
  </r>
  <r>
    <n v="17686"/>
    <s v="48173C"/>
    <x v="325"/>
    <n v="2"/>
    <n v="2"/>
    <n v="2"/>
    <n v="513335"/>
    <d v="2010-06-24T09:49:00"/>
    <n v="7.49"/>
    <n v="7.49"/>
    <d v="2010-06-24T00:00:00"/>
    <d v="1899-12-30T09:49:00"/>
    <s v="AM"/>
    <s v="9:49 AM"/>
    <x v="0"/>
    <n v="14.98"/>
  </r>
  <r>
    <n v="14298"/>
    <n v="22703"/>
    <x v="171"/>
    <n v="6"/>
    <n v="6"/>
    <n v="6"/>
    <n v="515910"/>
    <d v="2010-07-15T13:17:00"/>
    <n v="1.85"/>
    <n v="1.85"/>
    <d v="2010-07-15T00:00:00"/>
    <d v="1899-12-30T01:17:00"/>
    <s v="PM"/>
    <s v="1:17 PM"/>
    <x v="0"/>
    <n v="11.100000000000001"/>
  </r>
  <r>
    <n v="16984"/>
    <s v="84926D"/>
    <x v="326"/>
    <n v="24"/>
    <n v="24"/>
    <n v="24"/>
    <n v="529994"/>
    <d v="2010-10-31T16:26:00"/>
    <n v="1.25"/>
    <n v="1.25"/>
    <d v="2010-10-31T00:00:00"/>
    <d v="1899-12-30T04:26:00"/>
    <s v="PM"/>
    <s v="4:26 PM"/>
    <x v="0"/>
    <n v="30"/>
  </r>
  <r>
    <n v="17230"/>
    <s v="85123A"/>
    <x v="103"/>
    <n v="32"/>
    <n v="32"/>
    <n v="32"/>
    <n v="492445"/>
    <d v="2009-12-17T11:07:00"/>
    <n v="2.5499999999999998"/>
    <n v="2.5499999999999998"/>
    <d v="2009-12-17T00:00:00"/>
    <d v="1899-12-30T11:07:00"/>
    <s v="AM"/>
    <s v="11:07 AM"/>
    <x v="0"/>
    <n v="81.599999999999994"/>
  </r>
  <r>
    <n v="12921"/>
    <n v="21928"/>
    <x v="327"/>
    <n v="20"/>
    <n v="20"/>
    <n v="20"/>
    <n v="513568"/>
    <d v="2010-06-25T14:23:00"/>
    <n v="1.95"/>
    <n v="1.95"/>
    <d v="2010-06-25T00:00:00"/>
    <d v="1899-12-30T02:23:00"/>
    <s v="PM"/>
    <s v="2:23 PM"/>
    <x v="0"/>
    <n v="39"/>
  </r>
  <r>
    <n v="17730"/>
    <n v="22154"/>
    <x v="328"/>
    <n v="48"/>
    <n v="48"/>
    <n v="48"/>
    <n v="534238"/>
    <d v="2010-11-22T10:41:00"/>
    <n v="0.42"/>
    <n v="0.42"/>
    <d v="2010-11-22T00:00:00"/>
    <d v="1899-12-30T10:41:00"/>
    <s v="AM"/>
    <s v="10:41 AM"/>
    <x v="0"/>
    <n v="20.16"/>
  </r>
  <r>
    <n v="17975"/>
    <n v="21754"/>
    <x v="253"/>
    <n v="9"/>
    <n v="9"/>
    <n v="9"/>
    <n v="524268"/>
    <d v="2010-09-28T11:47:00"/>
    <n v="5.95"/>
    <n v="5.95"/>
    <d v="2010-09-28T00:00:00"/>
    <d v="1899-12-30T11:47:00"/>
    <s v="AM"/>
    <s v="11:47 AM"/>
    <x v="0"/>
    <n v="53.550000000000004"/>
  </r>
  <r>
    <n v="13662"/>
    <n v="22739"/>
    <x v="329"/>
    <n v="10"/>
    <n v="10"/>
    <n v="10"/>
    <n v="533838"/>
    <d v="2010-11-19T10:57:00"/>
    <n v="1.65"/>
    <n v="1.65"/>
    <d v="2010-11-19T00:00:00"/>
    <d v="1899-12-30T10:57:00"/>
    <s v="AM"/>
    <s v="10:57 AM"/>
    <x v="0"/>
    <n v="16.5"/>
  </r>
  <r>
    <n v="17365"/>
    <s v="84673B"/>
    <x v="330"/>
    <n v="3"/>
    <n v="3"/>
    <n v="3"/>
    <n v="515420"/>
    <d v="2010-07-12T13:15:00"/>
    <n v="0.65"/>
    <n v="0.65"/>
    <d v="2010-07-12T00:00:00"/>
    <d v="1899-12-30T01:15:00"/>
    <s v="PM"/>
    <s v="1:15 PM"/>
    <x v="0"/>
    <n v="1.9500000000000002"/>
  </r>
  <r>
    <n v="12406"/>
    <n v="21282"/>
    <x v="331"/>
    <n v="24"/>
    <n v="24"/>
    <n v="24"/>
    <n v="531010"/>
    <d v="2010-11-05T11:42:00"/>
    <n v="3.75"/>
    <n v="3.75"/>
    <d v="2010-11-05T00:00:00"/>
    <d v="1899-12-30T11:42:00"/>
    <s v="AM"/>
    <s v="11:42 AM"/>
    <x v="8"/>
    <n v="90"/>
  </r>
  <r>
    <n v="18245"/>
    <n v="22030"/>
    <x v="332"/>
    <n v="12"/>
    <n v="12"/>
    <n v="12"/>
    <n v="535349"/>
    <d v="2010-11-25T16:52:00"/>
    <n v="0.42"/>
    <n v="0.42"/>
    <d v="2010-11-25T00:00:00"/>
    <d v="1899-12-30T04:52:00"/>
    <s v="PM"/>
    <s v="4:52 PM"/>
    <x v="0"/>
    <n v="5.04"/>
  </r>
  <r>
    <n v="17324"/>
    <n v="21988"/>
    <x v="333"/>
    <n v="1"/>
    <n v="1"/>
    <n v="1"/>
    <n v="521205"/>
    <d v="2010-09-02T18:22:00"/>
    <n v="0.85"/>
    <n v="0.85"/>
    <d v="2010-09-02T00:00:00"/>
    <d v="1899-12-30T06:22:00"/>
    <s v="PM"/>
    <s v="6:22 PM"/>
    <x v="0"/>
    <n v="0.85"/>
  </r>
  <r>
    <n v="13276"/>
    <n v="22149"/>
    <x v="334"/>
    <n v="2"/>
    <n v="2"/>
    <n v="2"/>
    <n v="516950"/>
    <d v="2010-07-25T15:38:00"/>
    <n v="2.1"/>
    <n v="2.1"/>
    <d v="2010-07-25T00:00:00"/>
    <d v="1899-12-30T03:38:00"/>
    <s v="PM"/>
    <s v="3:38 PM"/>
    <x v="0"/>
    <n v="4.2"/>
  </r>
  <r>
    <n v="16445"/>
    <n v="22417"/>
    <x v="335"/>
    <n v="1"/>
    <n v="1"/>
    <n v="1"/>
    <n v="528648"/>
    <d v="2010-10-24T12:39:00"/>
    <n v="0.55000000000000004"/>
    <n v="0.55000000000000004"/>
    <d v="2010-10-24T00:00:00"/>
    <d v="1899-12-30T12:39:00"/>
    <s v="PM"/>
    <s v="12:39 PM"/>
    <x v="0"/>
    <n v="0.55000000000000004"/>
  </r>
  <r>
    <n v="14646"/>
    <n v="22328"/>
    <x v="336"/>
    <n v="96"/>
    <n v="96"/>
    <n v="96"/>
    <n v="507179"/>
    <d v="2010-05-06T15:24:00"/>
    <n v="2.5499999999999998"/>
    <n v="2.5499999999999998"/>
    <d v="2010-05-06T00:00:00"/>
    <d v="1899-12-30T03:24:00"/>
    <s v="PM"/>
    <s v="3:24 PM"/>
    <x v="9"/>
    <n v="244.79999999999998"/>
  </r>
  <r>
    <n v="15722"/>
    <n v="21737"/>
    <x v="337"/>
    <n v="1"/>
    <n v="1"/>
    <n v="1"/>
    <n v="520716"/>
    <d v="2010-08-29T14:03:00"/>
    <n v="19.95"/>
    <n v="19.95"/>
    <d v="2010-08-29T00:00:00"/>
    <d v="1899-12-30T02:03:00"/>
    <s v="PM"/>
    <s v="2:03 PM"/>
    <x v="0"/>
    <n v="19.95"/>
  </r>
  <r>
    <n v="16756"/>
    <n v="22072"/>
    <x v="338"/>
    <n v="4"/>
    <n v="4"/>
    <n v="4"/>
    <n v="505845"/>
    <d v="2010-04-26T12:02:00"/>
    <n v="3.75"/>
    <n v="3.75"/>
    <d v="2010-04-26T00:00:00"/>
    <d v="1899-12-30T12:02:00"/>
    <s v="PM"/>
    <s v="12:02 PM"/>
    <x v="0"/>
    <n v="15"/>
  </r>
  <r>
    <n v="16072"/>
    <n v="21155"/>
    <x v="339"/>
    <n v="4"/>
    <n v="4"/>
    <n v="4"/>
    <n v="511522"/>
    <d v="2010-06-08T16:47:00"/>
    <n v="2.1"/>
    <n v="2.1"/>
    <d v="2010-06-08T00:00:00"/>
    <d v="1899-12-30T04:47:00"/>
    <s v="PM"/>
    <s v="4:47 PM"/>
    <x v="0"/>
    <n v="8.4"/>
  </r>
  <r>
    <s v="17756"/>
    <n v="22112"/>
    <x v="142"/>
    <n v="1"/>
    <n v="1"/>
    <n v="1"/>
    <n v="532016"/>
    <d v="2010-11-10T12:54:00"/>
    <n v="4.95"/>
    <n v="4.95"/>
    <d v="2010-11-10T00:00:00"/>
    <d v="1899-12-30T12:54:00"/>
    <s v="PM"/>
    <s v="12:54 PM"/>
    <x v="0"/>
    <n v="4.95"/>
  </r>
  <r>
    <n v="12748"/>
    <n v="21016"/>
    <x v="340"/>
    <n v="3"/>
    <n v="3"/>
    <n v="3"/>
    <n v="515906"/>
    <d v="2010-07-15T12:59:00"/>
    <n v="0.85"/>
    <n v="0.85"/>
    <d v="2010-07-15T00:00:00"/>
    <d v="1899-12-30T12:59:00"/>
    <s v="PM"/>
    <s v="12:59 PM"/>
    <x v="0"/>
    <n v="2.5499999999999998"/>
  </r>
  <r>
    <n v="14648"/>
    <n v="21929"/>
    <x v="341"/>
    <n v="10"/>
    <n v="10"/>
    <n v="10"/>
    <n v="513543"/>
    <d v="2010-06-25T12:05:00"/>
    <n v="1.95"/>
    <n v="1.95"/>
    <d v="2010-06-25T00:00:00"/>
    <d v="1899-12-30T12:05:00"/>
    <s v="PM"/>
    <s v="12:05 PM"/>
    <x v="0"/>
    <n v="19.5"/>
  </r>
  <r>
    <n v="14156"/>
    <s v="46000M"/>
    <x v="342"/>
    <n v="12"/>
    <n v="12"/>
    <n v="12"/>
    <n v="502280"/>
    <d v="2010-03-23T16:45:00"/>
    <n v="1.55"/>
    <n v="1.55"/>
    <d v="2010-03-23T00:00:00"/>
    <d v="1899-12-30T04:45:00"/>
    <s v="PM"/>
    <s v="4:45 PM"/>
    <x v="1"/>
    <n v="18.600000000000001"/>
  </r>
  <r>
    <n v="12915"/>
    <n v="22644"/>
    <x v="343"/>
    <n v="12"/>
    <n v="12"/>
    <n v="12"/>
    <n v="520084"/>
    <d v="2010-08-24T10:45:00"/>
    <n v="1.45"/>
    <n v="1.45"/>
    <d v="2010-08-24T00:00:00"/>
    <d v="1899-12-30T10:45:00"/>
    <s v="AM"/>
    <s v="10:45 AM"/>
    <x v="0"/>
    <n v="17.399999999999999"/>
  </r>
  <r>
    <n v="16595"/>
    <n v="21381"/>
    <x v="344"/>
    <n v="2"/>
    <n v="2"/>
    <n v="2"/>
    <n v="494644"/>
    <d v="2010-01-17T12:12:00"/>
    <n v="1.69"/>
    <n v="1.69"/>
    <d v="2010-01-17T00:00:00"/>
    <d v="1899-12-30T12:12:00"/>
    <s v="PM"/>
    <s v="12:12 PM"/>
    <x v="0"/>
    <n v="3.38"/>
  </r>
  <r>
    <n v="15768"/>
    <n v="21232"/>
    <x v="345"/>
    <n v="4"/>
    <n v="4"/>
    <n v="4"/>
    <n v="498238"/>
    <d v="2010-02-17T14:35:00"/>
    <s v="1.25"/>
    <n v="1.25"/>
    <d v="2010-02-17T00:00:00"/>
    <d v="1899-12-30T02:35:00"/>
    <s v="PM"/>
    <s v="2:35 PM"/>
    <x v="0"/>
    <n v="5"/>
  </r>
  <r>
    <n v="15325"/>
    <n v="22224"/>
    <x v="346"/>
    <n v="6"/>
    <n v="6"/>
    <n v="6"/>
    <n v="501718"/>
    <d v="2010-03-19T10:40:00"/>
    <n v="2.95"/>
    <n v="2.95"/>
    <d v="2010-03-19T00:00:00"/>
    <d v="1899-12-30T10:40:00"/>
    <s v="AM"/>
    <s v="10:40 AM"/>
    <x v="0"/>
    <n v="17.700000000000003"/>
  </r>
  <r>
    <n v="14646"/>
    <n v="21928"/>
    <x v="327"/>
    <n v="100"/>
    <n v="100"/>
    <n v="100"/>
    <n v="502758"/>
    <d v="2010-03-26T13:45:00"/>
    <n v="1.65"/>
    <n v="1.65"/>
    <d v="2010-03-26T00:00:00"/>
    <d v="1899-12-30T01:45:00"/>
    <s v="PM"/>
    <s v="1:45 PM"/>
    <x v="9"/>
    <n v="165"/>
  </r>
  <r>
    <n v="12970"/>
    <n v="21591"/>
    <x v="347"/>
    <n v="2"/>
    <n v="2"/>
    <n v="2"/>
    <n v="534822"/>
    <d v="2010-11-24T12:54:00"/>
    <n v="1.25"/>
    <n v="1.25"/>
    <d v="2010-11-24T00:00:00"/>
    <d v="1899-12-30T12:54:00"/>
    <s v="PM"/>
    <s v="12:54 PM"/>
    <x v="0"/>
    <n v="2.5"/>
  </r>
  <r>
    <n v="16016"/>
    <n v="20764"/>
    <x v="348"/>
    <n v="1"/>
    <n v="1"/>
    <n v="1"/>
    <n v="537773"/>
    <d v="2010-12-08T12:36:00"/>
    <n v="3.75"/>
    <n v="3.75"/>
    <d v="2010-12-08T00:00:00"/>
    <d v="1899-12-30T12:36:00"/>
    <s v="PM"/>
    <s v="12:36 PM"/>
    <x v="0"/>
    <n v="3.75"/>
  </r>
  <r>
    <n v="14505"/>
    <n v="21068"/>
    <x v="349"/>
    <n v="2"/>
    <n v="2"/>
    <n v="2"/>
    <n v="491113"/>
    <d v="2009-12-09T14:48:00"/>
    <n v="1.25"/>
    <n v="1.25"/>
    <d v="2009-12-09T00:00:00"/>
    <d v="1899-12-30T02:48:00"/>
    <s v="PM"/>
    <s v="2:48 PM"/>
    <x v="0"/>
    <n v="2.5"/>
  </r>
  <r>
    <n v="17769"/>
    <n v="21976"/>
    <x v="202"/>
    <n v="3"/>
    <n v="3"/>
    <n v="3"/>
    <n v="504139"/>
    <d v="2010-04-11T12:37:00"/>
    <n v="0.55000000000000004"/>
    <n v="0.55000000000000004"/>
    <d v="2010-04-11T00:00:00"/>
    <d v="1899-12-30T12:37:00"/>
    <s v="PM"/>
    <s v="12:37 PM"/>
    <x v="0"/>
    <n v="1.6500000000000001"/>
  </r>
  <r>
    <n v="17508"/>
    <n v="21697"/>
    <x v="350"/>
    <n v="12"/>
    <n v="12"/>
    <n v="12"/>
    <n v="494473"/>
    <d v="2010-01-14T14:53:00"/>
    <n v="1.69"/>
    <n v="1.69"/>
    <d v="2010-01-14T00:00:00"/>
    <d v="1899-12-30T02:53:00"/>
    <s v="PM"/>
    <s v="2:53 PM"/>
    <x v="16"/>
    <n v="20.28"/>
  </r>
  <r>
    <n v="16254"/>
    <n v="22866"/>
    <x v="351"/>
    <n v="1"/>
    <n v="1"/>
    <n v="1"/>
    <n v="535465"/>
    <d v="2010-11-26T13:22:00"/>
    <n v="2.1"/>
    <n v="2.1"/>
    <d v="2010-11-26T00:00:00"/>
    <d v="1899-12-30T01:22:00"/>
    <s v="PM"/>
    <s v="1:22 PM"/>
    <x v="0"/>
    <n v="2.1"/>
  </r>
  <r>
    <n v="16374"/>
    <s v="85061W"/>
    <x v="261"/>
    <n v="4"/>
    <n v="4"/>
    <n v="4"/>
    <n v="506572"/>
    <d v="2010-04-30T13:10:00"/>
    <n v="0.85"/>
    <n v="0.85"/>
    <d v="2010-04-30T00:00:00"/>
    <d v="1899-12-30T01:10:00"/>
    <s v="PM"/>
    <s v="1:10 PM"/>
    <x v="0"/>
    <n v="3.4"/>
  </r>
  <r>
    <n v="14508"/>
    <n v="90096"/>
    <x v="352"/>
    <n v="1"/>
    <n v="1"/>
    <n v="1"/>
    <n v="535748"/>
    <d v="2010-11-28T13:21:00"/>
    <n v="2.5499999999999998"/>
    <n v="2.5499999999999998"/>
    <d v="2010-11-28T00:00:00"/>
    <d v="1899-12-30T01:21:00"/>
    <s v="PM"/>
    <s v="1:21 PM"/>
    <x v="0"/>
    <n v="2.5499999999999998"/>
  </r>
  <r>
    <n v="12839"/>
    <n v="22444"/>
    <x v="353"/>
    <n v="24"/>
    <n v="24"/>
    <n v="24"/>
    <n v="506262"/>
    <d v="2010-04-28T14:45:00"/>
    <n v="1.25"/>
    <n v="1.25"/>
    <d v="2010-04-28T00:00:00"/>
    <d v="1899-12-30T02:45:00"/>
    <s v="PM"/>
    <s v="2:45 PM"/>
    <x v="0"/>
    <n v="30"/>
  </r>
  <r>
    <n v="17226"/>
    <n v="84212"/>
    <x v="354"/>
    <n v="60"/>
    <n v="60"/>
    <n v="60"/>
    <n v="497808"/>
    <d v="2010-02-12T14:31:00"/>
    <n v="0.65"/>
    <n v="0.65"/>
    <d v="2010-02-12T00:00:00"/>
    <d v="1899-12-30T02:31:00"/>
    <s v="PM"/>
    <s v="2:31 PM"/>
    <x v="0"/>
    <n v="39"/>
  </r>
  <r>
    <n v="14540"/>
    <n v="79000"/>
    <x v="355"/>
    <n v="24"/>
    <n v="24"/>
    <n v="24"/>
    <n v="514344"/>
    <d v="2010-07-01T15:08:00"/>
    <n v="0.85"/>
    <n v="0.85"/>
    <d v="2010-07-01T00:00:00"/>
    <d v="1899-12-30T03:08:00"/>
    <s v="PM"/>
    <s v="3:08 PM"/>
    <x v="0"/>
    <n v="20.399999999999999"/>
  </r>
  <r>
    <n v="17686"/>
    <n v="22061"/>
    <x v="356"/>
    <n v="4"/>
    <n v="4"/>
    <n v="4"/>
    <n v="513335"/>
    <d v="2010-06-24T09:49:00"/>
    <n v="9.9499999999999993"/>
    <n v="9.9499999999999993"/>
    <d v="2010-06-24T00:00:00"/>
    <d v="1899-12-30T09:49:00"/>
    <s v="AM"/>
    <s v="9:49 AM"/>
    <x v="0"/>
    <n v="39.799999999999997"/>
  </r>
  <r>
    <n v="14293"/>
    <n v="21934"/>
    <x v="357"/>
    <n v="10"/>
    <n v="10"/>
    <n v="10"/>
    <n v="534109"/>
    <d v="2010-11-21T12:09:00"/>
    <n v="1.65"/>
    <n v="1.65"/>
    <d v="2010-11-21T00:00:00"/>
    <d v="1899-12-30T12:09:00"/>
    <s v="PM"/>
    <s v="12:09 PM"/>
    <x v="0"/>
    <n v="16.5"/>
  </r>
  <r>
    <n v="14052"/>
    <n v="22632"/>
    <x v="358"/>
    <n v="1"/>
    <n v="1"/>
    <n v="1"/>
    <n v="532665"/>
    <d v="2010-11-14T11:37:00"/>
    <n v="2.1"/>
    <n v="2.1"/>
    <d v="2010-11-14T00:00:00"/>
    <d v="1899-12-30T11:37:00"/>
    <s v="AM"/>
    <s v="11:37 AM"/>
    <x v="0"/>
    <n v="2.1"/>
  </r>
  <r>
    <n v="16089"/>
    <n v="21892"/>
    <x v="55"/>
    <n v="1"/>
    <n v="1"/>
    <n v="1"/>
    <n v="533736"/>
    <d v="2010-11-18T13:51:00"/>
    <n v="1.25"/>
    <n v="1.25"/>
    <d v="2010-11-18T00:00:00"/>
    <d v="1899-12-30T01:51:00"/>
    <s v="PM"/>
    <s v="1:51 PM"/>
    <x v="0"/>
    <n v="1.25"/>
  </r>
  <r>
    <n v="14667"/>
    <n v="22465"/>
    <x v="359"/>
    <n v="6"/>
    <n v="6"/>
    <n v="6"/>
    <n v="521791"/>
    <d v="2010-09-08T13:30:00"/>
    <n v="1.65"/>
    <n v="1.65"/>
    <d v="2010-09-08T00:00:00"/>
    <d v="1899-12-30T01:30:00"/>
    <s v="PM"/>
    <s v="1:30 PM"/>
    <x v="0"/>
    <n v="9.8999999999999986"/>
  </r>
  <r>
    <n v="17784"/>
    <n v="22431"/>
    <x v="360"/>
    <n v="1"/>
    <n v="1"/>
    <n v="1"/>
    <n v="511310"/>
    <d v="2010-06-07T16:08:00"/>
    <n v="1.95"/>
    <n v="1.95"/>
    <d v="2010-06-07T00:00:00"/>
    <d v="1899-12-30T04:08:00"/>
    <s v="PM"/>
    <s v="4:08 PM"/>
    <x v="0"/>
    <n v="1.95"/>
  </r>
  <r>
    <n v="12748"/>
    <n v="21351"/>
    <x v="361"/>
    <n v="18"/>
    <n v="18"/>
    <n v="18"/>
    <n v="537136"/>
    <d v="2010-12-05T12:42:00"/>
    <n v="5.95"/>
    <n v="5.95"/>
    <d v="2010-12-05T00:00:00"/>
    <d v="1899-12-30T12:42:00"/>
    <s v="PM"/>
    <s v="12:42 PM"/>
    <x v="0"/>
    <n v="107.10000000000001"/>
  </r>
  <r>
    <n v="14606"/>
    <n v="84380"/>
    <x v="82"/>
    <n v="1"/>
    <n v="1"/>
    <n v="1"/>
    <n v="534216"/>
    <d v="2010-11-21T16:08:00"/>
    <n v="1.25"/>
    <n v="1.25"/>
    <d v="2010-11-21T00:00:00"/>
    <d v="1899-12-30T04:08:00"/>
    <s v="PM"/>
    <s v="4:08 PM"/>
    <x v="0"/>
    <n v="1.25"/>
  </r>
  <r>
    <n v="16422"/>
    <n v="22127"/>
    <x v="362"/>
    <n v="120"/>
    <n v="120"/>
    <n v="120"/>
    <n v="514797"/>
    <d v="2010-07-06T10:37:00"/>
    <n v="1.06"/>
    <n v="1.06"/>
    <d v="2010-07-06T00:00:00"/>
    <d v="1899-12-30T10:37:00"/>
    <s v="AM"/>
    <s v="10:37 AM"/>
    <x v="0"/>
    <n v="127.2"/>
  </r>
  <r>
    <n v="17567"/>
    <n v="22077"/>
    <x v="140"/>
    <n v="12"/>
    <n v="12"/>
    <n v="12"/>
    <n v="536782"/>
    <d v="2010-12-02T15:18:00"/>
    <n v="1.65"/>
    <n v="1.65"/>
    <d v="2010-12-02T00:00:00"/>
    <d v="1899-12-30T03:18:00"/>
    <s v="PM"/>
    <s v="3:18 PM"/>
    <x v="0"/>
    <n v="19.799999999999997"/>
  </r>
  <r>
    <n v="14599"/>
    <n v="21707"/>
    <x v="363"/>
    <n v="2"/>
    <n v="2"/>
    <n v="2"/>
    <n v="532799"/>
    <d v="2010-11-14T14:49:00"/>
    <n v="4.95"/>
    <n v="4.95"/>
    <d v="2010-11-14T00:00:00"/>
    <d v="1899-12-30T02:49:00"/>
    <s v="PM"/>
    <s v="2:49 PM"/>
    <x v="0"/>
    <n v="9.9"/>
  </r>
  <r>
    <n v="14508"/>
    <n v="22482"/>
    <x v="228"/>
    <n v="1"/>
    <n v="1"/>
    <n v="1"/>
    <n v="512725"/>
    <d v="2010-06-17T13:09:00"/>
    <n v="1.25"/>
    <n v="1.25"/>
    <d v="2010-06-17T00:00:00"/>
    <d v="1899-12-30T01:09:00"/>
    <s v="PM"/>
    <s v="1:09 PM"/>
    <x v="0"/>
    <n v="1.25"/>
  </r>
  <r>
    <n v="16141"/>
    <s v="84029E"/>
    <x v="364"/>
    <n v="4"/>
    <n v="4"/>
    <n v="4"/>
    <n v="527657"/>
    <d v="2010-10-18T14:12:00"/>
    <n v="3.75"/>
    <n v="3.75"/>
    <d v="2010-10-18T00:00:00"/>
    <d v="1899-12-30T02:12:00"/>
    <s v="PM"/>
    <s v="2:12 PM"/>
    <x v="0"/>
    <n v="15"/>
  </r>
  <r>
    <n v="16779"/>
    <s v="72802C"/>
    <x v="365"/>
    <n v="6"/>
    <n v="6"/>
    <n v="6"/>
    <n v="492358"/>
    <d v="2009-12-16T13:22:00"/>
    <n v="4.25"/>
    <n v="4.25"/>
    <d v="2009-12-16T00:00:00"/>
    <d v="1899-12-30T01:22:00"/>
    <s v="PM"/>
    <s v="1:22 PM"/>
    <x v="0"/>
    <n v="25.5"/>
  </r>
  <r>
    <n v="17841"/>
    <n v="20652"/>
    <x v="366"/>
    <n v="1"/>
    <n v="1"/>
    <n v="1"/>
    <n v="501280"/>
    <d v="2010-03-15T14:13:00"/>
    <n v="1.25"/>
    <n v="1.25"/>
    <d v="2010-03-15T00:00:00"/>
    <d v="1899-12-30T02:13:00"/>
    <s v="PM"/>
    <s v="2:13 PM"/>
    <x v="0"/>
    <n v="1.25"/>
  </r>
  <r>
    <n v="16029"/>
    <n v="22063"/>
    <x v="367"/>
    <n v="72"/>
    <n v="72"/>
    <n v="72"/>
    <n v="497742"/>
    <d v="2010-02-12T10:45:00"/>
    <n v="2.5499999999999998"/>
    <n v="2.5499999999999998"/>
    <d v="2010-02-12T00:00:00"/>
    <d v="1899-12-30T10:45:00"/>
    <s v="AM"/>
    <s v="10:45 AM"/>
    <x v="0"/>
    <n v="183.6"/>
  </r>
  <r>
    <n v="15270"/>
    <n v="22589"/>
    <x v="368"/>
    <n v="12"/>
    <n v="12"/>
    <n v="12"/>
    <n v="524152"/>
    <d v="2010-09-27T15:43:00"/>
    <n v="2.5499999999999998"/>
    <n v="2.5499999999999998"/>
    <d v="2010-09-27T00:00:00"/>
    <d v="1899-12-30T03:43:00"/>
    <s v="PM"/>
    <s v="3:43 PM"/>
    <x v="0"/>
    <n v="30.599999999999998"/>
  </r>
  <r>
    <n v="15311"/>
    <n v="21955"/>
    <x v="369"/>
    <n v="10"/>
    <n v="10"/>
    <n v="10"/>
    <n v="489514"/>
    <d v="2009-12-01T11:21:00"/>
    <n v="5.95"/>
    <n v="5.95"/>
    <d v="2009-12-01T00:00:00"/>
    <d v="1899-12-30T11:21:00"/>
    <s v="AM"/>
    <s v="11:21 AM"/>
    <x v="0"/>
    <n v="59.5"/>
  </r>
  <r>
    <n v="13804"/>
    <n v="21445"/>
    <x v="370"/>
    <n v="12"/>
    <n v="12"/>
    <n v="12"/>
    <n v="524421"/>
    <d v="2010-09-29T10:26:00"/>
    <n v="1.25"/>
    <n v="1.25"/>
    <d v="2010-09-29T00:00:00"/>
    <d v="1899-12-30T10:26:00"/>
    <s v="AM"/>
    <s v="10:26 AM"/>
    <x v="0"/>
    <n v="15"/>
  </r>
  <r>
    <n v="13381"/>
    <n v="22138"/>
    <x v="24"/>
    <n v="6"/>
    <n v="6"/>
    <n v="6"/>
    <n v="498047"/>
    <d v="2010-02-16T10:45:00"/>
    <n v="4.95"/>
    <n v="4.95"/>
    <d v="2010-02-16T00:00:00"/>
    <d v="1899-12-30T10:45:00"/>
    <s v="AM"/>
    <s v="10:45 AM"/>
    <x v="0"/>
    <n v="29.700000000000003"/>
  </r>
  <r>
    <n v="15862"/>
    <n v="21915"/>
    <x v="256"/>
    <n v="12"/>
    <n v="12"/>
    <n v="12"/>
    <n v="507889"/>
    <d v="2010-05-11T16:35:00"/>
    <n v="1.25"/>
    <n v="1.25"/>
    <d v="2010-05-11T00:00:00"/>
    <d v="1899-12-30T04:35:00"/>
    <s v="PM"/>
    <s v="4:35 PM"/>
    <x v="0"/>
    <n v="15"/>
  </r>
  <r>
    <n v="16229"/>
    <n v="22350"/>
    <x v="371"/>
    <n v="6"/>
    <n v="6"/>
    <n v="6"/>
    <n v="534517"/>
    <d v="2010-11-23T12:01:00"/>
    <n v="2.5499999999999998"/>
    <n v="2.5499999999999998"/>
    <d v="2010-11-23T00:00:00"/>
    <d v="1899-12-30T12:01:00"/>
    <s v="PM"/>
    <s v="12:01 PM"/>
    <x v="0"/>
    <n v="15.299999999999999"/>
  </r>
  <r>
    <n v="15800"/>
    <n v="21099"/>
    <x v="372"/>
    <n v="2"/>
    <n v="2"/>
    <n v="2"/>
    <n v="503348"/>
    <d v="2010-03-31T13:29:00"/>
    <n v="0.65"/>
    <n v="0.65"/>
    <d v="2010-03-31T00:00:00"/>
    <d v="1899-12-30T01:29:00"/>
    <s v="PM"/>
    <s v="1:29 PM"/>
    <x v="0"/>
    <n v="1.3"/>
  </r>
  <r>
    <n v="13593"/>
    <n v="21231"/>
    <x v="373"/>
    <n v="6"/>
    <n v="6"/>
    <n v="6"/>
    <n v="514993"/>
    <d v="2010-07-07T14:32:00"/>
    <n v="1.25"/>
    <n v="1.25"/>
    <d v="2010-07-07T00:00:00"/>
    <d v="1899-12-30T02:32:00"/>
    <s v="PM"/>
    <s v="2:32 PM"/>
    <x v="0"/>
    <n v="7.5"/>
  </r>
  <r>
    <s v="18226"/>
    <n v="21623"/>
    <x v="374"/>
    <n v="2"/>
    <n v="2"/>
    <n v="2"/>
    <n v="510488"/>
    <d v="2010-06-01T12:00:00"/>
    <n v="9.9499999999999993"/>
    <n v="9.9499999999999993"/>
    <d v="2010-06-01T00:00:00"/>
    <d v="1899-12-30T12:00:00"/>
    <s v="PM"/>
    <s v="12:00 PM"/>
    <x v="0"/>
    <n v="19.899999999999999"/>
  </r>
  <r>
    <n v="16950"/>
    <n v="21825"/>
    <x v="375"/>
    <n v="24"/>
    <n v="24"/>
    <n v="24"/>
    <n v="516158"/>
    <d v="2010-07-18T11:49:00"/>
    <n v="1.45"/>
    <n v="1.45"/>
    <d v="2010-07-18T00:00:00"/>
    <d v="1899-12-30T11:49:00"/>
    <s v="AM"/>
    <s v="11:49 AM"/>
    <x v="0"/>
    <n v="34.799999999999997"/>
  </r>
  <r>
    <n v="14343"/>
    <n v="21212"/>
    <x v="376"/>
    <n v="2"/>
    <n v="2"/>
    <n v="2"/>
    <n v="527053"/>
    <d v="2010-10-14T13:05:00"/>
    <n v="0.55000000000000004"/>
    <n v="0.55000000000000004"/>
    <d v="2010-10-14T00:00:00"/>
    <d v="1899-12-30T01:05:00"/>
    <s v="PM"/>
    <s v="1:05 PM"/>
    <x v="0"/>
    <n v="1.1000000000000001"/>
  </r>
  <r>
    <n v="16471"/>
    <n v="21181"/>
    <x v="377"/>
    <n v="12"/>
    <n v="12"/>
    <n v="12"/>
    <n v="532336"/>
    <d v="2010-11-11T15:47:00"/>
    <n v="2.1"/>
    <n v="2.1"/>
    <d v="2010-11-11T00:00:00"/>
    <d v="1899-12-30T03:47:00"/>
    <s v="PM"/>
    <s v="3:47 PM"/>
    <x v="0"/>
    <n v="25.200000000000003"/>
  </r>
  <r>
    <n v="15268"/>
    <n v="22423"/>
    <x v="378"/>
    <n v="10"/>
    <n v="10"/>
    <n v="10"/>
    <n v="519539"/>
    <d v="2010-08-18T10:33:00"/>
    <n v="12.75"/>
    <n v="12.75"/>
    <d v="2010-08-18T00:00:00"/>
    <d v="1899-12-30T10:33:00"/>
    <s v="AM"/>
    <s v="10:33 AM"/>
    <x v="0"/>
    <n v="127.5"/>
  </r>
  <r>
    <n v="12748"/>
    <n v="20771"/>
    <x v="379"/>
    <n v="1"/>
    <n v="1"/>
    <n v="1"/>
    <n v="523005"/>
    <d v="2010-09-19T16:20:00"/>
    <n v="2.5499999999999998"/>
    <n v="2.5499999999999998"/>
    <d v="2010-09-19T00:00:00"/>
    <d v="1899-12-30T04:20:00"/>
    <s v="PM"/>
    <s v="4:20 PM"/>
    <x v="0"/>
    <n v="2.5499999999999998"/>
  </r>
  <r>
    <n v="15039"/>
    <s v="84997C"/>
    <x v="293"/>
    <n v="2"/>
    <n v="2"/>
    <n v="2"/>
    <n v="535953"/>
    <d v="2010-11-29T12:13:00"/>
    <n v="3.75"/>
    <n v="3.75"/>
    <d v="2010-11-29T00:00:00"/>
    <d v="1899-12-30T12:13:00"/>
    <s v="PM"/>
    <s v="12:13 PM"/>
    <x v="0"/>
    <n v="7.5"/>
  </r>
  <r>
    <n v="16013"/>
    <n v="20738"/>
    <x v="380"/>
    <n v="100"/>
    <n v="100"/>
    <n v="100"/>
    <n v="522134"/>
    <d v="2010-09-13T10:01:00"/>
    <n v="0.85"/>
    <n v="0.85"/>
    <d v="2010-09-13T00:00:00"/>
    <d v="1899-12-30T10:01:00"/>
    <s v="AM"/>
    <s v="10:01 AM"/>
    <x v="0"/>
    <n v="85"/>
  </r>
  <r>
    <n v="13623"/>
    <n v="21154"/>
    <x v="381"/>
    <n v="2"/>
    <n v="2"/>
    <n v="2"/>
    <n v="489830"/>
    <d v="2009-12-02T13:57:00"/>
    <n v="1.25"/>
    <n v="1.25"/>
    <d v="2009-12-02T00:00:00"/>
    <d v="1899-12-30T01:57:00"/>
    <s v="PM"/>
    <s v="1:57 PM"/>
    <x v="0"/>
    <n v="2.5"/>
  </r>
  <r>
    <n v="15034"/>
    <s v="79192A"/>
    <x v="382"/>
    <n v="2"/>
    <n v="2"/>
    <n v="2"/>
    <n v="530998"/>
    <d v="2010-11-05T11:17:00"/>
    <n v="1.25"/>
    <n v="1.25"/>
    <d v="2010-11-05T00:00:00"/>
    <d v="1899-12-30T11:17:00"/>
    <s v="AM"/>
    <s v="11:17 AM"/>
    <x v="0"/>
    <n v="2.5"/>
  </r>
  <r>
    <n v="18160"/>
    <n v="22188"/>
    <x v="383"/>
    <n v="4"/>
    <n v="4"/>
    <n v="4"/>
    <n v="533783"/>
    <d v="2010-11-18T16:33:00"/>
    <n v="3.95"/>
    <n v="3.95"/>
    <d v="2010-11-18T00:00:00"/>
    <d v="1899-12-30T04:33:00"/>
    <s v="PM"/>
    <s v="4:33 PM"/>
    <x v="0"/>
    <n v="15.8"/>
  </r>
  <r>
    <n v="13714"/>
    <n v="21488"/>
    <x v="384"/>
    <n v="1"/>
    <n v="1"/>
    <n v="1"/>
    <n v="520861"/>
    <d v="2010-08-31T13:57:00"/>
    <n v="3.95"/>
    <n v="3.95"/>
    <d v="2010-08-31T00:00:00"/>
    <d v="1899-12-30T01:57:00"/>
    <s v="PM"/>
    <s v="1:57 PM"/>
    <x v="0"/>
    <n v="3.95"/>
  </r>
  <r>
    <n v="12476"/>
    <n v="22847"/>
    <x v="385"/>
    <n v="2"/>
    <n v="2"/>
    <n v="2"/>
    <n v="527777"/>
    <d v="2010-10-19T11:01:00"/>
    <n v="16.95"/>
    <n v="16.95"/>
    <d v="2010-10-19T00:00:00"/>
    <d v="1899-12-30T11:01:00"/>
    <s v="AM"/>
    <s v="11:01 AM"/>
    <x v="2"/>
    <n v="33.9"/>
  </r>
  <r>
    <n v="15003"/>
    <n v="21944"/>
    <x v="386"/>
    <n v="1"/>
    <n v="1"/>
    <n v="1"/>
    <n v="496644"/>
    <d v="2010-02-03T11:58:00"/>
    <n v="0.85"/>
    <n v="0.85"/>
    <d v="2010-02-03T00:00:00"/>
    <d v="1899-12-30T11:58:00"/>
    <s v="AM"/>
    <s v="11:58 AM"/>
    <x v="0"/>
    <n v="0.85"/>
  </r>
  <r>
    <n v="14110"/>
    <n v="20723"/>
    <x v="387"/>
    <n v="10"/>
    <n v="10"/>
    <n v="10"/>
    <n v="506754"/>
    <d v="2010-05-04T11:51:00"/>
    <n v="0.85"/>
    <n v="0.85"/>
    <d v="2010-05-04T00:00:00"/>
    <d v="1899-12-30T11:51:00"/>
    <s v="AM"/>
    <s v="11:51 AM"/>
    <x v="0"/>
    <n v="8.5"/>
  </r>
  <r>
    <n v="15666"/>
    <n v="21054"/>
    <x v="388"/>
    <n v="2"/>
    <n v="2"/>
    <n v="2"/>
    <n v="520207"/>
    <d v="2010-08-24T16:14:00"/>
    <n v="8.9499999999999993"/>
    <n v="8.9499999999999993"/>
    <d v="2010-08-24T00:00:00"/>
    <d v="1899-12-30T04:14:00"/>
    <s v="PM"/>
    <s v="4:14 PM"/>
    <x v="0"/>
    <n v="17.899999999999999"/>
  </r>
  <r>
    <n v="16120"/>
    <n v="22553"/>
    <x v="189"/>
    <n v="1"/>
    <n v="1"/>
    <n v="1"/>
    <n v="526906"/>
    <d v="2010-10-13T15:22:00"/>
    <n v="1.65"/>
    <n v="1.65"/>
    <d v="2010-10-13T00:00:00"/>
    <d v="1899-12-30T03:22:00"/>
    <s v="PM"/>
    <s v="3:22 PM"/>
    <x v="0"/>
    <n v="1.65"/>
  </r>
  <r>
    <n v="15061"/>
    <n v="22023"/>
    <x v="389"/>
    <n v="24"/>
    <n v="24"/>
    <n v="24"/>
    <n v="522276"/>
    <d v="2010-09-13T12:47:00"/>
    <n v="0.36"/>
    <n v="0.36"/>
    <d v="2010-09-13T00:00:00"/>
    <d v="1899-12-30T12:47:00"/>
    <s v="PM"/>
    <s v="12:47 PM"/>
    <x v="0"/>
    <n v="8.64"/>
  </r>
  <r>
    <n v="12356"/>
    <n v="22956"/>
    <x v="177"/>
    <n v="48"/>
    <n v="48"/>
    <n v="48"/>
    <n v="532305"/>
    <d v="2010-11-11T14:23:00"/>
    <n v="1.85"/>
    <n v="1.85"/>
    <d v="2010-11-11T00:00:00"/>
    <d v="1899-12-30T02:23:00"/>
    <s v="PM"/>
    <s v="2:23 PM"/>
    <x v="13"/>
    <n v="88.800000000000011"/>
  </r>
  <r>
    <n v="18260"/>
    <n v="22600"/>
    <x v="269"/>
    <n v="12"/>
    <n v="12"/>
    <n v="12"/>
    <n v="536182"/>
    <d v="2010-11-30T12:25:00"/>
    <n v="0.85"/>
    <n v="0.85"/>
    <d v="2010-11-30T00:00:00"/>
    <d v="1899-12-30T12:25:00"/>
    <s v="PM"/>
    <s v="12:25 PM"/>
    <x v="0"/>
    <n v="10.199999999999999"/>
  </r>
  <r>
    <n v="14844"/>
    <n v="20972"/>
    <x v="390"/>
    <n v="24"/>
    <n v="24"/>
    <n v="24"/>
    <n v="525401"/>
    <d v="2010-10-05T11:52:00"/>
    <n v="1.25"/>
    <n v="1.25"/>
    <d v="2010-10-05T00:00:00"/>
    <d v="1899-12-30T11:52:00"/>
    <s v="AM"/>
    <s v="11:52 AM"/>
    <x v="0"/>
    <n v="30"/>
  </r>
  <r>
    <n v="16782"/>
    <n v="21561"/>
    <x v="391"/>
    <n v="1"/>
    <n v="1"/>
    <n v="1"/>
    <n v="534788"/>
    <d v="2010-11-24T11:25:00"/>
    <n v="2.5499999999999998"/>
    <n v="2.5499999999999998"/>
    <d v="2010-11-24T00:00:00"/>
    <d v="1899-12-30T11:25:00"/>
    <s v="AM"/>
    <s v="11:25 AM"/>
    <x v="0"/>
    <n v="2.5499999999999998"/>
  </r>
  <r>
    <n v="17841"/>
    <s v="84078A"/>
    <x v="392"/>
    <n v="4"/>
    <n v="4"/>
    <n v="4"/>
    <n v="509743"/>
    <d v="2010-05-25T13:21:00"/>
    <s v="34.95"/>
    <n v="34.950000000000003"/>
    <d v="2010-05-25T00:00:00"/>
    <d v="1899-12-30T01:21:00"/>
    <s v="PM"/>
    <s v="1:21 PM"/>
    <x v="0"/>
    <n v="139.80000000000001"/>
  </r>
  <r>
    <n v="13503"/>
    <n v="22348"/>
    <x v="393"/>
    <n v="4"/>
    <n v="4"/>
    <n v="4"/>
    <n v="498104"/>
    <d v="2010-02-16T13:49:00"/>
    <n v="0.85"/>
    <n v="0.85"/>
    <d v="2010-02-16T00:00:00"/>
    <d v="1899-12-30T01:49:00"/>
    <s v="PM"/>
    <s v="1:49 PM"/>
    <x v="0"/>
    <n v="3.4"/>
  </r>
  <r>
    <n v="12495"/>
    <n v="21210"/>
    <x v="394"/>
    <n v="12"/>
    <n v="12"/>
    <n v="12"/>
    <n v="500639"/>
    <d v="2010-03-09T10:53:00"/>
    <n v="1.45"/>
    <n v="1.45"/>
    <d v="2010-03-09T00:00:00"/>
    <d v="1899-12-30T10:53:00"/>
    <s v="AM"/>
    <s v="10:53 AM"/>
    <x v="18"/>
    <n v="17.399999999999999"/>
  </r>
  <r>
    <n v="12721"/>
    <n v="84050"/>
    <x v="395"/>
    <n v="6"/>
    <n v="6"/>
    <n v="6"/>
    <n v="534030"/>
    <d v="2010-11-19T15:13:00"/>
    <n v="1.65"/>
    <n v="1.65"/>
    <d v="2010-11-19T00:00:00"/>
    <d v="1899-12-30T03:13:00"/>
    <s v="PM"/>
    <s v="3:13 PM"/>
    <x v="3"/>
    <n v="9.8999999999999986"/>
  </r>
  <r>
    <n v="16470"/>
    <n v="21174"/>
    <x v="396"/>
    <n v="1"/>
    <n v="1"/>
    <n v="1"/>
    <n v="522273"/>
    <d v="2010-09-13T12:41:00"/>
    <n v="1.95"/>
    <n v="1.95"/>
    <d v="2010-09-13T00:00:00"/>
    <d v="1899-12-30T12:41:00"/>
    <s v="PM"/>
    <s v="12:41 PM"/>
    <x v="0"/>
    <n v="1.95"/>
  </r>
  <r>
    <n v="18275"/>
    <s v="62094B"/>
    <x v="397"/>
    <n v="25"/>
    <n v="25"/>
    <n v="25"/>
    <n v="507647"/>
    <d v="2010-05-10T15:46:00"/>
    <n v="0.85"/>
    <n v="0.85"/>
    <d v="2010-05-10T00:00:00"/>
    <d v="1899-12-30T03:46:00"/>
    <s v="PM"/>
    <s v="3:46 PM"/>
    <x v="0"/>
    <n v="21.25"/>
  </r>
  <r>
    <n v="16126"/>
    <n v="21621"/>
    <x v="398"/>
    <n v="20"/>
    <n v="20"/>
    <n v="20"/>
    <n v="514839"/>
    <d v="2010-07-06T14:46:00"/>
    <n v="8.5"/>
    <n v="8.5"/>
    <d v="2010-07-06T00:00:00"/>
    <d v="1899-12-30T02:46:00"/>
    <s v="PM"/>
    <s v="2:46 PM"/>
    <x v="0"/>
    <n v="170"/>
  </r>
  <r>
    <n v="17612"/>
    <n v="20702"/>
    <x v="399"/>
    <n v="3"/>
    <n v="3"/>
    <n v="3"/>
    <n v="492517"/>
    <d v="2009-12-17T11:59:00"/>
    <n v="4.25"/>
    <n v="4.25"/>
    <d v="2009-12-17T00:00:00"/>
    <d v="1899-12-30T11:59:00"/>
    <s v="AM"/>
    <s v="11:59 AM"/>
    <x v="0"/>
    <n v="12.75"/>
  </r>
  <r>
    <n v="15179"/>
    <n v="22046"/>
    <x v="400"/>
    <n v="25"/>
    <n v="25"/>
    <n v="25"/>
    <n v="495244"/>
    <d v="2010-01-22T10:51:00"/>
    <n v="0.42"/>
    <n v="0.42"/>
    <d v="2010-01-22T00:00:00"/>
    <d v="1899-12-30T10:51:00"/>
    <s v="AM"/>
    <s v="10:51 AM"/>
    <x v="0"/>
    <n v="10.5"/>
  </r>
  <r>
    <n v="16126"/>
    <s v="72760B"/>
    <x v="268"/>
    <n v="2"/>
    <n v="2"/>
    <n v="2"/>
    <n v="526575"/>
    <d v="2010-10-12T11:48:00"/>
    <n v="9.9499999999999993"/>
    <n v="9.9499999999999993"/>
    <d v="2010-10-12T00:00:00"/>
    <d v="1899-12-30T11:48:00"/>
    <s v="AM"/>
    <s v="11:48 AM"/>
    <x v="0"/>
    <n v="19.899999999999999"/>
  </r>
  <r>
    <n v="14684"/>
    <s v="84032A"/>
    <x v="401"/>
    <n v="1"/>
    <n v="1"/>
    <n v="1"/>
    <n v="532764"/>
    <d v="2010-11-14T14:07:00"/>
    <n v="2.95"/>
    <n v="2.95"/>
    <d v="2010-11-14T00:00:00"/>
    <d v="1899-12-30T02:07:00"/>
    <s v="PM"/>
    <s v="2:07 PM"/>
    <x v="0"/>
    <n v="2.95"/>
  </r>
  <r>
    <n v="14258"/>
    <n v="37503"/>
    <x v="209"/>
    <n v="6"/>
    <n v="6"/>
    <n v="6"/>
    <n v="490142"/>
    <d v="2009-12-04T08:36:00"/>
    <n v="10.75"/>
    <n v="10.75"/>
    <d v="2009-12-04T00:00:00"/>
    <d v="1899-12-30T08:36:00"/>
    <s v="AM"/>
    <s v="8:36 AM"/>
    <x v="0"/>
    <n v="64.5"/>
  </r>
  <r>
    <n v="13448"/>
    <n v="22312"/>
    <x v="402"/>
    <n v="3"/>
    <n v="3"/>
    <n v="3"/>
    <n v="524099"/>
    <d v="2010-09-27T12:24:00"/>
    <n v="2.95"/>
    <n v="2.95"/>
    <d v="2010-09-27T00:00:00"/>
    <d v="1899-12-30T12:24:00"/>
    <s v="PM"/>
    <s v="12:24 PM"/>
    <x v="0"/>
    <n v="8.8500000000000014"/>
  </r>
  <r>
    <n v="15379"/>
    <n v="22553"/>
    <x v="189"/>
    <n v="12"/>
    <n v="12"/>
    <n v="12"/>
    <n v="530763"/>
    <d v="2010-11-04T11:59:00"/>
    <n v="1.65"/>
    <n v="1.65"/>
    <d v="2010-11-04T00:00:00"/>
    <d v="1899-12-30T11:59:00"/>
    <s v="AM"/>
    <s v="11:59 AM"/>
    <x v="0"/>
    <n v="19.799999999999997"/>
  </r>
  <r>
    <n v="14040"/>
    <n v="21731"/>
    <x v="62"/>
    <n v="1"/>
    <n v="1"/>
    <n v="1"/>
    <n v="520885"/>
    <d v="2010-08-31T16:21:00"/>
    <s v="1.65"/>
    <n v="1.65"/>
    <d v="2010-08-31T00:00:00"/>
    <d v="1899-12-30T04:21:00"/>
    <s v="PM"/>
    <s v="4:21 PM"/>
    <x v="0"/>
    <n v="1.65"/>
  </r>
  <r>
    <n v="12708"/>
    <n v="21578"/>
    <x v="403"/>
    <n v="12"/>
    <n v="12"/>
    <n v="12"/>
    <n v="506578"/>
    <d v="2010-04-30T13:52:00"/>
    <n v="2.25"/>
    <n v="2.25"/>
    <d v="2010-04-30T00:00:00"/>
    <d v="1899-12-30T01:52:00"/>
    <s v="PM"/>
    <s v="1:52 PM"/>
    <x v="2"/>
    <n v="27"/>
  </r>
  <r>
    <n v="17797"/>
    <s v="85231B"/>
    <x v="315"/>
    <n v="4"/>
    <n v="4"/>
    <n v="4"/>
    <n v="492153"/>
    <d v="2009-12-15T14:30:00"/>
    <s v="0.85"/>
    <n v="0.85"/>
    <d v="2009-12-15T00:00:00"/>
    <d v="1899-12-30T02:30:00"/>
    <s v="PM"/>
    <s v="2:30 PM"/>
    <x v="0"/>
    <n v="3.4"/>
  </r>
  <r>
    <n v="14606"/>
    <n v="21427"/>
    <x v="404"/>
    <n v="3"/>
    <n v="3"/>
    <n v="3"/>
    <n v="508721"/>
    <d v="2010-05-17T17:24:00"/>
    <n v="2.1"/>
    <n v="2.1"/>
    <d v="2010-05-17T00:00:00"/>
    <d v="1899-12-30T05:24:00"/>
    <s v="PM"/>
    <s v="5:24 PM"/>
    <x v="0"/>
    <n v="6.3000000000000007"/>
  </r>
  <r>
    <n v="12748"/>
    <n v="21645"/>
    <x v="405"/>
    <n v="1"/>
    <n v="1"/>
    <n v="1"/>
    <n v="507420"/>
    <d v="2010-05-09T15:06:00"/>
    <n v="1.65"/>
    <n v="1.65"/>
    <d v="2010-05-09T00:00:00"/>
    <d v="1899-12-30T03:06:00"/>
    <s v="PM"/>
    <s v="3:06 PM"/>
    <x v="0"/>
    <n v="1.65"/>
  </r>
  <r>
    <n v="16241"/>
    <n v="22910"/>
    <x v="406"/>
    <n v="2"/>
    <n v="2"/>
    <n v="2"/>
    <n v="534164"/>
    <d v="2010-11-21T13:13:00"/>
    <n v="2.95"/>
    <n v="2.95"/>
    <d v="2010-11-21T00:00:00"/>
    <d v="1899-12-30T01:13:00"/>
    <s v="PM"/>
    <s v="1:13 PM"/>
    <x v="0"/>
    <n v="5.9"/>
  </r>
  <r>
    <n v="16722"/>
    <s v="62096A"/>
    <x v="407"/>
    <n v="6"/>
    <n v="6"/>
    <n v="6"/>
    <n v="537850"/>
    <d v="2010-12-08T15:38:00"/>
    <n v="1.25"/>
    <n v="1.25"/>
    <d v="2010-12-08T00:00:00"/>
    <d v="1899-12-30T03:38:00"/>
    <s v="PM"/>
    <s v="3:38 PM"/>
    <x v="0"/>
    <n v="7.5"/>
  </r>
  <r>
    <n v="13412"/>
    <n v="21260"/>
    <x v="145"/>
    <n v="2"/>
    <n v="2"/>
    <n v="2"/>
    <n v="503060"/>
    <d v="2010-03-29T16:28:00"/>
    <n v="3.25"/>
    <n v="3.25"/>
    <d v="2010-03-29T00:00:00"/>
    <d v="1899-12-30T04:28:00"/>
    <s v="PM"/>
    <s v="4:28 PM"/>
    <x v="0"/>
    <n v="6.5"/>
  </r>
  <r>
    <n v="17243"/>
    <n v="22112"/>
    <x v="142"/>
    <n v="2"/>
    <n v="2"/>
    <n v="2"/>
    <n v="521898"/>
    <d v="2010-09-09T12:24:00"/>
    <n v="4.95"/>
    <n v="4.95"/>
    <d v="2010-09-09T00:00:00"/>
    <d v="1899-12-30T12:24:00"/>
    <s v="PM"/>
    <s v="12:24 PM"/>
    <x v="0"/>
    <n v="9.9"/>
  </r>
  <r>
    <n v="16844"/>
    <n v="47566"/>
    <x v="31"/>
    <n v="5"/>
    <n v="5"/>
    <s v="5"/>
    <n v="509865"/>
    <d v="2010-05-26T10:29:00"/>
    <n v="4.6500000000000004"/>
    <n v="4.6500000000000004"/>
    <d v="2010-05-26T00:00:00"/>
    <d v="1899-12-30T10:29:00"/>
    <s v="AM"/>
    <s v="10:29 AM"/>
    <x v="0"/>
    <n v="23.25"/>
  </r>
  <r>
    <n v="14606"/>
    <n v="21577"/>
    <x v="408"/>
    <n v="1"/>
    <n v="1"/>
    <n v="1"/>
    <n v="510443"/>
    <d v="2010-05-30T15:27:00"/>
    <n v="2.25"/>
    <n v="2.25"/>
    <d v="2010-05-30T00:00:00"/>
    <d v="1899-12-30T03:27:00"/>
    <s v="PM"/>
    <s v="3:27 PM"/>
    <x v="0"/>
    <n v="2.25"/>
  </r>
  <r>
    <n v="16735"/>
    <n v="22112"/>
    <x v="142"/>
    <n v="3"/>
    <n v="3"/>
    <n v="3"/>
    <n v="532325"/>
    <d v="2010-11-11T15:25:00"/>
    <n v="4.95"/>
    <n v="4.95"/>
    <d v="2010-11-11T00:00:00"/>
    <d v="1899-12-30T03:25:00"/>
    <s v="PM"/>
    <s v="3:25 PM"/>
    <x v="0"/>
    <n v="14.850000000000001"/>
  </r>
  <r>
    <n v="15738"/>
    <n v="22090"/>
    <x v="409"/>
    <n v="6"/>
    <n v="6"/>
    <n v="6"/>
    <n v="506258"/>
    <d v="2010-04-28T14:25:00"/>
    <n v="2.95"/>
    <n v="2.95"/>
    <d v="2010-04-28T00:00:00"/>
    <d v="1899-12-30T02:25:00"/>
    <s v="PM"/>
    <s v="2:25 PM"/>
    <x v="0"/>
    <n v="17.700000000000003"/>
  </r>
  <r>
    <n v="14606"/>
    <n v="21033"/>
    <x v="410"/>
    <n v="5"/>
    <n v="5"/>
    <n v="5"/>
    <n v="499478"/>
    <d v="2010-02-28T12:50:00"/>
    <n v="2.95"/>
    <n v="2.95"/>
    <d v="2010-02-28T00:00:00"/>
    <d v="1899-12-30T12:50:00"/>
    <s v="PM"/>
    <s v="12:50 PM"/>
    <x v="0"/>
    <n v="14.75"/>
  </r>
  <r>
    <n v="14390"/>
    <s v="84563A"/>
    <x v="411"/>
    <n v="1"/>
    <n v="1"/>
    <n v="1"/>
    <n v="526217"/>
    <d v="2010-10-10T14:30:00"/>
    <n v="5.95"/>
    <n v="5.95"/>
    <d v="2010-10-10T00:00:00"/>
    <d v="1899-12-30T02:30:00"/>
    <s v="PM"/>
    <s v="2:30 PM"/>
    <x v="0"/>
    <n v="5.95"/>
  </r>
  <r>
    <n v="18223"/>
    <n v="21621"/>
    <x v="398"/>
    <n v="2"/>
    <n v="2"/>
    <n v="2"/>
    <n v="497235"/>
    <d v="2010-02-08T10:11:00"/>
    <n v="8.5"/>
    <n v="8.5"/>
    <d v="2010-02-08T00:00:00"/>
    <d v="1899-12-30T10:11:00"/>
    <s v="AM"/>
    <s v="10:11 AM"/>
    <x v="0"/>
    <n v="17"/>
  </r>
  <r>
    <n v="17226"/>
    <n v="22030"/>
    <x v="332"/>
    <n v="12"/>
    <n v="12"/>
    <n v="12"/>
    <n v="497808"/>
    <d v="2010-02-12T14:31:00"/>
    <n v="0.42"/>
    <n v="0.42"/>
    <d v="2010-02-12T00:00:00"/>
    <d v="1899-12-30T02:31:00"/>
    <s v="PM"/>
    <s v="2:31 PM"/>
    <x v="0"/>
    <n v="5.04"/>
  </r>
  <r>
    <n v="15039"/>
    <s v="84795C"/>
    <x v="412"/>
    <n v="4"/>
    <n v="4"/>
    <n v="4"/>
    <n v="511362"/>
    <d v="2010-06-08T11:14:00"/>
    <n v="7.95"/>
    <n v="7.95"/>
    <d v="2010-06-08T00:00:00"/>
    <d v="1899-12-30T11:14:00"/>
    <s v="AM"/>
    <s v="11:14 AM"/>
    <x v="0"/>
    <n v="31.8"/>
  </r>
  <r>
    <n v="12921"/>
    <n v="22750"/>
    <x v="413"/>
    <n v="4"/>
    <n v="-4"/>
    <n v="-4"/>
    <s v="C521998"/>
    <d v="2010-09-10T11:07:00"/>
    <n v="3.75"/>
    <n v="3.75"/>
    <d v="2010-09-10T00:00:00"/>
    <d v="1899-12-30T11:07:00"/>
    <s v="AM"/>
    <s v="11:07 AM"/>
    <x v="0"/>
    <n v="15"/>
  </r>
  <r>
    <n v="13756"/>
    <n v="22402"/>
    <x v="414"/>
    <n v="3"/>
    <n v="3"/>
    <n v="3"/>
    <n v="514108"/>
    <d v="2010-06-30T12:47:00"/>
    <n v="1.25"/>
    <n v="1.25"/>
    <d v="2010-06-30T00:00:00"/>
    <d v="1899-12-30T12:47:00"/>
    <s v="PM"/>
    <s v="12:47 PM"/>
    <x v="0"/>
    <n v="3.75"/>
  </r>
  <r>
    <n v="12747"/>
    <n v="48138"/>
    <x v="129"/>
    <n v="2"/>
    <n v="2"/>
    <n v="2"/>
    <n v="505554"/>
    <d v="2010-04-23T09:51:00"/>
    <n v="7.49"/>
    <n v="7.49"/>
    <d v="2010-04-23T00:00:00"/>
    <d v="1899-12-30T09:51:00"/>
    <s v="AM"/>
    <s v="9:51 AM"/>
    <x v="0"/>
    <n v="14.98"/>
  </r>
  <r>
    <n v="13081"/>
    <n v="21231"/>
    <x v="373"/>
    <n v="24"/>
    <n v="24"/>
    <n v="24"/>
    <n v="527957"/>
    <d v="2010-10-19T16:38:00"/>
    <n v="1.25"/>
    <n v="1.25"/>
    <d v="2010-10-19T00:00:00"/>
    <d v="1899-12-30T04:38:00"/>
    <s v="PM"/>
    <s v="4:38 PM"/>
    <x v="0"/>
    <n v="30"/>
  </r>
  <r>
    <n v="15998"/>
    <n v="21146"/>
    <x v="415"/>
    <n v="4"/>
    <n v="4"/>
    <n v="4"/>
    <n v="491457"/>
    <d v="2009-12-11T11:26:00"/>
    <n v="1.95"/>
    <n v="1.95"/>
    <d v="2009-12-11T00:00:00"/>
    <d v="1899-12-30T11:26:00"/>
    <s v="AM"/>
    <s v="11:26 AM"/>
    <x v="0"/>
    <n v="7.8"/>
  </r>
  <r>
    <n v="13069"/>
    <n v="22428"/>
    <x v="416"/>
    <n v="1"/>
    <n v="1"/>
    <n v="1"/>
    <n v="517042"/>
    <d v="2010-07-26T11:46:00"/>
    <n v="6.95"/>
    <n v="6.95"/>
    <d v="2010-07-26T00:00:00"/>
    <d v="1899-12-30T11:46:00"/>
    <s v="AM"/>
    <s v="11:46 AM"/>
    <x v="0"/>
    <n v="6.95"/>
  </r>
  <r>
    <n v="15861"/>
    <n v="22352"/>
    <x v="417"/>
    <n v="2"/>
    <n v="2"/>
    <n v="2"/>
    <n v="521974"/>
    <d v="2010-09-09T19:56:00"/>
    <n v="2.5499999999999998"/>
    <n v="2.5499999999999998"/>
    <d v="2010-09-09T00:00:00"/>
    <d v="1899-12-30T07:56:00"/>
    <s v="PM"/>
    <s v="7:56 PM"/>
    <x v="0"/>
    <n v="5.0999999999999996"/>
  </r>
  <r>
    <n v="17511"/>
    <n v="21914"/>
    <x v="418"/>
    <n v="24"/>
    <n v="24"/>
    <n v="24"/>
    <n v="530434"/>
    <d v="2010-11-03T10:47:00"/>
    <n v="1.25"/>
    <n v="1.25"/>
    <d v="2010-11-03T00:00:00"/>
    <d v="1899-12-30T10:47:00"/>
    <s v="AM"/>
    <s v="10:47 AM"/>
    <x v="0"/>
    <n v="30"/>
  </r>
  <r>
    <n v="17618"/>
    <n v="22521"/>
    <x v="419"/>
    <n v="4"/>
    <n v="4"/>
    <n v="4"/>
    <n v="510429"/>
    <d v="2010-05-30T12:55:00"/>
    <n v="0.85"/>
    <n v="0.85"/>
    <d v="2010-05-30T00:00:00"/>
    <d v="1899-12-30T12:55:00"/>
    <s v="PM"/>
    <s v="12:55 PM"/>
    <x v="0"/>
    <n v="3.4"/>
  </r>
  <r>
    <n v="17841"/>
    <n v="20910"/>
    <x v="420"/>
    <n v="1"/>
    <n v="1"/>
    <n v="1"/>
    <n v="518484"/>
    <d v="2010-08-09T12:27:00"/>
    <n v="6.35"/>
    <n v="6.35"/>
    <d v="2010-08-09T00:00:00"/>
    <d v="1899-12-30T12:27:00"/>
    <s v="PM"/>
    <s v="12:27 PM"/>
    <x v="0"/>
    <n v="6.35"/>
  </r>
  <r>
    <n v="17095"/>
    <s v="72801C"/>
    <x v="421"/>
    <n v="48"/>
    <n v="48"/>
    <n v="48"/>
    <n v="519927"/>
    <d v="2010-08-22T15:12:00"/>
    <n v="0.42"/>
    <n v="0.42"/>
    <d v="2010-08-22T00:00:00"/>
    <d v="1899-12-30T03:12:00"/>
    <s v="PM"/>
    <s v="3:12 PM"/>
    <x v="0"/>
    <n v="20.16"/>
  </r>
  <r>
    <n v="15581"/>
    <n v="22026"/>
    <x v="422"/>
    <n v="12"/>
    <n v="12"/>
    <n v="12"/>
    <n v="515012"/>
    <d v="2010-07-07T16:14:00"/>
    <n v="0.42"/>
    <n v="0.42"/>
    <d v="2010-07-07T00:00:00"/>
    <d v="1899-12-30T04:14:00"/>
    <s v="PM"/>
    <s v="4:14 PM"/>
    <x v="0"/>
    <n v="5.04"/>
  </r>
  <r>
    <n v="14606"/>
    <n v="21171"/>
    <x v="423"/>
    <n v="1"/>
    <n v="1"/>
    <n v="1"/>
    <n v="497739"/>
    <d v="2010-02-12T10:21:00"/>
    <n v="1.45"/>
    <n v="1.45"/>
    <d v="2010-02-12T00:00:00"/>
    <d v="1899-12-30T10:21:00"/>
    <s v="AM"/>
    <s v="10:21 AM"/>
    <x v="0"/>
    <n v="1.45"/>
  </r>
  <r>
    <n v="14978"/>
    <s v=" 48111 "/>
    <x v="143"/>
    <n v="2"/>
    <n v="2"/>
    <n v="2"/>
    <n v="516273"/>
    <d v="2010-07-19T12:44:00"/>
    <n v="7.49"/>
    <n v="7.49"/>
    <d v="2010-07-19T00:00:00"/>
    <d v="1899-12-30T12:44:00"/>
    <s v="PM"/>
    <s v="12:44 PM"/>
    <x v="0"/>
    <n v="14.98"/>
  </r>
  <r>
    <n v="17519"/>
    <n v="22319"/>
    <x v="424"/>
    <n v="12"/>
    <n v="12"/>
    <n v="12"/>
    <n v="495289"/>
    <d v="2010-01-22T12:37:00"/>
    <n v="0.65"/>
    <n v="0.65"/>
    <d v="2010-01-22T00:00:00"/>
    <d v="1899-12-30T12:37:00"/>
    <s v="PM"/>
    <s v="12:37 PM"/>
    <x v="0"/>
    <n v="7.8000000000000007"/>
  </r>
  <r>
    <n v="17167"/>
    <n v="21174"/>
    <x v="396"/>
    <n v="12"/>
    <n v="12"/>
    <n v="12"/>
    <n v="535088"/>
    <d v="2010-11-25T10:05:00"/>
    <n v="1.95"/>
    <n v="1.95"/>
    <d v="2010-11-25T00:00:00"/>
    <d v="1899-12-30T10:05:00"/>
    <s v="AM"/>
    <s v="10:05 AM"/>
    <x v="0"/>
    <n v="23.4"/>
  </r>
  <r>
    <n v="14298"/>
    <n v="21814"/>
    <x v="425"/>
    <n v="12"/>
    <n v="12"/>
    <n v="12"/>
    <n v="533074"/>
    <d v="2010-11-16T07:52:00"/>
    <n v="1.25"/>
    <n v="1.25"/>
    <d v="2010-11-16T00:00:00"/>
    <d v="1899-12-30T07:52:00"/>
    <s v="AM"/>
    <s v="7:52 AM"/>
    <x v="0"/>
    <n v="15"/>
  </r>
  <r>
    <n v="16731"/>
    <n v="21869"/>
    <x v="426"/>
    <n v="3"/>
    <n v="3"/>
    <n v="3"/>
    <s v=" 499659 "/>
    <s v="01/03/2010 15:05"/>
    <n v="1.25"/>
    <n v="1.25"/>
    <d v="2010-01-03T00:00:00"/>
    <d v="1899-12-30T15:05:00"/>
    <m/>
    <s v="15:05 "/>
    <x v="0"/>
    <n v="3.75"/>
  </r>
  <r>
    <n v="13299"/>
    <n v="21868"/>
    <x v="427"/>
    <n v="12"/>
    <n v="12"/>
    <n v="12"/>
    <n v="526510"/>
    <d v="2010-10-12T10:53:00"/>
    <n v="1.25"/>
    <n v="1.25"/>
    <d v="2010-10-12T00:00:00"/>
    <d v="1899-12-30T10:53:00"/>
    <s v="AM"/>
    <s v="10:53 AM"/>
    <x v="0"/>
    <n v="15"/>
  </r>
  <r>
    <n v="15514"/>
    <n v="22303"/>
    <x v="120"/>
    <n v="6"/>
    <n v="6"/>
    <n v="6"/>
    <n v="493375"/>
    <d v="2009-12-23T12:07:00"/>
    <n v="2.5499999999999998"/>
    <n v="2.5499999999999998"/>
    <d v="2009-12-23T00:00:00"/>
    <d v="1899-12-30T12:07:00"/>
    <s v="PM"/>
    <s v="12:07 PM"/>
    <x v="0"/>
    <n v="15.299999999999999"/>
  </r>
  <r>
    <n v="16821"/>
    <n v="22762"/>
    <x v="428"/>
    <n v="1"/>
    <n v="1"/>
    <n v="1"/>
    <n v="534465"/>
    <d v="2010-11-23T10:04:00"/>
    <n v="14.95"/>
    <n v="14.95"/>
    <d v="2010-11-23T00:00:00"/>
    <d v="1899-12-30T10:04:00"/>
    <s v="AM"/>
    <s v="10:04 AM"/>
    <x v="0"/>
    <n v="14.95"/>
  </r>
  <r>
    <n v="12701"/>
    <n v="22711"/>
    <x v="429"/>
    <n v="25"/>
    <n v="25"/>
    <n v="25"/>
    <n v="513769"/>
    <d v="2010-06-28T13:44:00"/>
    <n v="0.42"/>
    <n v="0.42"/>
    <d v="2010-06-28T00:00:00"/>
    <d v="1899-12-30T01:44:00"/>
    <s v="PM"/>
    <s v="1:44 PM"/>
    <x v="2"/>
    <n v="10.5"/>
  </r>
  <r>
    <n v="15854"/>
    <n v="22113"/>
    <x v="98"/>
    <n v="1"/>
    <n v="1"/>
    <n v="1"/>
    <n v="534786"/>
    <d v="2010-11-24T11:21:00"/>
    <n v="3.75"/>
    <n v="3.75"/>
    <d v="2010-11-24T00:00:00"/>
    <d v="1899-12-30T11:21:00"/>
    <s v="AM"/>
    <s v="11:21 AM"/>
    <x v="0"/>
    <n v="3.75"/>
  </r>
  <r>
    <n v="16686"/>
    <n v="22587"/>
    <x v="430"/>
    <n v="1"/>
    <n v="1"/>
    <s v="1"/>
    <n v="529981"/>
    <d v="2010-10-31T15:31:00"/>
    <n v="0.85"/>
    <n v="0.85"/>
    <d v="2010-10-31T00:00:00"/>
    <d v="1899-12-30T03:31:00"/>
    <s v="PM"/>
    <s v="3:31 PM"/>
    <x v="0"/>
    <n v="0.85"/>
  </r>
  <r>
    <n v="13890"/>
    <n v="37503"/>
    <x v="209"/>
    <n v="2"/>
    <n v="2"/>
    <n v="2"/>
    <s v=" 507275 "/>
    <d v="2010-05-07T12:56:00"/>
    <n v="10.75"/>
    <n v="10.75"/>
    <d v="2010-05-07T00:00:00"/>
    <d v="1899-12-30T12:56:00"/>
    <s v="PM"/>
    <s v="12:56 PM"/>
    <x v="0"/>
    <n v="21.5"/>
  </r>
  <r>
    <n v="12510"/>
    <n v="37370"/>
    <x v="233"/>
    <n v="12"/>
    <n v="12"/>
    <n v="12"/>
    <n v="502633"/>
    <d v="2010-03-25T16:19:00"/>
    <n v="1.25"/>
    <n v="1.25"/>
    <d v="2010-03-25T00:00:00"/>
    <d v="1899-12-30T04:19:00"/>
    <s v="PM"/>
    <s v="4:19 PM"/>
    <x v="19"/>
    <n v="15"/>
  </r>
  <r>
    <n v="14817"/>
    <n v="21676"/>
    <x v="431"/>
    <n v="12"/>
    <n v="12"/>
    <n v="12"/>
    <n v="504873"/>
    <d v="2010-04-18T12:36:00"/>
    <n v="0.85"/>
    <n v="0.85"/>
    <d v="2010-04-18T00:00:00"/>
    <d v="1899-12-30T12:36:00"/>
    <s v="PM"/>
    <s v="12:36 PM"/>
    <x v="0"/>
    <n v="10.199999999999999"/>
  </r>
  <r>
    <n v="15856"/>
    <n v="47480"/>
    <x v="432"/>
    <n v="96"/>
    <n v="96"/>
    <n v="96"/>
    <n v="510047"/>
    <d v="2010-05-26T17:17:00"/>
    <n v="1.45"/>
    <n v="1.45"/>
    <d v="2010-05-26T00:00:00"/>
    <d v="1899-12-30T05:17:00"/>
    <s v="PM"/>
    <s v="5:17 PM"/>
    <x v="0"/>
    <n v="139.19999999999999"/>
  </r>
  <r>
    <n v="13295"/>
    <n v="22865"/>
    <x v="317"/>
    <n v="12"/>
    <n v="12"/>
    <n v="12"/>
    <n v="528642"/>
    <d v="2010-10-24T11:50:00"/>
    <n v="2.1"/>
    <n v="2.1"/>
    <d v="2010-10-24T00:00:00"/>
    <d v="1899-12-30T11:50:00"/>
    <s v="AM"/>
    <s v="11:50 AM"/>
    <x v="0"/>
    <n v="25.200000000000003"/>
  </r>
  <r>
    <n v="16782"/>
    <n v="22795"/>
    <x v="433"/>
    <n v="2"/>
    <n v="2"/>
    <n v="2"/>
    <n v="527358"/>
    <d v="2010-10-17T10:42:00"/>
    <n v="6.75"/>
    <n v="6.75"/>
    <d v="2010-10-17T00:00:00"/>
    <d v="1899-12-30T10:42:00"/>
    <s v="AM"/>
    <s v="10:42 AM"/>
    <x v="0"/>
    <n v="13.5"/>
  </r>
  <r>
    <n v="14040"/>
    <n v="22710"/>
    <x v="434"/>
    <n v="25"/>
    <n v="25"/>
    <n v="25"/>
    <n v="520885"/>
    <d v="2010-08-31T16:21:00"/>
    <n v="0.42"/>
    <n v="0.42"/>
    <d v="2010-08-31T00:00:00"/>
    <d v="1899-12-30T04:21:00"/>
    <s v="PM"/>
    <s v="4:21 PM"/>
    <x v="0"/>
    <n v="10.5"/>
  </r>
  <r>
    <n v="13654"/>
    <n v="21717"/>
    <x v="435"/>
    <n v="24"/>
    <n v="24"/>
    <n v="24"/>
    <n v="499988"/>
    <d v="2010-03-03T16:21:00"/>
    <n v="2.5499999999999998"/>
    <n v="2.5499999999999998"/>
    <d v="2010-03-03T00:00:00"/>
    <d v="1899-12-30T04:21:00"/>
    <s v="PM"/>
    <s v="4:21 PM"/>
    <x v="0"/>
    <n v="61.199999999999996"/>
  </r>
  <r>
    <n v="16595"/>
    <n v="21915"/>
    <x v="256"/>
    <n v="3"/>
    <n v="3"/>
    <n v="3"/>
    <n v="529888"/>
    <d v="2010-10-31T14:06:00"/>
    <n v="1.25"/>
    <n v="1.25"/>
    <d v="2010-10-31T00:00:00"/>
    <d v="1899-12-30T02:06:00"/>
    <s v="PM"/>
    <s v="2:06 PM"/>
    <x v="0"/>
    <n v="3.75"/>
  </r>
  <r>
    <n v="12476"/>
    <n v="21217"/>
    <x v="436"/>
    <n v="1"/>
    <n v="1"/>
    <n v="1"/>
    <n v="522424"/>
    <d v="2010-09-14T12:58:00"/>
    <n v="9.9499999999999993"/>
    <n v="9.9499999999999993"/>
    <d v="2010-09-14T00:00:00"/>
    <d v="1899-12-30T12:58:00"/>
    <s v="PM"/>
    <s v="12:58 PM"/>
    <x v="2"/>
    <n v="9.9499999999999993"/>
  </r>
  <r>
    <n v="15826"/>
    <n v="22644"/>
    <x v="343"/>
    <n v="12"/>
    <n v="12"/>
    <s v="12"/>
    <n v="509187"/>
    <d v="2010-05-20T17:00:00"/>
    <n v="1.45"/>
    <n v="1.45"/>
    <d v="2010-05-20T00:00:00"/>
    <d v="1899-12-30T05:00:00"/>
    <s v="PM"/>
    <s v="5:00 PM"/>
    <x v="0"/>
    <n v="17.399999999999999"/>
  </r>
  <r>
    <n v="14741"/>
    <n v="22367"/>
    <x v="216"/>
    <n v="8"/>
    <n v="8"/>
    <n v="8"/>
    <n v="527445"/>
    <d v="2010-10-18T09:33:00"/>
    <n v="1.95"/>
    <n v="1.95"/>
    <d v="2010-10-18T00:00:00"/>
    <d v="1899-12-30T09:33:00"/>
    <s v="AM"/>
    <s v="9:33 AM"/>
    <x v="0"/>
    <n v="15.6"/>
  </r>
  <r>
    <n v="15727"/>
    <n v="37474"/>
    <x v="437"/>
    <n v="1"/>
    <n v="1"/>
    <n v="1"/>
    <n v="516922"/>
    <d v="2010-07-25T11:46:00"/>
    <n v="9.9499999999999993"/>
    <n v="9.9499999999999993"/>
    <d v="2010-07-25T00:00:00"/>
    <d v="1899-12-30T11:46:00"/>
    <s v="AM"/>
    <s v="11:46 AM"/>
    <x v="0"/>
    <n v="9.9499999999999993"/>
  </r>
  <r>
    <n v="14301"/>
    <n v="15036"/>
    <x v="438"/>
    <n v="12"/>
    <n v="12"/>
    <n v="12"/>
    <n v="527939"/>
    <d v="2010-10-19T14:09:00"/>
    <n v="0.75"/>
    <n v="0.75"/>
    <d v="2010-10-19T00:00:00"/>
    <d v="1899-12-30T02:09:00"/>
    <s v="PM"/>
    <s v="2:09 PM"/>
    <x v="0"/>
    <n v="9"/>
  </r>
  <r>
    <n v="14911"/>
    <n v="21179"/>
    <x v="138"/>
    <n v="12"/>
    <n v="12"/>
    <n v="12"/>
    <n v="510743"/>
    <d v="2010-06-03T12:30:00"/>
    <n v="1.25"/>
    <n v="1.25"/>
    <d v="2010-06-03T00:00:00"/>
    <d v="1899-12-30T12:30:00"/>
    <s v="PM"/>
    <s v="12:30 PM"/>
    <x v="1"/>
    <n v="15"/>
  </r>
  <r>
    <n v="14030"/>
    <n v="20754"/>
    <x v="134"/>
    <n v="2"/>
    <n v="2"/>
    <n v="2"/>
    <n v="498757"/>
    <d v="2010-02-22T16:49:00"/>
    <n v="2.1"/>
    <n v="2.1"/>
    <d v="2010-02-22T00:00:00"/>
    <d v="1899-12-30T04:49:00"/>
    <s v="PM"/>
    <s v="4:49 PM"/>
    <x v="0"/>
    <n v="4.2"/>
  </r>
  <r>
    <n v="16456"/>
    <s v="84970S"/>
    <x v="439"/>
    <n v="12"/>
    <n v="12"/>
    <n v="12"/>
    <n v="508486"/>
    <s v="05/16/2010 12:57"/>
    <n v="0.85"/>
    <n v="0.85"/>
    <d v="2010-05-16T00:00:00"/>
    <d v="1899-12-30T12:57:00"/>
    <m/>
    <s v="12:57 "/>
    <x v="0"/>
    <n v="10.199999999999999"/>
  </r>
  <r>
    <n v="15271"/>
    <s v=" 22297 "/>
    <x v="440"/>
    <n v="1"/>
    <n v="1"/>
    <n v="1"/>
    <n v="538064"/>
    <d v="2010-12-09T13:47:00"/>
    <n v="1.25"/>
    <n v="1.25"/>
    <d v="2010-12-09T00:00:00"/>
    <d v="1899-12-30T01:47:00"/>
    <s v="PM"/>
    <s v="1:47 PM"/>
    <x v="0"/>
    <n v="1.25"/>
  </r>
  <r>
    <n v="16065"/>
    <n v="21051"/>
    <x v="441"/>
    <n v="2"/>
    <n v="2"/>
    <n v="2"/>
    <n v="529843"/>
    <d v="2010-10-31T12:56:00"/>
    <n v="2.1"/>
    <n v="2.1"/>
    <d v="2010-10-31T00:00:00"/>
    <d v="1899-12-30T12:56:00"/>
    <s v="PM"/>
    <s v="12:56 PM"/>
    <x v="0"/>
    <n v="4.2"/>
  </r>
  <r>
    <n v="15532"/>
    <n v="21109"/>
    <x v="442"/>
    <n v="1"/>
    <n v="1"/>
    <n v="1"/>
    <n v="511501"/>
    <d v="2010-06-08T14:52:00"/>
    <n v="6.75"/>
    <n v="6.75"/>
    <d v="2010-06-08T00:00:00"/>
    <d v="1899-12-30T02:52:00"/>
    <s v="PM"/>
    <s v="2:52 PM"/>
    <x v="0"/>
    <n v="6.75"/>
  </r>
  <r>
    <n v="13297"/>
    <n v="21934"/>
    <x v="357"/>
    <n v="10"/>
    <n v="10"/>
    <n v="10"/>
    <n v="512400"/>
    <d v="2010-06-15T12:35:00"/>
    <n v="1.65"/>
    <n v="1.65"/>
    <d v="2010-06-15T00:00:00"/>
    <d v="1899-12-30T12:35:00"/>
    <s v="PM"/>
    <s v="12:35 PM"/>
    <x v="0"/>
    <n v="16.5"/>
  </r>
  <r>
    <n v="14307"/>
    <s v="85164B"/>
    <x v="443"/>
    <n v="2"/>
    <n v="2"/>
    <n v="2"/>
    <n v="490674"/>
    <d v="2009-12-07T13:06:00"/>
    <n v="12.75"/>
    <n v="12.75"/>
    <d v="2009-12-07T00:00:00"/>
    <d v="1899-12-30T01:06:00"/>
    <s v="PM"/>
    <s v="1:06 PM"/>
    <x v="0"/>
    <n v="25.5"/>
  </r>
  <r>
    <n v="17092"/>
    <n v="22435"/>
    <x v="70"/>
    <n v="10"/>
    <n v="10"/>
    <n v="10"/>
    <n v="508079"/>
    <d v="2010-05-12T16:42:00"/>
    <n v="1.25"/>
    <n v="1.25"/>
    <d v="2010-05-12T00:00:00"/>
    <d v="1899-12-30T04:42:00"/>
    <s v="PM"/>
    <s v="4:42 PM"/>
    <x v="0"/>
    <n v="12.5"/>
  </r>
  <r>
    <n v="15750"/>
    <n v="20713"/>
    <x v="444"/>
    <n v="10"/>
    <n v="10"/>
    <n v="10"/>
    <s v=" 536204 "/>
    <s v="11/30/2010 13:16"/>
    <n v="1.95"/>
    <n v="1.95"/>
    <d v="2010-11-30T00:00:00"/>
    <d v="1899-12-30T13:16:00"/>
    <m/>
    <s v="13:16 "/>
    <x v="0"/>
    <n v="19.5"/>
  </r>
  <r>
    <n v="17773"/>
    <n v="22218"/>
    <x v="445"/>
    <n v="1"/>
    <n v="1"/>
    <n v="1"/>
    <n v="494798"/>
    <d v="2010-01-18T14:32:00"/>
    <n v="4.25"/>
    <n v="4.25"/>
    <d v="2010-01-18T00:00:00"/>
    <d v="1899-12-30T02:32:00"/>
    <s v="PM"/>
    <s v="2:32 PM"/>
    <x v="0"/>
    <n v="4.25"/>
  </r>
  <r>
    <n v="16089"/>
    <n v="21892"/>
    <x v="55"/>
    <n v="1"/>
    <n v="1"/>
    <n v="1"/>
    <n v="533736"/>
    <d v="2010-11-18T13:51:00"/>
    <n v="1.25"/>
    <n v="1.25"/>
    <d v="2010-11-18T00:00:00"/>
    <d v="1899-12-30T01:51:00"/>
    <s v="PM"/>
    <s v="1:51 PM"/>
    <x v="0"/>
    <n v="1.25"/>
  </r>
  <r>
    <n v="17764"/>
    <n v="22297"/>
    <x v="440"/>
    <n v="3"/>
    <n v="3"/>
    <n v="3"/>
    <n v="490072"/>
    <d v="2009-12-03T14:28:00"/>
    <n v="1.25"/>
    <n v="1.25"/>
    <d v="2009-12-03T00:00:00"/>
    <d v="1899-12-30T02:28:00"/>
    <s v="PM"/>
    <s v="2:28 PM"/>
    <x v="0"/>
    <n v="3.75"/>
  </r>
  <r>
    <n v="17449"/>
    <s v="82494L"/>
    <x v="446"/>
    <n v="4"/>
    <n v="4"/>
    <n v="4"/>
    <n v="500362"/>
    <d v="2010-03-07T16:12:00"/>
    <n v="2.95"/>
    <n v="2.95"/>
    <d v="2010-03-07T00:00:00"/>
    <d v="1899-12-30T04:12:00"/>
    <s v="PM"/>
    <s v="4:12 PM"/>
    <x v="0"/>
    <n v="11.8"/>
  </r>
  <r>
    <n v="13157"/>
    <n v="21731"/>
    <x v="62"/>
    <n v="12"/>
    <n v="12"/>
    <n v="12"/>
    <n v="508251"/>
    <d v="2010-05-14T10:40:00"/>
    <n v="1.65"/>
    <n v="1.65"/>
    <d v="2010-05-14T00:00:00"/>
    <d v="1899-12-30T10:40:00"/>
    <s v="AM"/>
    <s v="10:40 AM"/>
    <x v="0"/>
    <n v="19.799999999999997"/>
  </r>
  <r>
    <n v="17023"/>
    <n v="21106"/>
    <x v="447"/>
    <n v="6"/>
    <n v="6"/>
    <n v="6"/>
    <n v="518561"/>
    <d v="2010-08-10T10:22:00"/>
    <n v="2.95"/>
    <n v="2.95"/>
    <d v="2010-08-10T00:00:00"/>
    <d v="1899-12-30T10:22:00"/>
    <s v="AM"/>
    <s v="10:22 AM"/>
    <x v="0"/>
    <n v="17.700000000000003"/>
  </r>
  <r>
    <n v="13874"/>
    <n v="48111"/>
    <x v="143"/>
    <n v="2"/>
    <n v="2"/>
    <n v="2"/>
    <n v="516872"/>
    <d v="2010-07-23T12:59:00"/>
    <n v="7.49"/>
    <n v="7.49"/>
    <d v="2010-07-23T00:00:00"/>
    <d v="1899-12-30T12:59:00"/>
    <s v="PM"/>
    <s v="12:59 PM"/>
    <x v="0"/>
    <n v="14.98"/>
  </r>
  <r>
    <n v="16492"/>
    <n v="21260"/>
    <x v="145"/>
    <n v="6"/>
    <n v="6"/>
    <n v="6"/>
    <n v="512602"/>
    <d v="2010-06-17T08:20:00"/>
    <n v="3.25"/>
    <n v="3.25"/>
    <d v="2010-06-17T00:00:00"/>
    <d v="1899-12-30T08:20:00"/>
    <s v="AM"/>
    <s v="8:20 AM"/>
    <x v="0"/>
    <n v="19.5"/>
  </r>
  <r>
    <n v="16679"/>
    <n v="22468"/>
    <x v="448"/>
    <n v="4"/>
    <n v="4"/>
    <n v="4"/>
    <n v="511844"/>
    <d v="2010-06-10T18:35:00"/>
    <n v="6.75"/>
    <n v="6.75"/>
    <d v="2010-06-10T00:00:00"/>
    <d v="1899-12-30T06:35:00"/>
    <s v="PM"/>
    <s v="6:35 PM"/>
    <x v="0"/>
    <n v="27"/>
  </r>
  <r>
    <n v="14710"/>
    <n v="20718"/>
    <x v="449"/>
    <n v="1"/>
    <n v="1"/>
    <n v="1"/>
    <n v="522463"/>
    <d v="2010-09-14T17:13:00"/>
    <n v="1.25"/>
    <n v="1.25"/>
    <d v="2010-09-14T00:00:00"/>
    <d v="1899-12-30T05:13:00"/>
    <s v="PM"/>
    <s v="5:13 PM"/>
    <x v="0"/>
    <n v="1.25"/>
  </r>
  <r>
    <n v="15954"/>
    <s v="85099F"/>
    <x v="450"/>
    <n v="10"/>
    <n v="10"/>
    <n v="10"/>
    <n v="506400"/>
    <d v="2010-04-29T13:35:00"/>
    <n v="1.95"/>
    <n v="1.95"/>
    <d v="2010-04-29T00:00:00"/>
    <d v="1899-12-30T01:35:00"/>
    <s v="PM"/>
    <s v="1:35 PM"/>
    <x v="0"/>
    <n v="19.5"/>
  </r>
  <r>
    <n v="17231"/>
    <n v="22736"/>
    <x v="451"/>
    <n v="1"/>
    <n v="1"/>
    <n v="1"/>
    <n v="528615"/>
    <d v="2010-10-22T16:36:00"/>
    <n v="1.65"/>
    <n v="1.65"/>
    <d v="2010-10-22T00:00:00"/>
    <d v="1899-12-30T04:36:00"/>
    <s v="PM"/>
    <s v="4:36 PM"/>
    <x v="0"/>
    <n v="1.65"/>
  </r>
  <r>
    <n v="14130"/>
    <n v="85178"/>
    <x v="452"/>
    <n v="3"/>
    <n v="3"/>
    <n v="3"/>
    <n v="536038"/>
    <d v="2010-11-29T17:11:00"/>
    <n v="1.25"/>
    <n v="1.25"/>
    <d v="2010-11-29T00:00:00"/>
    <d v="1899-12-30T05:11:00"/>
    <s v="PM"/>
    <s v="5:11 PM"/>
    <x v="0"/>
    <n v="3.75"/>
  </r>
  <r>
    <n v="13413"/>
    <n v="22286"/>
    <x v="453"/>
    <n v="2"/>
    <n v="2"/>
    <n v="2"/>
    <n v="500844"/>
    <d v="2010-03-10T12:16:00"/>
    <n v="1.65"/>
    <n v="1.65"/>
    <d v="2010-03-10T00:00:00"/>
    <d v="1899-12-30T12:16:00"/>
    <s v="PM"/>
    <s v="12:16 PM"/>
    <x v="0"/>
    <n v="3.3"/>
  </r>
  <r>
    <n v="17920"/>
    <n v="22236"/>
    <x v="454"/>
    <n v="2"/>
    <n v="2"/>
    <n v="2"/>
    <n v="501133"/>
    <d v="2010-03-14T10:10:00"/>
    <n v="12.75"/>
    <n v="12.75"/>
    <d v="2010-03-14T00:00:00"/>
    <d v="1899-12-30T10:10:00"/>
    <s v="AM"/>
    <s v="10:10 AM"/>
    <x v="0"/>
    <n v="25.5"/>
  </r>
  <r>
    <n v="14390"/>
    <n v="21463"/>
    <x v="455"/>
    <n v="4"/>
    <n v="4"/>
    <n v="4"/>
    <n v="531947"/>
    <d v="2010-11-10T12:16:00"/>
    <n v="5.95"/>
    <n v="5.95"/>
    <d v="2010-11-10T00:00:00"/>
    <d v="1899-12-30T12:16:00"/>
    <s v="PM"/>
    <s v="12:16 PM"/>
    <x v="0"/>
    <n v="23.8"/>
  </r>
  <r>
    <n v="17315"/>
    <n v="22577"/>
    <x v="456"/>
    <n v="1"/>
    <n v="1"/>
    <n v="1"/>
    <n v="530085"/>
    <d v="2010-11-01T13:26:00"/>
    <n v="0.85"/>
    <n v="0.85"/>
    <d v="2010-11-01T00:00:00"/>
    <d v="1899-12-30T01:26:00"/>
    <s v="PM"/>
    <s v="1:26 PM"/>
    <x v="0"/>
    <n v="0.85"/>
  </r>
  <r>
    <n v="15027"/>
    <s v=" 20969 "/>
    <x v="457"/>
    <n v="4"/>
    <n v="4"/>
    <n v="4"/>
    <n v="502617"/>
    <d v="2010-03-25T14:39:00"/>
    <n v="3.75"/>
    <n v="3.75"/>
    <d v="2010-03-25T00:00:00"/>
    <d v="1899-12-30T02:39:00"/>
    <s v="PM"/>
    <s v="2:39 PM"/>
    <x v="0"/>
    <n v="15"/>
  </r>
  <r>
    <n v="12682"/>
    <s v=" 20749 "/>
    <x v="88"/>
    <n v="2"/>
    <n v="2"/>
    <n v="2"/>
    <n v="536974"/>
    <d v="2010-12-03T13:59:00"/>
    <n v="7.95"/>
    <n v="7.95"/>
    <d v="2010-12-03T00:00:00"/>
    <d v="1899-12-30T01:59:00"/>
    <s v="PM"/>
    <s v="1:59 PM"/>
    <x v="3"/>
    <n v="15.9"/>
  </r>
  <r>
    <n v="17958"/>
    <n v="84987"/>
    <x v="458"/>
    <n v="2"/>
    <n v="2"/>
    <n v="2"/>
    <n v="491633"/>
    <d v="2009-12-11T15:37:00"/>
    <n v="1.45"/>
    <n v="1.45"/>
    <d v="2009-12-11T00:00:00"/>
    <d v="1899-12-30T03:37:00"/>
    <s v="PM"/>
    <s v="3:37 PM"/>
    <x v="0"/>
    <n v="2.9"/>
  </r>
  <r>
    <n v="16549"/>
    <s v="84849B"/>
    <x v="459"/>
    <n v="1"/>
    <n v="1"/>
    <n v="1"/>
    <n v="519005"/>
    <d v="2010-08-12T19:18:00"/>
    <n v="1.69"/>
    <n v="1.69"/>
    <d v="2010-08-12T00:00:00"/>
    <d v="1899-12-30T07:18:00"/>
    <s v="PM"/>
    <s v="7:18 PM"/>
    <x v="0"/>
    <n v="1.69"/>
  </r>
  <r>
    <n v="14606"/>
    <n v="22371"/>
    <x v="460"/>
    <n v="1"/>
    <n v="1"/>
    <n v="1"/>
    <n v="519371"/>
    <d v="2010-08-16T13:12:00"/>
    <n v="6.35"/>
    <n v="6.35"/>
    <d v="2010-08-16T00:00:00"/>
    <d v="1899-12-30T01:12:00"/>
    <s v="PM"/>
    <s v="1:12 PM"/>
    <x v="0"/>
    <n v="6.35"/>
  </r>
  <r>
    <n v="12470"/>
    <n v="84832"/>
    <x v="461"/>
    <n v="5"/>
    <n v="5"/>
    <n v="5"/>
    <n v="494860"/>
    <d v="2010-01-19T11:01:00"/>
    <n v="0.85"/>
    <n v="0.85"/>
    <d v="2010-01-19T00:00:00"/>
    <d v="1899-12-30T11:01:00"/>
    <s v="AM"/>
    <s v="11:01 AM"/>
    <x v="20"/>
    <n v="4.25"/>
  </r>
  <r>
    <n v="15351"/>
    <n v="22968"/>
    <x v="462"/>
    <n v="2"/>
    <n v="2"/>
    <n v="2"/>
    <n v="529826"/>
    <d v="2010-10-31T11:43:00"/>
    <n v="9.9499999999999993"/>
    <n v="9.9499999999999993"/>
    <d v="2010-10-31T00:00:00"/>
    <d v="1899-12-30T11:43:00"/>
    <s v="AM"/>
    <s v="11:43 AM"/>
    <x v="0"/>
    <n v="19.899999999999999"/>
  </r>
  <r>
    <s v="13843"/>
    <n v="21755"/>
    <x v="265"/>
    <n v="3"/>
    <n v="3"/>
    <n v="3"/>
    <n v="534718"/>
    <d v="2010-11-23T17:48:00"/>
    <n v="5.95"/>
    <n v="5.95"/>
    <d v="2010-11-23T00:00:00"/>
    <d v="1899-12-30T05:48:00"/>
    <s v="PM"/>
    <s v="5:48 PM"/>
    <x v="0"/>
    <n v="17.850000000000001"/>
  </r>
  <r>
    <n v="14896"/>
    <n v="21977"/>
    <x v="463"/>
    <n v="2"/>
    <n v="2"/>
    <n v="2"/>
    <n v="500220"/>
    <d v="2010-03-05T11:16:00"/>
    <n v="0.55000000000000004"/>
    <n v="0.55000000000000004"/>
    <d v="2010-03-05T00:00:00"/>
    <d v="1899-12-30T11:16:00"/>
    <s v="AM"/>
    <s v="11:16 AM"/>
    <x v="0"/>
    <n v="1.1000000000000001"/>
  </r>
  <r>
    <n v="12682"/>
    <s v=" 85216 "/>
    <x v="158"/>
    <n v="12"/>
    <n v="12"/>
    <n v="12"/>
    <n v="489439"/>
    <d v="2009-12-01T09:28:00"/>
    <n v="0.65"/>
    <n v="0.65"/>
    <d v="2009-12-01T00:00:00"/>
    <d v="1899-12-30T09:28:00"/>
    <s v="AM"/>
    <s v="9:28 AM"/>
    <x v="3"/>
    <n v="7.8000000000000007"/>
  </r>
  <r>
    <n v="14204"/>
    <s v="84802B"/>
    <x v="464"/>
    <n v="24"/>
    <n v="24"/>
    <n v="24"/>
    <n v="513108"/>
    <d v="2010-06-21T16:04:00"/>
    <n v="1.69"/>
    <n v="1.69"/>
    <d v="2010-06-21T00:00:00"/>
    <d v="1899-12-30T04:04:00"/>
    <s v="PM"/>
    <s v="4:04 PM"/>
    <x v="0"/>
    <n v="40.56"/>
  </r>
  <r>
    <n v="13680"/>
    <s v="84985B"/>
    <x v="465"/>
    <n v="1"/>
    <n v="1"/>
    <n v="1"/>
    <n v="499972"/>
    <d v="2010-03-03T14:31:00"/>
    <n v="1.45"/>
    <n v="1.45"/>
    <d v="2010-03-03T00:00:00"/>
    <d v="1899-12-30T02:31:00"/>
    <s v="PM"/>
    <s v="2:31 PM"/>
    <x v="0"/>
    <n v="1.45"/>
  </r>
  <r>
    <n v="16520"/>
    <n v="22476"/>
    <x v="466"/>
    <n v="2"/>
    <n v="2"/>
    <n v="2"/>
    <n v="506442"/>
    <d v="2010-04-29T16:45:00"/>
    <n v="4.95"/>
    <n v="4.95"/>
    <d v="2010-04-29T00:00:00"/>
    <d v="1899-12-30T04:45:00"/>
    <s v="PM"/>
    <s v="4:45 PM"/>
    <x v="0"/>
    <n v="9.9"/>
  </r>
  <r>
    <n v="12748"/>
    <n v="37509"/>
    <x v="467"/>
    <n v="2"/>
    <n v="2"/>
    <n v="2"/>
    <n v="523005"/>
    <d v="2010-09-19T16:20:00"/>
    <n v="2.5499999999999998"/>
    <n v="2.5499999999999998"/>
    <d v="2010-09-19T00:00:00"/>
    <d v="1899-12-30T04:20:00"/>
    <s v="PM"/>
    <s v="4:20 PM"/>
    <x v="0"/>
    <n v="5.0999999999999996"/>
  </r>
  <r>
    <n v="17865"/>
    <n v="21875"/>
    <x v="468"/>
    <n v="1"/>
    <n v="1"/>
    <n v="1"/>
    <n v="490707"/>
    <d v="2009-12-07T15:02:00"/>
    <n v="1.25"/>
    <n v="1.25"/>
    <d v="2009-12-07T00:00:00"/>
    <d v="1899-12-30T03:02:00"/>
    <s v="PM"/>
    <s v="3:02 PM"/>
    <x v="0"/>
    <n v="1.25"/>
  </r>
  <r>
    <n v="17469"/>
    <n v="22329"/>
    <x v="469"/>
    <n v="12"/>
    <n v="12"/>
    <n v="12"/>
    <n v="498401"/>
    <d v="2010-02-18T15:44:00"/>
    <n v="1.65"/>
    <n v="1.65"/>
    <d v="2010-02-18T00:00:00"/>
    <d v="1899-12-30T03:44:00"/>
    <s v="PM"/>
    <s v="3:44 PM"/>
    <x v="0"/>
    <n v="19.799999999999997"/>
  </r>
  <r>
    <n v="13798"/>
    <n v="82578"/>
    <x v="470"/>
    <n v="1"/>
    <n v="-1"/>
    <n v="-1"/>
    <s v="C516149"/>
    <d v="2010-07-18T10:52:00"/>
    <n v="0.55000000000000004"/>
    <n v="0.55000000000000004"/>
    <d v="2010-07-18T00:00:00"/>
    <d v="1899-12-30T10:52:00"/>
    <s v="AM"/>
    <s v="10:52 AM"/>
    <x v="0"/>
    <n v="0.55000000000000004"/>
  </r>
  <r>
    <n v="17612"/>
    <n v="22188"/>
    <x v="383"/>
    <n v="4"/>
    <n v="4"/>
    <n v="4"/>
    <n v="517097"/>
    <d v="2010-07-26T15:08:00"/>
    <s v="3.95"/>
    <n v="3.95"/>
    <d v="2010-07-26T00:00:00"/>
    <d v="1899-12-30T03:08:00"/>
    <s v="PM"/>
    <s v="3:08 PM"/>
    <x v="0"/>
    <n v="15.8"/>
  </r>
  <r>
    <n v="14813"/>
    <n v="22451"/>
    <x v="471"/>
    <n v="2"/>
    <n v="2"/>
    <n v="2"/>
    <n v="537059"/>
    <d v="2010-12-05T11:54:00"/>
    <n v="3.35"/>
    <n v="3.35"/>
    <d v="2010-12-05T00:00:00"/>
    <d v="1899-12-30T11:54:00"/>
    <s v="AM"/>
    <s v="11:54 AM"/>
    <x v="0"/>
    <n v="6.7"/>
  </r>
  <r>
    <n v="16029"/>
    <n v="47502"/>
    <x v="472"/>
    <n v="10"/>
    <n v="10"/>
    <n v="10"/>
    <n v="499168"/>
    <d v="2010-02-25T09:33:00"/>
    <n v="9.9499999999999993"/>
    <n v="9.9499999999999993"/>
    <d v="2010-02-25T00:00:00"/>
    <d v="1899-12-30T09:33:00"/>
    <s v="AM"/>
    <s v="9:33 AM"/>
    <x v="0"/>
    <n v="99.5"/>
  </r>
  <r>
    <n v="16960"/>
    <n v="22545"/>
    <x v="473"/>
    <n v="7"/>
    <n v="7"/>
    <n v="7"/>
    <n v="510483"/>
    <d v="2010-06-01T11:27:00"/>
    <n v="0.42"/>
    <n v="0.42"/>
    <d v="2010-06-01T00:00:00"/>
    <d v="1899-12-30T11:27:00"/>
    <s v="AM"/>
    <s v="11:27 AM"/>
    <x v="0"/>
    <n v="2.94"/>
  </r>
  <r>
    <n v="13109"/>
    <n v="22179"/>
    <x v="474"/>
    <n v="2"/>
    <n v="2"/>
    <n v="2"/>
    <n v="511066"/>
    <d v="2010-06-06T12:59:00"/>
    <n v="6.75"/>
    <n v="6.75"/>
    <d v="2010-06-06T00:00:00"/>
    <d v="1899-12-30T12:59:00"/>
    <s v="PM"/>
    <s v="12:59 PM"/>
    <x v="0"/>
    <n v="13.5"/>
  </r>
  <r>
    <n v="16316"/>
    <n v="21774"/>
    <x v="475"/>
    <n v="12"/>
    <n v="12"/>
    <n v="12"/>
    <n v="517978"/>
    <d v="2010-08-03T14:38:00"/>
    <n v="1.25"/>
    <n v="1.25"/>
    <d v="2010-08-03T00:00:00"/>
    <d v="1899-12-30T02:38:00"/>
    <s v="PM"/>
    <s v="2:38 PM"/>
    <x v="0"/>
    <n v="15"/>
  </r>
  <r>
    <n v="14911"/>
    <n v="48129"/>
    <x v="476"/>
    <n v="2"/>
    <n v="2"/>
    <n v="2"/>
    <n v="496008"/>
    <d v="2010-01-28T12:36:00"/>
    <n v="6.75"/>
    <n v="6.75"/>
    <d v="2010-01-28T00:00:00"/>
    <d v="1899-12-30T12:36:00"/>
    <s v="PM"/>
    <s v="12:36 PM"/>
    <x v="1"/>
    <n v="13.5"/>
  </r>
  <r>
    <n v="17001"/>
    <n v="21670"/>
    <x v="477"/>
    <n v="12"/>
    <n v="12"/>
    <n v="12"/>
    <n v="535680"/>
    <d v="2010-11-28T12:25:00"/>
    <n v="1.25"/>
    <n v="1.25"/>
    <d v="2010-11-28T00:00:00"/>
    <d v="1899-12-30T12:25:00"/>
    <s v="PM"/>
    <s v="12:25 PM"/>
    <x v="0"/>
    <n v="15"/>
  </r>
  <r>
    <n v="17351"/>
    <n v="48129"/>
    <x v="476"/>
    <n v="5"/>
    <n v="5"/>
    <n v="5"/>
    <n v="498121"/>
    <d v="2010-02-16T15:27:00"/>
    <n v="7.49"/>
    <n v="7.49"/>
    <d v="2010-02-16T00:00:00"/>
    <d v="1899-12-30T03:27:00"/>
    <s v="PM"/>
    <s v="3:27 PM"/>
    <x v="0"/>
    <n v="37.450000000000003"/>
  </r>
  <r>
    <n v="16858"/>
    <n v="21041"/>
    <x v="478"/>
    <n v="6"/>
    <n v="6"/>
    <n v="6"/>
    <n v="491998"/>
    <d v="2009-12-15T11:09:00"/>
    <n v="2.95"/>
    <n v="2.95"/>
    <d v="2009-12-15T00:00:00"/>
    <d v="1899-12-30T11:09:00"/>
    <s v="AM"/>
    <s v="11:09 AM"/>
    <x v="0"/>
    <n v="17.700000000000003"/>
  </r>
  <r>
    <n v="16391"/>
    <n v="84915"/>
    <x v="479"/>
    <n v="1"/>
    <n v="1"/>
    <n v="1"/>
    <n v="530796"/>
    <d v="2010-11-04T12:27:00"/>
    <n v="5.95"/>
    <n v="5.95"/>
    <d v="2010-11-04T00:00:00"/>
    <d v="1899-12-30T12:27:00"/>
    <s v="PM"/>
    <s v="12:27 PM"/>
    <x v="0"/>
    <n v="5.95"/>
  </r>
  <r>
    <n v="16901"/>
    <n v="21737"/>
    <x v="337"/>
    <n v="1"/>
    <n v="1"/>
    <s v="1"/>
    <n v="491395"/>
    <d v="2009-12-10T16:30:00"/>
    <n v="19.95"/>
    <n v="19.95"/>
    <d v="2009-12-10T00:00:00"/>
    <d v="1899-12-30T04:30:00"/>
    <s v="PM"/>
    <s v="4:30 PM"/>
    <x v="0"/>
    <n v="19.95"/>
  </r>
  <r>
    <n v="15164"/>
    <n v="21272"/>
    <x v="480"/>
    <n v="2"/>
    <n v="2"/>
    <n v="2"/>
    <n v="515313"/>
    <d v="2010-07-11T10:28:00"/>
    <n v="1.25"/>
    <n v="1.25"/>
    <d v="2010-07-11T00:00:00"/>
    <d v="1899-12-30T10:28:00"/>
    <s v="AM"/>
    <s v="10:28 AM"/>
    <x v="0"/>
    <n v="2.5"/>
  </r>
  <r>
    <n v="17084"/>
    <n v="22910"/>
    <x v="406"/>
    <n v="6"/>
    <n v="6"/>
    <n v="6"/>
    <n v="531478"/>
    <s v="2010-11-08 14:20"/>
    <n v="2.95"/>
    <n v="2.95"/>
    <d v="2010-11-08T00:00:00"/>
    <d v="1899-12-30T14:20:00"/>
    <m/>
    <s v="14:20 "/>
    <x v="0"/>
    <n v="17.700000000000003"/>
  </r>
  <r>
    <n v="15081"/>
    <s v="85123A"/>
    <x v="103"/>
    <n v="12"/>
    <n v="12"/>
    <n v="12"/>
    <n v="535467"/>
    <d v="2010-11-26T13:26:00"/>
    <n v="2.95"/>
    <n v="2.95"/>
    <d v="2010-11-26T00:00:00"/>
    <d v="1899-12-30T01:26:00"/>
    <s v="PM"/>
    <s v="1:26 PM"/>
    <x v="0"/>
    <n v="35.400000000000006"/>
  </r>
  <r>
    <n v="14556"/>
    <n v="84050"/>
    <x v="395"/>
    <n v="6"/>
    <n v="6"/>
    <n v="6"/>
    <n v="499123"/>
    <d v="2010-02-24T16:15:00"/>
    <n v="1.65"/>
    <n v="1.65"/>
    <d v="2010-02-24T00:00:00"/>
    <d v="1899-12-30T04:15:00"/>
    <s v="PM"/>
    <s v="4:15 PM"/>
    <x v="0"/>
    <n v="9.8999999999999986"/>
  </r>
  <r>
    <n v="17920"/>
    <n v="22327"/>
    <x v="481"/>
    <n v="3"/>
    <n v="3"/>
    <n v="3"/>
    <n v="509413"/>
    <d v="2010-05-23T12:28:00"/>
    <n v="2.95"/>
    <n v="2.95"/>
    <d v="2010-05-23T00:00:00"/>
    <d v="1899-12-30T12:28:00"/>
    <s v="PM"/>
    <s v="12:28 PM"/>
    <x v="0"/>
    <n v="8.8500000000000014"/>
  </r>
  <r>
    <n v="13013"/>
    <n v="85178"/>
    <x v="452"/>
    <n v="12"/>
    <n v="12"/>
    <n v="12"/>
    <n v="517518"/>
    <d v="2010-07-29T13:55:00"/>
    <n v="1.25"/>
    <n v="1.25"/>
    <d v="2010-07-29T00:00:00"/>
    <d v="1899-12-30T01:55:00"/>
    <s v="PM"/>
    <s v="1:55 PM"/>
    <x v="0"/>
    <n v="15"/>
  </r>
  <r>
    <n v="15456"/>
    <n v="21904"/>
    <x v="482"/>
    <n v="3"/>
    <n v="3"/>
    <n v="3"/>
    <n v="490871"/>
    <d v="2009-12-08T12:54:00"/>
    <n v="2.1"/>
    <n v="2.1"/>
    <d v="2009-12-08T00:00:00"/>
    <d v="1899-12-30T12:54:00"/>
    <s v="PM"/>
    <s v="12:54 PM"/>
    <x v="0"/>
    <n v="6.3000000000000007"/>
  </r>
  <r>
    <n v="13362"/>
    <s v="72799F"/>
    <x v="483"/>
    <n v="6"/>
    <n v="6"/>
    <n v="6"/>
    <n v="526230"/>
    <d v="2010-10-10T15:27:00"/>
    <n v="2.95"/>
    <n v="2.95"/>
    <d v="2010-10-10T00:00:00"/>
    <d v="1899-12-30T03:27:00"/>
    <s v="PM"/>
    <s v="3:27 PM"/>
    <x v="0"/>
    <n v="17.700000000000003"/>
  </r>
  <r>
    <n v="16451"/>
    <s v="84970S"/>
    <x v="439"/>
    <n v="12"/>
    <n v="12"/>
    <n v="12"/>
    <n v="510191"/>
    <d v="2010-05-27T17:56:00"/>
    <n v="0.85"/>
    <n v="0.85"/>
    <d v="2010-05-27T00:00:00"/>
    <d v="1899-12-30T05:56:00"/>
    <s v="PM"/>
    <s v="5:56 PM"/>
    <x v="0"/>
    <n v="10.199999999999999"/>
  </r>
  <r>
    <n v="16614"/>
    <n v="22692"/>
    <x v="484"/>
    <n v="2"/>
    <n v="2"/>
    <n v="2"/>
    <n v="530409"/>
    <d v="2010-11-02T18:08:00"/>
    <n v="7.95"/>
    <n v="7.95"/>
    <d v="2010-11-02T00:00:00"/>
    <d v="1899-12-30T06:08:00"/>
    <s v="PM"/>
    <s v="6:08 PM"/>
    <x v="0"/>
    <n v="15.9"/>
  </r>
  <r>
    <n v="17238"/>
    <n v="22569"/>
    <x v="32"/>
    <n v="1"/>
    <n v="1"/>
    <n v="1"/>
    <n v="521166"/>
    <d v="2010-09-02T14:52:00"/>
    <n v="3.75"/>
    <n v="3.75"/>
    <d v="2010-09-02T00:00:00"/>
    <d v="1899-12-30T02:52:00"/>
    <s v="PM"/>
    <s v="2:52 PM"/>
    <x v="0"/>
    <n v="3.75"/>
  </r>
  <r>
    <n v="14388"/>
    <n v="22375"/>
    <x v="485"/>
    <n v="2"/>
    <n v="2"/>
    <n v="2"/>
    <n v="505368"/>
    <d v="2010-04-21T16:28:00"/>
    <n v="6.35"/>
    <n v="6.35"/>
    <d v="2010-04-21T00:00:00"/>
    <d v="1899-12-30T04:28:00"/>
    <s v="PM"/>
    <s v="4:28 PM"/>
    <x v="0"/>
    <n v="12.7"/>
  </r>
  <r>
    <n v="16007"/>
    <n v="84791"/>
    <x v="486"/>
    <n v="2"/>
    <n v="2"/>
    <n v="2"/>
    <n v="512262"/>
    <d v="2010-06-14T13:18:00"/>
    <n v="2.95"/>
    <n v="2.95"/>
    <d v="2010-06-14T00:00:00"/>
    <d v="1899-12-30T01:18:00"/>
    <s v="PM"/>
    <s v="1:18 PM"/>
    <x v="0"/>
    <n v="5.9"/>
  </r>
  <r>
    <n v="15494"/>
    <s v="85124A"/>
    <x v="487"/>
    <n v="2"/>
    <n v="2"/>
    <n v="2"/>
    <n v="519610"/>
    <d v="2010-08-18T16:54:00"/>
    <n v="2.5499999999999998"/>
    <n v="2.5499999999999998"/>
    <d v="2010-08-18T00:00:00"/>
    <d v="1899-12-30T04:54:00"/>
    <s v="PM"/>
    <s v="4:54 PM"/>
    <x v="0"/>
    <n v="5.0999999999999996"/>
  </r>
  <r>
    <n v="13168"/>
    <s v="84970S"/>
    <x v="439"/>
    <n v="12"/>
    <n v="12"/>
    <n v="12"/>
    <n v="512426"/>
    <d v="2010-06-15T15:00:00"/>
    <n v="0.85"/>
    <n v="0.85"/>
    <d v="2010-06-15T00:00:00"/>
    <d v="1899-12-30T03:00:00"/>
    <s v="PM"/>
    <s v="3:00 PM"/>
    <x v="0"/>
    <n v="10.199999999999999"/>
  </r>
  <r>
    <n v="17672"/>
    <n v="22785"/>
    <x v="488"/>
    <n v="6"/>
    <n v="6"/>
    <n v="6"/>
    <n v="527571"/>
    <d v="2010-10-18T13:34:00"/>
    <n v="6.75"/>
    <n v="6.75"/>
    <d v="2010-10-18T00:00:00"/>
    <d v="1899-12-30T01:34:00"/>
    <s v="PM"/>
    <s v="1:34 PM"/>
    <x v="0"/>
    <n v="40.5"/>
  </r>
  <r>
    <n v="17146"/>
    <n v="22646"/>
    <x v="489"/>
    <n v="12"/>
    <n v="12"/>
    <n v="12"/>
    <s v=" 514220 "/>
    <d v="2010-07-01T09:36:00"/>
    <n v="1.45"/>
    <n v="1.45"/>
    <d v="2010-07-01T00:00:00"/>
    <d v="1899-12-30T09:36:00"/>
    <s v="AM"/>
    <s v="9:36 AM"/>
    <x v="0"/>
    <n v="17.399999999999999"/>
  </r>
  <r>
    <n v="14911"/>
    <s v="15056BL"/>
    <x v="30"/>
    <n v="60"/>
    <n v="60"/>
    <n v="60"/>
    <n v="499067"/>
    <d v="2010-02-24T14:30:00"/>
    <n v="4.95"/>
    <n v="4.95"/>
    <d v="2010-02-24T00:00:00"/>
    <d v="1899-12-30T02:30:00"/>
    <s v="PM"/>
    <s v="2:30 PM"/>
    <x v="1"/>
    <n v="297"/>
  </r>
  <r>
    <n v="14018"/>
    <n v="21868"/>
    <x v="427"/>
    <n v="12"/>
    <n v="12"/>
    <n v="12"/>
    <n v="500122"/>
    <d v="2010-03-04T14:23:00"/>
    <n v="1.25"/>
    <n v="1.25"/>
    <d v="2010-03-04T00:00:00"/>
    <d v="1899-12-30T02:23:00"/>
    <s v="PM"/>
    <s v="2:23 PM"/>
    <x v="0"/>
    <n v="15"/>
  </r>
  <r>
    <n v="15021"/>
    <s v="85130A"/>
    <x v="490"/>
    <n v="1"/>
    <n v="1"/>
    <n v="1"/>
    <n v="535260"/>
    <d v="2010-11-25T13:20:00"/>
    <n v="1.65"/>
    <n v="1.65"/>
    <d v="2010-11-25T00:00:00"/>
    <d v="1899-12-30T01:20:00"/>
    <s v="PM"/>
    <s v="1:20 PM"/>
    <x v="0"/>
    <n v="1.65"/>
  </r>
  <r>
    <n v="14828"/>
    <n v="22176"/>
    <x v="491"/>
    <n v="12"/>
    <n v="12"/>
    <n v="12"/>
    <n v="533318"/>
    <d v="2010-11-16T17:23:00"/>
    <n v="2.95"/>
    <n v="2.95"/>
    <d v="2010-11-16T00:00:00"/>
    <d v="1899-12-30T05:23:00"/>
    <s v="PM"/>
    <s v="5:23 PM"/>
    <x v="0"/>
    <n v="35.400000000000006"/>
  </r>
  <r>
    <n v="16242"/>
    <n v="21248"/>
    <x v="492"/>
    <n v="4"/>
    <n v="4"/>
    <n v="4"/>
    <n v="534705"/>
    <d v="2010-11-23T16:40:00"/>
    <n v="1.45"/>
    <n v="1.45"/>
    <d v="2010-11-23T00:00:00"/>
    <d v="1899-12-30T04:40:00"/>
    <s v="PM"/>
    <s v="4:40 PM"/>
    <x v="0"/>
    <n v="5.8"/>
  </r>
  <r>
    <n v="16797"/>
    <s v=" 22577 "/>
    <x v="456"/>
    <n v="5"/>
    <n v="5"/>
    <n v="5"/>
    <n v="532391"/>
    <d v="2010-11-11T19:14:00"/>
    <n v="0.85"/>
    <n v="0.85"/>
    <d v="2010-11-11T00:00:00"/>
    <d v="1899-12-30T07:14:00"/>
    <s v="PM"/>
    <s v="7:14 PM"/>
    <x v="0"/>
    <n v="4.25"/>
  </r>
  <r>
    <s v="17873"/>
    <n v="22365"/>
    <x v="493"/>
    <n v="10"/>
    <n v="10"/>
    <n v="10"/>
    <n v="525232"/>
    <d v="2010-10-04T14:11:00"/>
    <n v="6.75"/>
    <n v="6.75"/>
    <d v="2010-10-04T00:00:00"/>
    <d v="1899-12-30T02:11:00"/>
    <s v="PM"/>
    <s v="2:11 PM"/>
    <x v="0"/>
    <n v="67.5"/>
  </r>
  <r>
    <n v="13081"/>
    <n v="79320"/>
    <x v="494"/>
    <n v="4"/>
    <n v="4"/>
    <n v="4"/>
    <n v="500751"/>
    <d v="2010-03-10T10:25:00"/>
    <n v="4.95"/>
    <n v="4.95"/>
    <d v="2010-03-10T00:00:00"/>
    <d v="1899-12-30T10:25:00"/>
    <s v="AM"/>
    <s v="10:25 AM"/>
    <x v="0"/>
    <n v="19.8"/>
  </r>
  <r>
    <n v="13206"/>
    <n v="21790"/>
    <x v="187"/>
    <n v="6"/>
    <n v="6"/>
    <n v="6"/>
    <n v="495546"/>
    <d v="2010-01-25T15:54:00"/>
    <n v="0.85"/>
    <n v="0.85"/>
    <d v="2010-01-25T00:00:00"/>
    <d v="1899-12-30T03:54:00"/>
    <s v="PM"/>
    <s v="3:54 PM"/>
    <x v="0"/>
    <n v="5.0999999999999996"/>
  </r>
  <r>
    <n v="17841"/>
    <n v="21622"/>
    <x v="57"/>
    <n v="3"/>
    <n v="3"/>
    <n v="3"/>
    <n v="489875"/>
    <d v="2009-12-02T15:41:00"/>
    <n v="4.95"/>
    <n v="4.95"/>
    <d v="2009-12-02T00:00:00"/>
    <d v="1899-12-30T03:41:00"/>
    <s v="PM"/>
    <s v="3:41 PM"/>
    <x v="0"/>
    <n v="14.850000000000001"/>
  </r>
  <r>
    <n v="16946"/>
    <n v="21155"/>
    <x v="339"/>
    <n v="6"/>
    <n v="6"/>
    <n v="6"/>
    <n v="510138"/>
    <d v="2010-05-27T12:22:00"/>
    <n v="2.1"/>
    <n v="2.1"/>
    <d v="2010-05-27T00:00:00"/>
    <d v="1899-12-30T12:22:00"/>
    <s v="PM"/>
    <s v="12:22 PM"/>
    <x v="0"/>
    <n v="12.600000000000001"/>
  </r>
  <r>
    <n v="14156"/>
    <n v="20728"/>
    <x v="495"/>
    <n v="50"/>
    <n v="-50"/>
    <n v="-50"/>
    <s v="C520975"/>
    <d v="2010-09-01T12:52:00"/>
    <n v="1.45"/>
    <n v="1.45"/>
    <d v="2010-09-01T00:00:00"/>
    <d v="1899-12-30T12:52:00"/>
    <s v="PM"/>
    <s v="12:52 PM"/>
    <x v="1"/>
    <n v="72.5"/>
  </r>
  <r>
    <n v="14837"/>
    <n v="22147"/>
    <x v="496"/>
    <n v="12"/>
    <n v="12"/>
    <n v="12"/>
    <n v="520738"/>
    <d v="2010-08-31T09:36:00"/>
    <n v="1.45"/>
    <n v="1.45"/>
    <d v="2010-08-31T00:00:00"/>
    <d v="1899-12-30T09:36:00"/>
    <s v="AM"/>
    <s v="9:36 AM"/>
    <x v="0"/>
    <n v="17.399999999999999"/>
  </r>
  <r>
    <n v="14555"/>
    <n v="85042"/>
    <x v="497"/>
    <n v="1"/>
    <n v="-1"/>
    <n v="-1"/>
    <s v="C514060"/>
    <d v="2010-06-30T11:54:00"/>
    <n v="4.95"/>
    <n v="4.95"/>
    <d v="2010-06-30T00:00:00"/>
    <d v="1899-12-30T11:54:00"/>
    <s v="AM"/>
    <s v="11:54 AM"/>
    <x v="0"/>
    <n v="4.95"/>
  </r>
  <r>
    <n v="17191"/>
    <n v="82551"/>
    <x v="498"/>
    <n v="1"/>
    <n v="1"/>
    <n v="1"/>
    <n v="537400"/>
    <d v="2010-12-06T14:36:00"/>
    <n v="1.45"/>
    <n v="1.45"/>
    <d v="2010-12-06T00:00:00"/>
    <d v="1899-12-30T02:36:00"/>
    <s v="PM"/>
    <s v="2:36 PM"/>
    <x v="0"/>
    <n v="1.45"/>
  </r>
  <r>
    <n v="13052"/>
    <n v="22469"/>
    <x v="499"/>
    <n v="2"/>
    <n v="2"/>
    <n v="2"/>
    <n v="527309"/>
    <d v="2010-10-15T14:47:00"/>
    <n v="1.65"/>
    <n v="1.65"/>
    <d v="2010-10-15T00:00:00"/>
    <d v="1899-12-30T02:47:00"/>
    <s v="PM"/>
    <s v="2:47 PM"/>
    <x v="0"/>
    <n v="3.3"/>
  </r>
  <r>
    <n v="13357"/>
    <n v="20773"/>
    <x v="500"/>
    <n v="2"/>
    <n v="2"/>
    <n v="2"/>
    <n v="502055"/>
    <d v="2010-03-22T14:30:00"/>
    <n v="1.65"/>
    <n v="1.65"/>
    <d v="2010-03-22T00:00:00"/>
    <d v="1899-12-30T02:30:00"/>
    <s v="PM"/>
    <s v="2:30 PM"/>
    <x v="0"/>
    <n v="3.3"/>
  </r>
  <r>
    <n v="17618"/>
    <n v="20754"/>
    <x v="501"/>
    <n v="2"/>
    <n v="2"/>
    <n v="2"/>
    <n v="534155"/>
    <d v="2010-11-21T12:31:00"/>
    <n v="2.1"/>
    <n v="2.1"/>
    <d v="2010-11-21T00:00:00"/>
    <d v="1899-12-30T12:31:00"/>
    <s v="PM"/>
    <s v="12:31 PM"/>
    <x v="0"/>
    <n v="4.2"/>
  </r>
  <r>
    <n v="16549"/>
    <n v="84991"/>
    <x v="502"/>
    <n v="2"/>
    <n v="2"/>
    <n v="2"/>
    <n v="504903"/>
    <d v="2010-04-18T15:48:00"/>
    <n v="0.55000000000000004"/>
    <n v="0.55000000000000004"/>
    <d v="2010-04-18T00:00:00"/>
    <d v="1899-12-30T03:48:00"/>
    <s v="PM"/>
    <s v="3:48 PM"/>
    <x v="0"/>
    <n v="1.1000000000000001"/>
  </r>
  <r>
    <n v="16208"/>
    <s v="84459A"/>
    <x v="503"/>
    <n v="6"/>
    <n v="6"/>
    <n v="6"/>
    <n v="508496"/>
    <d v="2010-05-16T14:41:00"/>
    <n v="1.49"/>
    <n v="1.49"/>
    <d v="2010-05-16T00:00:00"/>
    <d v="1899-12-30T02:41:00"/>
    <s v="PM"/>
    <s v="2:41 PM"/>
    <x v="0"/>
    <n v="8.94"/>
  </r>
  <r>
    <n v="16225"/>
    <n v="21745"/>
    <x v="504"/>
    <n v="2"/>
    <n v="2"/>
    <n v="2"/>
    <n v="519658"/>
    <d v="2010-08-19T11:32:00"/>
    <n v="3.75"/>
    <n v="3.75"/>
    <d v="2010-08-19T00:00:00"/>
    <d v="1899-12-30T11:32:00"/>
    <s v="AM"/>
    <s v="11:32 AM"/>
    <x v="0"/>
    <n v="7.5"/>
  </r>
  <r>
    <n v="14966"/>
    <n v="21034"/>
    <x v="306"/>
    <n v="1"/>
    <n v="1"/>
    <n v="1"/>
    <n v="492078"/>
    <d v="2009-12-15T13:48:00"/>
    <n v="0.95"/>
    <n v="0.95"/>
    <d v="2009-12-15T00:00:00"/>
    <d v="1899-12-30T01:48:00"/>
    <s v="PM"/>
    <s v="1:48 PM"/>
    <x v="0"/>
    <n v="0.95"/>
  </r>
  <r>
    <n v="13510"/>
    <n v="22966"/>
    <x v="505"/>
    <n v="12"/>
    <n v="12"/>
    <n v="12"/>
    <n v="535957"/>
    <d v="2010-11-29T12:26:00"/>
    <n v="1.25"/>
    <n v="1.25"/>
    <d v="2010-11-29T00:00:00"/>
    <d v="1899-12-30T12:26:00"/>
    <s v="PM"/>
    <s v="12:26 PM"/>
    <x v="0"/>
    <n v="15"/>
  </r>
  <r>
    <n v="17850"/>
    <n v="22354"/>
    <x v="506"/>
    <n v="8"/>
    <n v="8"/>
    <n v="8"/>
    <n v="499242"/>
    <d v="2010-02-25T13:29:00"/>
    <n v="3.39"/>
    <n v="3.39"/>
    <d v="2010-02-25T00:00:00"/>
    <d v="1899-12-30T01:29:00"/>
    <s v="PM"/>
    <s v="1:29 PM"/>
    <x v="0"/>
    <n v="27.12"/>
  </r>
  <r>
    <n v="17322"/>
    <n v="22150"/>
    <x v="291"/>
    <n v="1"/>
    <n v="1"/>
    <n v="1"/>
    <n v="529341"/>
    <d v="2010-10-27T16:38:00"/>
    <n v="1.95"/>
    <n v="1.95"/>
    <d v="2010-10-27T00:00:00"/>
    <d v="1899-12-30T04:38:00"/>
    <s v="PM"/>
    <s v="4:38 PM"/>
    <x v="0"/>
    <n v="1.95"/>
  </r>
  <r>
    <n v="16720"/>
    <n v="22733"/>
    <x v="100"/>
    <n v="1"/>
    <n v="1"/>
    <n v="1"/>
    <n v="535799"/>
    <d v="2010-11-28T14:49:00"/>
    <n v="1.25"/>
    <n v="1.25"/>
    <d v="2010-11-28T00:00:00"/>
    <d v="1899-12-30T02:49:00"/>
    <s v="PM"/>
    <s v="2:49 PM"/>
    <x v="0"/>
    <n v="1.25"/>
  </r>
  <r>
    <n v="14525"/>
    <n v="84839"/>
    <x v="85"/>
    <n v="1"/>
    <n v="1"/>
    <n v="1"/>
    <n v="522080"/>
    <d v="2010-09-12T11:41:00"/>
    <n v="6.75"/>
    <n v="6.75"/>
    <d v="2010-09-12T00:00:00"/>
    <d v="1899-12-30T11:41:00"/>
    <s v="AM"/>
    <s v="11:41 AM"/>
    <x v="0"/>
    <n v="6.75"/>
  </r>
  <r>
    <n v="15031"/>
    <n v="21107"/>
    <x v="507"/>
    <n v="1"/>
    <n v="1"/>
    <n v="1"/>
    <n v="531900"/>
    <d v="2010-11-10T12:03:00"/>
    <n v="2.95"/>
    <n v="2.95"/>
    <d v="2010-11-10T00:00:00"/>
    <d v="1899-12-30T12:03:00"/>
    <s v="PM"/>
    <s v="12:03 PM"/>
    <x v="0"/>
    <n v="2.95"/>
  </r>
  <r>
    <n v="13687"/>
    <n v="21393"/>
    <x v="508"/>
    <n v="2496"/>
    <n v="2496"/>
    <n v="2496"/>
    <n v="524174"/>
    <s v="09/27/2010 16:30"/>
    <n v="0.13"/>
    <n v="0.13"/>
    <d v="2010-09-27T00:00:00"/>
    <d v="1899-12-30T16:30:00"/>
    <m/>
    <s v="16:30 "/>
    <x v="0"/>
    <n v="324.48"/>
  </r>
  <r>
    <n v="17585"/>
    <n v="82583"/>
    <x v="509"/>
    <n v="2"/>
    <n v="2"/>
    <n v="2"/>
    <n v="523149"/>
    <d v="2010-09-20T14:49:00"/>
    <n v="2.1"/>
    <n v="2.1"/>
    <d v="2010-09-20T00:00:00"/>
    <d v="1899-12-30T02:49:00"/>
    <s v="PM"/>
    <s v="2:49 PM"/>
    <x v="0"/>
    <n v="4.2"/>
  </r>
  <r>
    <n v="14159"/>
    <n v="22383"/>
    <x v="510"/>
    <n v="6"/>
    <n v="6"/>
    <n v="6"/>
    <n v="501730"/>
    <d v="2010-03-19T11:05:00"/>
    <n v="1.65"/>
    <n v="1.65"/>
    <d v="2010-03-19T00:00:00"/>
    <d v="1899-12-30T11:05:00"/>
    <s v="AM"/>
    <s v="11:05 AM"/>
    <x v="0"/>
    <n v="9.8999999999999986"/>
  </r>
  <r>
    <n v="18061"/>
    <n v="21071"/>
    <x v="511"/>
    <n v="12"/>
    <n v="12"/>
    <n v="12"/>
    <n v="506909"/>
    <d v="2010-05-05T10:47:00"/>
    <n v="1.25"/>
    <n v="1.25"/>
    <d v="2010-05-05T00:00:00"/>
    <d v="1899-12-30T10:47:00"/>
    <s v="AM"/>
    <s v="10:47 AM"/>
    <x v="0"/>
    <n v="15"/>
  </r>
  <r>
    <n v="14530"/>
    <n v="21160"/>
    <x v="512"/>
    <n v="1"/>
    <n v="1"/>
    <n v="1"/>
    <n v="514023"/>
    <d v="2010-06-30T11:08:00"/>
    <n v="1.45"/>
    <n v="1.45"/>
    <d v="2010-06-30T00:00:00"/>
    <d v="1899-12-30T11:08:00"/>
    <s v="AM"/>
    <s v="11:08 AM"/>
    <x v="0"/>
    <n v="1.45"/>
  </r>
  <r>
    <n v="15005"/>
    <n v="22384"/>
    <x v="223"/>
    <n v="4"/>
    <n v="4"/>
    <n v="4"/>
    <n v="498400"/>
    <d v="2010-02-18T15:33:00"/>
    <n v="1.65"/>
    <n v="1.65"/>
    <d v="2010-02-18T00:00:00"/>
    <d v="1899-12-30T03:33:00"/>
    <s v="PM"/>
    <s v="3:33 PM"/>
    <x v="0"/>
    <n v="6.6"/>
  </r>
  <r>
    <n v="16788"/>
    <n v="22425"/>
    <x v="513"/>
    <n v="1"/>
    <n v="1"/>
    <n v="1"/>
    <n v="511300"/>
    <d v="2010-06-07T15:31:00"/>
    <n v="4.95"/>
    <n v="4.95"/>
    <d v="2010-06-07T00:00:00"/>
    <d v="1899-12-30T03:31:00"/>
    <s v="PM"/>
    <s v="3:31 PM"/>
    <x v="0"/>
    <n v="4.95"/>
  </r>
  <r>
    <n v="17672"/>
    <n v="48138"/>
    <x v="129"/>
    <n v="2"/>
    <n v="2"/>
    <n v="2"/>
    <n v="500498"/>
    <d v="2010-03-08T13:17:00"/>
    <n v="7.49"/>
    <n v="7.49"/>
    <d v="2010-03-08T00:00:00"/>
    <d v="1899-12-30T01:17:00"/>
    <s v="PM"/>
    <s v="1:17 PM"/>
    <x v="0"/>
    <n v="14.98"/>
  </r>
  <r>
    <n v="14493"/>
    <n v="22081"/>
    <x v="514"/>
    <n v="2"/>
    <n v="2"/>
    <n v="2"/>
    <n v="513050"/>
    <d v="2010-06-21T13:18:00"/>
    <n v="1.65"/>
    <n v="1.65"/>
    <d v="2010-06-21T00:00:00"/>
    <d v="1899-12-30T01:18:00"/>
    <s v="PM"/>
    <s v="1:18 PM"/>
    <x v="0"/>
    <n v="3.3"/>
  </r>
  <r>
    <n v="13263"/>
    <n v="72133"/>
    <x v="515"/>
    <n v="2"/>
    <n v="2"/>
    <n v="2"/>
    <n v="528618"/>
    <d v="2010-10-22T17:07:00"/>
    <n v="1.25"/>
    <n v="1.25"/>
    <d v="2010-10-22T00:00:00"/>
    <d v="1899-12-30T05:07:00"/>
    <s v="PM"/>
    <s v="5:07 PM"/>
    <x v="0"/>
    <n v="2.5"/>
  </r>
  <r>
    <n v="15615"/>
    <n v="21931"/>
    <x v="322"/>
    <n v="20"/>
    <n v="20"/>
    <n v="20"/>
    <n v="520176"/>
    <d v="2010-08-24T13:28:00"/>
    <n v="1.95"/>
    <n v="1.95"/>
    <d v="2010-08-24T00:00:00"/>
    <d v="1899-12-30T01:28:00"/>
    <s v="PM"/>
    <s v="1:28 PM"/>
    <x v="0"/>
    <n v="39"/>
  </r>
  <r>
    <n v="13418"/>
    <s v="85099B"/>
    <x v="516"/>
    <n v="10"/>
    <n v="10"/>
    <n v="10"/>
    <n v="504183"/>
    <d v="2010-04-12T09:13:00"/>
    <n v="1.95"/>
    <n v="1.95"/>
    <d v="2010-04-12T00:00:00"/>
    <d v="1899-12-30T09:13:00"/>
    <s v="AM"/>
    <s v="9:13 AM"/>
    <x v="0"/>
    <n v="19.5"/>
  </r>
  <r>
    <n v="16771"/>
    <n v="84975"/>
    <x v="308"/>
    <n v="6"/>
    <n v="6"/>
    <n v="6"/>
    <s v=" 500098 "/>
    <d v="2010-03-04T12:32:00"/>
    <n v="1.69"/>
    <n v="1.69"/>
    <d v="2010-03-04T00:00:00"/>
    <d v="1899-12-30T12:32:00"/>
    <s v="PM"/>
    <s v="12:32 PM"/>
    <x v="0"/>
    <n v="10.14"/>
  </r>
  <r>
    <n v="16476"/>
    <n v="22162"/>
    <x v="259"/>
    <n v="8"/>
    <n v="8"/>
    <n v="8"/>
    <n v="525104"/>
    <d v="2010-10-04T10:29:00"/>
    <n v="2.95"/>
    <n v="2.95"/>
    <d v="2010-10-04T00:00:00"/>
    <d v="1899-12-30T10:29:00"/>
    <s v="AM"/>
    <s v="10:29 AM"/>
    <x v="0"/>
    <n v="23.6"/>
  </r>
  <r>
    <n v="17931"/>
    <s v="84520B"/>
    <x v="517"/>
    <n v="4"/>
    <n v="4"/>
    <n v="4"/>
    <n v="512560"/>
    <d v="2010-06-16T14:28:00"/>
    <n v="0.85"/>
    <n v="0.85"/>
    <d v="2010-06-16T00:00:00"/>
    <d v="1899-12-30T02:28:00"/>
    <s v="PM"/>
    <s v="2:28 PM"/>
    <x v="0"/>
    <n v="3.4"/>
  </r>
  <r>
    <n v="17287"/>
    <n v="85063"/>
    <x v="518"/>
    <n v="1"/>
    <n v="1"/>
    <n v="1"/>
    <n v="521222"/>
    <d v="2010-09-03T10:39:00"/>
    <n v="16.95"/>
    <n v="16.95"/>
    <d v="2010-09-03T00:00:00"/>
    <d v="1899-12-30T10:39:00"/>
    <s v="AM"/>
    <s v="10:39 AM"/>
    <x v="0"/>
    <n v="16.95"/>
  </r>
  <r>
    <n v="14136"/>
    <n v="21804"/>
    <x v="519"/>
    <n v="6"/>
    <n v="6"/>
    <n v="6"/>
    <n v="530742"/>
    <d v="2010-11-04T11:53:00"/>
    <n v="3.75"/>
    <n v="3.75"/>
    <d v="2010-11-04T00:00:00"/>
    <d v="1899-12-30T11:53:00"/>
    <s v="AM"/>
    <s v="11:53 AM"/>
    <x v="0"/>
    <n v="22.5"/>
  </r>
  <r>
    <n v="13381"/>
    <n v="22077"/>
    <x v="140"/>
    <n v="12"/>
    <n v="12"/>
    <n v="12"/>
    <n v="509453"/>
    <d v="2010-05-24T09:49:00"/>
    <n v="1.65"/>
    <n v="1.65"/>
    <d v="2010-05-24T00:00:00"/>
    <d v="1899-12-30T09:49:00"/>
    <s v="AM"/>
    <s v="9:49 AM"/>
    <x v="0"/>
    <n v="19.799999999999997"/>
  </r>
  <r>
    <n v="17448"/>
    <n v="20725"/>
    <x v="520"/>
    <n v="10"/>
    <n v="10"/>
    <n v="10"/>
    <n v="501508"/>
    <d v="2010-03-17T11:33:00"/>
    <n v="1.45"/>
    <n v="1.45"/>
    <d v="2010-03-17T00:00:00"/>
    <d v="1899-12-30T11:33:00"/>
    <s v="AM"/>
    <s v="11:33 AM"/>
    <x v="0"/>
    <n v="14.5"/>
  </r>
  <r>
    <n v="17675"/>
    <n v="21791"/>
    <x v="521"/>
    <n v="24"/>
    <n v="24"/>
    <n v="24"/>
    <n v="529597"/>
    <d v="2010-10-29T08:48:00"/>
    <n v="1.25"/>
    <n v="1.25"/>
    <d v="2010-10-29T00:00:00"/>
    <d v="1899-12-30T08:48:00"/>
    <s v="AM"/>
    <s v="8:48 AM"/>
    <x v="0"/>
    <n v="30"/>
  </r>
  <r>
    <n v="15013"/>
    <n v="21892"/>
    <x v="55"/>
    <n v="9"/>
    <n v="9"/>
    <n v="9"/>
    <n v="496313"/>
    <d v="2010-01-31T12:15:00"/>
    <n v="1.25"/>
    <n v="1.25"/>
    <d v="2010-01-31T00:00:00"/>
    <d v="1899-12-30T12:15:00"/>
    <s v="PM"/>
    <s v="12:15 PM"/>
    <x v="0"/>
    <n v="11.25"/>
  </r>
  <r>
    <n v="16891"/>
    <s v="84993A"/>
    <x v="522"/>
    <n v="1"/>
    <n v="1"/>
    <n v="1"/>
    <n v="536874"/>
    <d v="2010-12-03T11:35:00"/>
    <n v="0.42"/>
    <n v="0.42"/>
    <d v="2010-12-03T00:00:00"/>
    <d v="1899-12-30T11:35:00"/>
    <s v="AM"/>
    <s v="11:35 AM"/>
    <x v="0"/>
    <n v="0.42"/>
  </r>
  <r>
    <n v="13815"/>
    <n v="21238"/>
    <x v="523"/>
    <n v="8"/>
    <n v="8"/>
    <n v="8"/>
    <n v="511105"/>
    <d v="2010-06-07T09:37:00"/>
    <n v="0.85"/>
    <n v="0.85"/>
    <d v="2010-06-07T00:00:00"/>
    <d v="1899-12-30T09:37:00"/>
    <s v="AM"/>
    <s v="9:37 AM"/>
    <x v="2"/>
    <n v="6.8"/>
  </r>
  <r>
    <n v="14713"/>
    <n v="20971"/>
    <x v="524"/>
    <n v="4"/>
    <n v="4"/>
    <n v="4"/>
    <n v="524856"/>
    <d v="2010-09-30T19:43:00"/>
    <n v="1.25"/>
    <n v="1.25"/>
    <d v="2010-09-30T00:00:00"/>
    <d v="1899-12-30T07:43:00"/>
    <s v="PM"/>
    <s v="7:43 PM"/>
    <x v="0"/>
    <n v="5"/>
  </r>
  <r>
    <n v="16145"/>
    <n v="21212"/>
    <x v="376"/>
    <n v="24"/>
    <n v="24"/>
    <n v="24"/>
    <n v="533293"/>
    <s v="16-11-2010 15:58"/>
    <n v="0.55000000000000004"/>
    <n v="0.55000000000000004"/>
    <s v="16-11-2010"/>
    <d v="1899-12-30T15:58:00"/>
    <m/>
    <s v="15:58 "/>
    <x v="0"/>
    <n v="13.200000000000001"/>
  </r>
  <r>
    <n v="17897"/>
    <n v="22479"/>
    <x v="525"/>
    <n v="10"/>
    <n v="10"/>
    <n v="10"/>
    <n v="511136"/>
    <d v="2010-06-07T11:38:00"/>
    <n v="1.25"/>
    <n v="1.25"/>
    <d v="2010-06-07T00:00:00"/>
    <d v="1899-12-30T11:38:00"/>
    <s v="AM"/>
    <s v="11:38 AM"/>
    <x v="0"/>
    <n v="12.5"/>
  </r>
  <r>
    <n v="15023"/>
    <n v="22139"/>
    <x v="89"/>
    <n v="4"/>
    <n v="4"/>
    <n v="4"/>
    <n v="517513"/>
    <d v="2010-07-29T13:28:00"/>
    <n v="4.95"/>
    <n v="4.95"/>
    <d v="2010-07-29T00:00:00"/>
    <d v="1899-12-30T01:28:00"/>
    <s v="PM"/>
    <s v="1:28 PM"/>
    <x v="0"/>
    <n v="19.8"/>
  </r>
  <r>
    <n v="12701"/>
    <n v="22090"/>
    <x v="409"/>
    <n v="12"/>
    <n v="12"/>
    <n v="12"/>
    <n v="510936"/>
    <d v="2010-06-04T10:35:00"/>
    <n v="2.95"/>
    <n v="2.95"/>
    <d v="2010-06-04T00:00:00"/>
    <d v="1899-12-30T10:35:00"/>
    <s v="AM"/>
    <s v="10:35 AM"/>
    <x v="2"/>
    <n v="35.400000000000006"/>
  </r>
  <r>
    <n v="15160"/>
    <n v="21484"/>
    <x v="312"/>
    <n v="12"/>
    <n v="12"/>
    <n v="12"/>
    <n v="536263"/>
    <d v="2010-11-30T15:41:00"/>
    <n v="3.45"/>
    <n v="3.45"/>
    <d v="2010-11-30T00:00:00"/>
    <d v="1899-12-30T03:41:00"/>
    <s v="PM"/>
    <s v="3:41 PM"/>
    <x v="0"/>
    <n v="41.400000000000006"/>
  </r>
  <r>
    <n v="13979"/>
    <n v="37340"/>
    <x v="526"/>
    <n v="6"/>
    <n v="6"/>
    <n v="6"/>
    <n v="532297"/>
    <d v="2010-11-11T13:50:00"/>
    <n v="0.85"/>
    <n v="0.85"/>
    <d v="2010-11-11T00:00:00"/>
    <d v="1899-12-30T01:50:00"/>
    <s v="PM"/>
    <s v="1:50 PM"/>
    <x v="0"/>
    <n v="5.0999999999999996"/>
  </r>
  <r>
    <n v="12759"/>
    <n v="20679"/>
    <x v="527"/>
    <n v="3"/>
    <n v="3"/>
    <n v="3"/>
    <n v="490158"/>
    <d v="2009-12-04T10:47:00"/>
    <n v="5.95"/>
    <n v="5.95"/>
    <d v="2009-12-04T00:00:00"/>
    <d v="1899-12-30T10:47:00"/>
    <s v="AM"/>
    <s v="10:47 AM"/>
    <x v="9"/>
    <n v="17.850000000000001"/>
  </r>
  <r>
    <n v="15078"/>
    <n v="82582"/>
    <x v="528"/>
    <n v="6"/>
    <n v="6"/>
    <n v="6"/>
    <n v="509965"/>
    <d v="2010-05-26T13:17:00"/>
    <s v="2.10"/>
    <n v="2.1"/>
    <d v="2010-05-26T00:00:00"/>
    <d v="1899-12-30T01:17:00"/>
    <s v="PM"/>
    <s v="1:17 PM"/>
    <x v="0"/>
    <n v="12.600000000000001"/>
  </r>
  <r>
    <n v="13370"/>
    <n v="22697"/>
    <x v="529"/>
    <n v="6"/>
    <n v="6"/>
    <n v="6"/>
    <n v="536856"/>
    <d v="2010-12-03T10:26:00"/>
    <n v="2.95"/>
    <n v="2.95"/>
    <d v="2010-12-03T00:00:00"/>
    <d v="1899-12-30T10:26:00"/>
    <s v="AM"/>
    <s v="10:26 AM"/>
    <x v="0"/>
    <n v="17.700000000000003"/>
  </r>
  <r>
    <n v="14443"/>
    <n v="85175"/>
    <x v="530"/>
    <n v="16"/>
    <n v="16"/>
    <n v="16"/>
    <n v="535283"/>
    <d v="2010-11-25T14:18:00"/>
    <n v="0.42"/>
    <n v="0.42"/>
    <d v="2010-11-25T00:00:00"/>
    <d v="1899-12-30T02:18:00"/>
    <s v="PM"/>
    <s v="2:18 PM"/>
    <x v="0"/>
    <n v="6.72"/>
  </r>
  <r>
    <n v="15494"/>
    <s v="85049G"/>
    <x v="531"/>
    <n v="9"/>
    <n v="9"/>
    <n v="9"/>
    <n v="519610"/>
    <d v="2010-08-18T16:54:00"/>
    <n v="1.25"/>
    <n v="1.25"/>
    <d v="2010-08-18T00:00:00"/>
    <d v="1899-12-30T04:54:00"/>
    <s v="PM"/>
    <s v="4:54 PM"/>
    <x v="0"/>
    <n v="11.25"/>
  </r>
  <r>
    <s v="12835"/>
    <n v="21446"/>
    <x v="532"/>
    <n v="1"/>
    <n v="1"/>
    <n v="1"/>
    <n v="512657"/>
    <d v="2010-06-17T11:23:00"/>
    <n v="1.25"/>
    <n v="1.25"/>
    <d v="2010-06-17T00:00:00"/>
    <d v="1899-12-30T11:23:00"/>
    <s v="AM"/>
    <s v="11:23 AM"/>
    <x v="0"/>
    <n v="1.25"/>
  </r>
  <r>
    <n v="14606"/>
    <n v="21210"/>
    <x v="394"/>
    <n v="6"/>
    <n v="6"/>
    <n v="6"/>
    <n v="506029"/>
    <d v="2010-04-27T11:40:00"/>
    <n v="1.45"/>
    <n v="1.45"/>
    <d v="2010-04-27T00:00:00"/>
    <d v="1899-12-30T11:40:00"/>
    <s v="AM"/>
    <s v="11:40 AM"/>
    <x v="0"/>
    <n v="8.6999999999999993"/>
  </r>
  <r>
    <n v="16382"/>
    <s v="79066K"/>
    <x v="533"/>
    <n v="1"/>
    <n v="1"/>
    <n v="1"/>
    <n v="529339"/>
    <d v="2010-10-27T16:23:00"/>
    <n v="0.85"/>
    <n v="0.85"/>
    <d v="2010-10-27T00:00:00"/>
    <d v="1899-12-30T04:23:00"/>
    <s v="PM"/>
    <s v="4:23 PM"/>
    <x v="0"/>
    <n v="0.85"/>
  </r>
  <r>
    <n v="17023"/>
    <n v="21106"/>
    <x v="447"/>
    <n v="6"/>
    <n v="6"/>
    <n v="6"/>
    <n v="518561"/>
    <d v="2010-08-10T10:22:00"/>
    <n v="2.95"/>
    <n v="2.95"/>
    <d v="2010-08-10T00:00:00"/>
    <d v="1899-12-30T10:22:00"/>
    <s v="AM"/>
    <s v="10:22 AM"/>
    <x v="0"/>
    <n v="17.700000000000003"/>
  </r>
  <r>
    <n v="14606"/>
    <n v="22196"/>
    <x v="36"/>
    <n v="1"/>
    <n v="1"/>
    <n v="1"/>
    <n v="514676"/>
    <d v="2010-07-05T13:34:00"/>
    <n v="0.85"/>
    <n v="0.85"/>
    <d v="2010-07-05T00:00:00"/>
    <d v="1899-12-30T01:34:00"/>
    <s v="PM"/>
    <s v="1:34 PM"/>
    <x v="0"/>
    <n v="0.85"/>
  </r>
  <r>
    <n v="16550"/>
    <n v="21658"/>
    <x v="151"/>
    <n v="1"/>
    <n v="-1"/>
    <n v="-1"/>
    <s v="C537383"/>
    <d v="2010-12-06T13:17:00"/>
    <n v="3.95"/>
    <n v="3.95"/>
    <d v="2010-12-06T00:00:00"/>
    <d v="1899-12-30T01:17:00"/>
    <s v="PM"/>
    <s v="1:17 PM"/>
    <x v="0"/>
    <n v="3.95"/>
  </r>
  <r>
    <n v="12714"/>
    <n v="21915"/>
    <x v="256"/>
    <n v="12"/>
    <n v="12"/>
    <n v="12"/>
    <n v="514165"/>
    <d v="2010-06-30T15:35:00"/>
    <n v="1.25"/>
    <n v="1.25"/>
    <d v="2010-06-30T00:00:00"/>
    <d v="1899-12-30T03:35:00"/>
    <s v="PM"/>
    <s v="3:35 PM"/>
    <x v="3"/>
    <n v="15"/>
  </r>
  <r>
    <n v="15601"/>
    <n v="22431"/>
    <x v="360"/>
    <n v="6"/>
    <n v="6"/>
    <n v="6"/>
    <n v="536623"/>
    <d v="2010-12-02T10:39:00"/>
    <n v="1.95"/>
    <n v="1.95"/>
    <d v="2010-12-02T00:00:00"/>
    <d v="1899-12-30T10:39:00"/>
    <s v="AM"/>
    <s v="10:39 AM"/>
    <x v="0"/>
    <n v="11.7"/>
  </r>
  <r>
    <n v="17320"/>
    <n v="21955"/>
    <x v="534"/>
    <n v="0"/>
    <n v="0"/>
    <m/>
    <n v="524179"/>
    <d v="2010-09-27T16:39:00"/>
    <n v="7.95"/>
    <n v="7.95"/>
    <d v="2010-09-27T00:00:00"/>
    <d v="1899-12-30T04:39:00"/>
    <s v="PM"/>
    <s v="4:39 PM"/>
    <x v="0"/>
    <n v="0"/>
  </r>
  <r>
    <n v="14439"/>
    <n v="85187"/>
    <x v="535"/>
    <n v="12"/>
    <n v="12"/>
    <n v="12"/>
    <n v="495185"/>
    <d v="2010-01-21T14:01:00"/>
    <n v="1.65"/>
    <n v="1.65"/>
    <d v="2010-01-21T00:00:00"/>
    <d v="1899-12-30T02:01:00"/>
    <s v="PM"/>
    <s v="2:01 PM"/>
    <x v="16"/>
    <n v="19.799999999999997"/>
  </r>
  <r>
    <n v="15514"/>
    <n v="21691"/>
    <x v="536"/>
    <n v="2"/>
    <n v="2"/>
    <s v="2"/>
    <n v="493375"/>
    <d v="2009-12-23T12:07:00"/>
    <n v="3.75"/>
    <n v="3.75"/>
    <d v="2009-12-23T00:00:00"/>
    <d v="1899-12-30T12:07:00"/>
    <s v="PM"/>
    <s v="12:07 PM"/>
    <x v="0"/>
    <n v="7.5"/>
  </r>
  <r>
    <n v="15003"/>
    <s v="72807A"/>
    <x v="537"/>
    <n v="1"/>
    <n v="1"/>
    <n v="1"/>
    <n v="495706"/>
    <d v="2010-01-26T13:04:00"/>
    <n v="4.25"/>
    <n v="4.25"/>
    <d v="2010-01-26T00:00:00"/>
    <d v="1899-12-30T01:04:00"/>
    <s v="PM"/>
    <s v="1:04 PM"/>
    <x v="0"/>
    <n v="4.25"/>
  </r>
  <r>
    <n v="14307"/>
    <n v="22619"/>
    <x v="538"/>
    <n v="4"/>
    <n v="4"/>
    <n v="4"/>
    <n v="536408"/>
    <d v="2010-12-01T11:41:00"/>
    <n v="3.75"/>
    <n v="3.75"/>
    <d v="2010-12-01T00:00:00"/>
    <d v="1899-12-30T11:41:00"/>
    <s v="AM"/>
    <s v="11:41 AM"/>
    <x v="0"/>
    <n v="15"/>
  </r>
  <r>
    <n v="14410"/>
    <n v="22988"/>
    <x v="539"/>
    <n v="24"/>
    <n v="24"/>
    <n v="24"/>
    <n v="535803"/>
    <d v="2010-11-28T14:57:00"/>
    <n v="1.25"/>
    <n v="1.25"/>
    <d v="2010-11-28T00:00:00"/>
    <d v="1899-12-30T02:57:00"/>
    <s v="PM"/>
    <s v="2:57 PM"/>
    <x v="0"/>
    <n v="30"/>
  </r>
  <r>
    <n v="13769"/>
    <n v="22588"/>
    <x v="198"/>
    <n v="6"/>
    <n v="6"/>
    <n v="6"/>
    <n v="521546"/>
    <d v="2010-09-06T15:28:00"/>
    <n v="2.5499999999999998"/>
    <n v="2.5499999999999998"/>
    <d v="2010-09-06T00:00:00"/>
    <d v="1899-12-30T03:28:00"/>
    <s v="PM"/>
    <s v="3:28 PM"/>
    <x v="0"/>
    <n v="15.299999999999999"/>
  </r>
  <r>
    <n v="16843"/>
    <n v="20914"/>
    <x v="49"/>
    <n v="32"/>
    <n v="32"/>
    <n v="32"/>
    <n v="516788"/>
    <d v="2010-07-23T10:00:00"/>
    <n v="2.5499999999999998"/>
    <n v="2.5499999999999998"/>
    <d v="2010-07-23T00:00:00"/>
    <d v="1899-12-30T10:00:00"/>
    <s v="AM"/>
    <s v="10:00 AM"/>
    <x v="0"/>
    <n v="81.599999999999994"/>
  </r>
  <r>
    <n v="17738"/>
    <n v="22151"/>
    <x v="164"/>
    <n v="24"/>
    <n v="24"/>
    <n v="24"/>
    <n v="501710"/>
    <d v="2010-03-19T10:07:00"/>
    <n v="0.42"/>
    <n v="0.42"/>
    <d v="2010-03-19T00:00:00"/>
    <d v="1899-12-30T10:07:00"/>
    <s v="AM"/>
    <s v="10:07 AM"/>
    <x v="0"/>
    <n v="10.08"/>
  </r>
  <r>
    <n v="15998"/>
    <s v="84970S"/>
    <x v="439"/>
    <n v="12"/>
    <n v="12"/>
    <n v="12"/>
    <n v="494870"/>
    <d v="2010-01-19T12:15:00"/>
    <n v="0.85"/>
    <n v="0.85"/>
    <d v="2010-01-19T00:00:00"/>
    <d v="1899-12-30T12:15:00"/>
    <s v="PM"/>
    <s v="12:15 PM"/>
    <x v="0"/>
    <n v="10.199999999999999"/>
  </r>
  <r>
    <n v="13093"/>
    <n v="84692"/>
    <x v="540"/>
    <n v="50"/>
    <n v="50"/>
    <n v="50"/>
    <n v="490156"/>
    <d v="2009-12-04T10:32:00"/>
    <n v="0.42"/>
    <n v="0.42"/>
    <d v="2009-12-04T00:00:00"/>
    <d v="1899-12-30T10:32:00"/>
    <s v="AM"/>
    <s v="10:32 AM"/>
    <x v="0"/>
    <n v="21"/>
  </r>
  <r>
    <n v="15633"/>
    <n v="21213"/>
    <x v="176"/>
    <n v="24"/>
    <n v="24"/>
    <n v="24"/>
    <n v="494632"/>
    <s v="01/15/2010 16:53"/>
    <s v="0.55"/>
    <n v="0.55000000000000004"/>
    <d v="2010-01-15T00:00:00"/>
    <d v="1899-12-30T16:53:00"/>
    <m/>
    <s v="16:53 "/>
    <x v="0"/>
    <n v="13.200000000000001"/>
  </r>
  <r>
    <n v="16161"/>
    <s v="15060B"/>
    <x v="541"/>
    <n v="3"/>
    <n v="3"/>
    <n v="3"/>
    <n v="520196"/>
    <d v="2010-08-24T14:59:00"/>
    <n v="3.75"/>
    <n v="3.75"/>
    <d v="2010-08-24T00:00:00"/>
    <d v="1899-12-30T02:59:00"/>
    <s v="PM"/>
    <s v="2:59 PM"/>
    <x v="0"/>
    <n v="11.25"/>
  </r>
  <r>
    <n v="17603"/>
    <n v="21700"/>
    <x v="542"/>
    <n v="12"/>
    <n v="12"/>
    <n v="12"/>
    <n v="496288"/>
    <d v="2010-01-29T17:25:00"/>
    <n v="0.85"/>
    <n v="0.85"/>
    <d v="2010-01-29T00:00:00"/>
    <d v="1899-12-30T05:25:00"/>
    <s v="PM"/>
    <s v="5:25 PM"/>
    <x v="0"/>
    <n v="10.199999999999999"/>
  </r>
  <r>
    <n v="13110"/>
    <n v="84674"/>
    <x v="543"/>
    <n v="2"/>
    <n v="2"/>
    <n v="2"/>
    <n v="510546"/>
    <d v="2010-06-01T15:45:00"/>
    <n v="2.95"/>
    <n v="2.95"/>
    <d v="2010-06-01T00:00:00"/>
    <d v="1899-12-30T03:45:00"/>
    <s v="PM"/>
    <s v="3:45 PM"/>
    <x v="0"/>
    <n v="5.9"/>
  </r>
  <r>
    <n v="17841"/>
    <s v="84997C"/>
    <x v="297"/>
    <n v="1"/>
    <n v="1"/>
    <n v="1"/>
    <n v="508483"/>
    <d v="2010-05-16T12:51:00"/>
    <n v="3.75"/>
    <n v="3.75"/>
    <d v="2010-05-16T00:00:00"/>
    <d v="1899-12-30T12:51:00"/>
    <s v="PM"/>
    <s v="12:51 PM"/>
    <x v="0"/>
    <n v="3.75"/>
  </r>
  <r>
    <n v="13823"/>
    <n v="82600"/>
    <x v="195"/>
    <n v="12"/>
    <n v="12"/>
    <n v="12"/>
    <n v="496977"/>
    <d v="2010-02-05T09:49:00"/>
    <n v="2.1"/>
    <n v="2.1"/>
    <d v="2010-02-05T00:00:00"/>
    <d v="1899-12-30T09:49:00"/>
    <s v="AM"/>
    <s v="9:49 AM"/>
    <x v="0"/>
    <n v="25.200000000000003"/>
  </r>
  <r>
    <n v="14606"/>
    <s v="15044A"/>
    <x v="544"/>
    <n v="1"/>
    <n v="1"/>
    <n v="1"/>
    <n v="509151"/>
    <d v="2010-05-20T13:06:00"/>
    <n v="2.95"/>
    <n v="2.95"/>
    <d v="2010-05-20T00:00:00"/>
    <d v="1899-12-30T01:06:00"/>
    <s v="PM"/>
    <s v="1:06 PM"/>
    <x v="0"/>
    <n v="2.95"/>
  </r>
  <r>
    <n v="16458"/>
    <n v="82581"/>
    <x v="545"/>
    <n v="6"/>
    <n v="6"/>
    <n v="6"/>
    <n v="514630"/>
    <d v="2010-07-05T12:34:00"/>
    <n v="0.55000000000000004"/>
    <n v="0.55000000000000004"/>
    <d v="2010-07-05T00:00:00"/>
    <d v="1899-12-30T12:34:00"/>
    <s v="PM"/>
    <s v="12:34 PM"/>
    <x v="0"/>
    <n v="3.3000000000000003"/>
  </r>
  <r>
    <n v="17582"/>
    <n v="22061"/>
    <x v="356"/>
    <n v="1"/>
    <n v="1"/>
    <n v="1"/>
    <n v="508484"/>
    <d v="2010-05-16T12:54:00"/>
    <n v="9.9499999999999993"/>
    <n v="9.9499999999999993"/>
    <d v="2010-05-16T00:00:00"/>
    <d v="1899-12-30T12:54:00"/>
    <s v="PM"/>
    <s v="12:54 PM"/>
    <x v="0"/>
    <n v="9.9499999999999993"/>
  </r>
  <r>
    <n v="16774"/>
    <n v="21410"/>
    <x v="546"/>
    <n v="1"/>
    <n v="1"/>
    <n v="1"/>
    <n v="498132"/>
    <d v="2010-02-16T16:53:00"/>
    <n v="4.25"/>
    <n v="4.25"/>
    <d v="2010-02-16T00:00:00"/>
    <d v="1899-12-30T04:53:00"/>
    <s v="PM"/>
    <s v="4:53 PM"/>
    <x v="0"/>
    <n v="4.25"/>
  </r>
  <r>
    <n v="14276"/>
    <n v="21212"/>
    <x v="376"/>
    <n v="24"/>
    <n v="24"/>
    <n v="24"/>
    <n v="529547"/>
    <d v="2010-10-28T17:13:00"/>
    <n v="0.55000000000000004"/>
    <n v="0.55000000000000004"/>
    <d v="2010-10-28T00:00:00"/>
    <d v="1899-12-30T05:13:00"/>
    <s v="PM"/>
    <s v="5:13 PM"/>
    <x v="0"/>
    <n v="13.200000000000001"/>
  </r>
  <r>
    <n v="18101"/>
    <n v="20655"/>
    <x v="547"/>
    <n v="2"/>
    <n v="2"/>
    <n v="2"/>
    <n v="536235"/>
    <d v="2010-11-30T14:21:00"/>
    <s v="1.25"/>
    <n v="1.25"/>
    <d v="2010-11-30T00:00:00"/>
    <d v="1899-12-30T02:21:00"/>
    <s v="PM"/>
    <s v="2:21 PM"/>
    <x v="0"/>
    <n v="2.5"/>
  </r>
  <r>
    <n v="16919"/>
    <n v="21486"/>
    <x v="548"/>
    <n v="2"/>
    <n v="2"/>
    <n v="2"/>
    <n v="523065"/>
    <d v="2010-09-20T12:05:00"/>
    <n v="3.75"/>
    <n v="3.75"/>
    <d v="2010-09-20T00:00:00"/>
    <d v="1899-12-30T12:05:00"/>
    <s v="PM"/>
    <s v="12:05 PM"/>
    <x v="0"/>
    <n v="7.5"/>
  </r>
  <r>
    <n v="16725"/>
    <s v="35597B"/>
    <x v="549"/>
    <n v="1"/>
    <n v="1"/>
    <n v="1"/>
    <n v="491717"/>
    <d v="2009-12-13T15:54:00"/>
    <n v="1.25"/>
    <n v="1.25"/>
    <d v="2009-12-13T00:00:00"/>
    <d v="1899-12-30T03:54:00"/>
    <s v="PM"/>
    <s v="3:54 PM"/>
    <x v="0"/>
    <n v="1.25"/>
  </r>
  <r>
    <n v="14156"/>
    <n v="21777"/>
    <x v="3"/>
    <n v="48"/>
    <n v="48"/>
    <n v="48"/>
    <n v="512411"/>
    <d v="2010-06-15T13:19:00"/>
    <n v="6.95"/>
    <n v="6.95"/>
    <d v="2010-06-15T00:00:00"/>
    <d v="1899-12-30T01:19:00"/>
    <s v="PM"/>
    <s v="1:19 PM"/>
    <x v="1"/>
    <n v="333.6"/>
  </r>
  <r>
    <n v="14667"/>
    <s v="85049G"/>
    <x v="531"/>
    <n v="11"/>
    <n v="11"/>
    <n v="11"/>
    <n v="526889"/>
    <d v="2010-10-13T14:39:00"/>
    <n v="1.25"/>
    <n v="1.25"/>
    <d v="2010-10-13T00:00:00"/>
    <d v="1899-12-30T02:39:00"/>
    <s v="PM"/>
    <s v="2:39 PM"/>
    <x v="0"/>
    <n v="13.75"/>
  </r>
  <r>
    <n v="14688"/>
    <n v="21989"/>
    <x v="550"/>
    <n v="3"/>
    <n v="3"/>
    <n v="3"/>
    <n v="521901"/>
    <d v="2010-09-09T12:37:00"/>
    <n v="0.85"/>
    <n v="0.85"/>
    <d v="2010-09-09T00:00:00"/>
    <d v="1899-12-30T12:37:00"/>
    <s v="PM"/>
    <s v="12:37 PM"/>
    <x v="0"/>
    <n v="2.5499999999999998"/>
  </r>
  <r>
    <n v="17710"/>
    <n v="22403"/>
    <x v="551"/>
    <n v="12"/>
    <n v="12"/>
    <n v="12"/>
    <n v="526484"/>
    <d v="2010-10-12T07:49:00"/>
    <n v="1.25"/>
    <n v="1.25"/>
    <d v="2010-10-12T00:00:00"/>
    <d v="1899-12-30T07:49:00"/>
    <s v="AM"/>
    <s v="7:49 AM"/>
    <x v="0"/>
    <n v="15"/>
  </r>
  <r>
    <n v="15039"/>
    <n v="22411"/>
    <x v="148"/>
    <n v="10"/>
    <n v="10"/>
    <n v="10"/>
    <n v="514563"/>
    <d v="2010-07-05T11:48:00"/>
    <n v="1.95"/>
    <n v="1.95"/>
    <d v="2010-07-05T00:00:00"/>
    <d v="1899-12-30T11:48:00"/>
    <s v="AM"/>
    <s v="11:48 AM"/>
    <x v="0"/>
    <n v="19.5"/>
  </r>
  <r>
    <n v="17264"/>
    <n v="21669"/>
    <x v="552"/>
    <n v="1"/>
    <n v="1"/>
    <n v="1"/>
    <n v="526388"/>
    <d v="2010-10-11T12:52:00"/>
    <n v="1.25"/>
    <n v="1.25"/>
    <d v="2010-10-11T00:00:00"/>
    <d v="1899-12-30T12:52:00"/>
    <s v="PM"/>
    <s v="12:52 PM"/>
    <x v="0"/>
    <n v="1.25"/>
  </r>
  <r>
    <n v="15998"/>
    <n v="21843"/>
    <x v="553"/>
    <n v="2"/>
    <n v="2"/>
    <n v="2"/>
    <n v="513615"/>
    <d v="2010-06-27T12:25:00"/>
    <n v="10.95"/>
    <n v="10.95"/>
    <d v="2010-06-27T00:00:00"/>
    <d v="1899-12-30T12:25:00"/>
    <s v="PM"/>
    <s v="12:25 PM"/>
    <x v="0"/>
    <n v="21.9"/>
  </r>
  <r>
    <n v="16032"/>
    <n v="21982"/>
    <x v="554"/>
    <n v="12"/>
    <n v="12"/>
    <n v="12"/>
    <n v="514511"/>
    <d v="2010-07-04T13:31:00"/>
    <n v="0.28999999999999998"/>
    <n v="0.28999999999999998"/>
    <d v="2010-07-04T00:00:00"/>
    <d v="1899-12-30T01:31:00"/>
    <s v="PM"/>
    <s v="1:31 PM"/>
    <x v="0"/>
    <n v="3.4799999999999995"/>
  </r>
  <r>
    <n v="16940"/>
    <n v="22318"/>
    <x v="1"/>
    <n v="4"/>
    <n v="4"/>
    <n v="4"/>
    <n v="498095"/>
    <d v="2010-02-16T12:50:00"/>
    <n v="2.95"/>
    <n v="2.95"/>
    <d v="2010-02-16T00:00:00"/>
    <d v="1899-12-30T12:50:00"/>
    <s v="PM"/>
    <s v="12:50 PM"/>
    <x v="0"/>
    <n v="11.8"/>
  </r>
  <r>
    <n v="15109"/>
    <n v="72741"/>
    <x v="294"/>
    <n v="18"/>
    <n v="18"/>
    <n v="18"/>
    <n v="507405"/>
    <d v="2010-05-09T13:44:00"/>
    <n v="1.45"/>
    <n v="1.45"/>
    <d v="2010-05-09T00:00:00"/>
    <d v="1899-12-30T01:44:00"/>
    <s v="PM"/>
    <s v="1:44 PM"/>
    <x v="0"/>
    <n v="26.099999999999998"/>
  </r>
  <r>
    <n v="15555"/>
    <n v="21034"/>
    <x v="306"/>
    <n v="1"/>
    <n v="1"/>
    <n v="1"/>
    <n v="512949"/>
    <d v="2010-06-20T16:06:00"/>
    <n v="0.95"/>
    <n v="0.95"/>
    <d v="2010-06-20T00:00:00"/>
    <d v="1899-12-30T04:06:00"/>
    <s v="PM"/>
    <s v="4:06 PM"/>
    <x v="0"/>
    <n v="0.95"/>
  </r>
  <r>
    <n v="17188"/>
    <n v="85060"/>
    <x v="555"/>
    <n v="24"/>
    <n v="24"/>
    <n v="24"/>
    <n v="506873"/>
    <d v="2010-05-04T16:18:00"/>
    <n v="1.25"/>
    <n v="1.25"/>
    <d v="2010-05-04T00:00:00"/>
    <d v="1899-12-30T04:18:00"/>
    <s v="PM"/>
    <s v="4:18 PM"/>
    <x v="0"/>
    <n v="30"/>
  </r>
  <r>
    <n v="16600"/>
    <n v="22149"/>
    <x v="334"/>
    <n v="6"/>
    <n v="6"/>
    <n v="6"/>
    <n v="536214"/>
    <d v="2010-11-30T13:34:00"/>
    <n v="2.1"/>
    <n v="2.1"/>
    <d v="2010-11-30T00:00:00"/>
    <d v="1899-12-30T01:34:00"/>
    <s v="PM"/>
    <s v="1:34 PM"/>
    <x v="0"/>
    <n v="12.600000000000001"/>
  </r>
  <r>
    <n v="16554"/>
    <s v="85035A"/>
    <x v="556"/>
    <n v="1"/>
    <n v="-1"/>
    <n v="-1"/>
    <n v="504182"/>
    <d v="2010-04-12T08:59:00"/>
    <n v="4.25"/>
    <n v="4.25"/>
    <d v="2010-04-12T00:00:00"/>
    <d v="1899-12-30T08:59:00"/>
    <s v="AM"/>
    <s v="8:59 AM"/>
    <x v="0"/>
    <n v="4.25"/>
  </r>
  <r>
    <n v="13206"/>
    <s v="72750D"/>
    <x v="557"/>
    <n v="32"/>
    <n v="32"/>
    <n v="32"/>
    <n v="490685"/>
    <d v="2009-12-07T13:48:00"/>
    <n v="1.95"/>
    <n v="1.95"/>
    <d v="2009-12-07T00:00:00"/>
    <d v="1899-12-30T01:48:00"/>
    <s v="PM"/>
    <s v="1:48 PM"/>
    <x v="0"/>
    <n v="62.4"/>
  </r>
  <r>
    <n v="16713"/>
    <n v="22697"/>
    <x v="529"/>
    <n v="3"/>
    <n v="3"/>
    <n v="3"/>
    <n v="529323"/>
    <s v="27-10-2010 14:05"/>
    <n v="2.95"/>
    <n v="2.95"/>
    <s v="27-10-2010"/>
    <d v="1899-12-30T14:05:00"/>
    <m/>
    <s v="14:05 "/>
    <x v="0"/>
    <n v="8.8500000000000014"/>
  </r>
  <r>
    <n v="13564"/>
    <s v="85232B"/>
    <x v="558"/>
    <n v="6"/>
    <n v="6"/>
    <n v="6"/>
    <n v="517712"/>
    <d v="2010-08-01T11:17:00"/>
    <n v="4.95"/>
    <n v="4.95"/>
    <d v="2010-08-01T00:00:00"/>
    <d v="1899-12-30T11:17:00"/>
    <s v="AM"/>
    <s v="11:17 AM"/>
    <x v="0"/>
    <n v="29.700000000000003"/>
  </r>
  <r>
    <n v="12678"/>
    <n v="22636"/>
    <x v="559"/>
    <n v="52"/>
    <n v="52"/>
    <n v="52"/>
    <n v="514809"/>
    <d v="2010-07-06T11:44:00"/>
    <n v="7.65"/>
    <n v="7.65"/>
    <d v="2010-07-06T00:00:00"/>
    <d v="1899-12-30T11:44:00"/>
    <s v="AM"/>
    <s v="11:44 AM"/>
    <x v="3"/>
    <n v="397.8"/>
  </r>
  <r>
    <n v="12913"/>
    <n v="22083"/>
    <x v="8"/>
    <n v="40"/>
    <n v="40"/>
    <n v="40"/>
    <n v="490705"/>
    <d v="2009-12-07T14:56:00"/>
    <n v="2.5499999999999998"/>
    <n v="2.5499999999999998"/>
    <d v="2009-12-07T00:00:00"/>
    <d v="1899-12-30T02:56:00"/>
    <s v="PM"/>
    <s v="2:56 PM"/>
    <x v="0"/>
    <n v="102"/>
  </r>
  <r>
    <n v="17563"/>
    <n v="84691"/>
    <x v="560"/>
    <n v="12"/>
    <n v="12"/>
    <n v="12"/>
    <n v="503730"/>
    <s v="04/07/2010 10:02"/>
    <n v="0.85"/>
    <n v="0.85"/>
    <d v="2010-04-07T00:00:00"/>
    <d v="1899-12-30T10:02:00"/>
    <m/>
    <s v="10:02 "/>
    <x v="0"/>
    <n v="10.199999999999999"/>
  </r>
  <r>
    <n v="13295"/>
    <n v="22969"/>
    <x v="561"/>
    <n v="12"/>
    <n v="12"/>
    <n v="12"/>
    <n v="535787"/>
    <d v="2010-11-28T14:14:00"/>
    <n v="1.45"/>
    <n v="1.45"/>
    <d v="2010-11-28T00:00:00"/>
    <d v="1899-12-30T02:14:00"/>
    <s v="PM"/>
    <s v="2:14 PM"/>
    <x v="0"/>
    <n v="17.399999999999999"/>
  </r>
  <r>
    <n v="12793"/>
    <s v="85099F"/>
    <x v="450"/>
    <n v="10"/>
    <n v="10"/>
    <n v="10"/>
    <n v="530540"/>
    <d v="2010-11-03T13:05:00"/>
    <n v="1.95"/>
    <n v="1.95"/>
    <d v="2010-11-03T00:00:00"/>
    <d v="1899-12-30T01:05:00"/>
    <s v="PM"/>
    <s v="1:05 PM"/>
    <x v="13"/>
    <n v="19.5"/>
  </r>
  <r>
    <n v="17231"/>
    <n v="22171"/>
    <x v="562"/>
    <n v="1"/>
    <n v="1"/>
    <n v="1"/>
    <n v="505969"/>
    <d v="2010-04-26T16:36:00"/>
    <n v="8.5"/>
    <n v="8.5"/>
    <d v="2010-04-26T00:00:00"/>
    <d v="1899-12-30T04:36:00"/>
    <s v="PM"/>
    <s v="4:36 PM"/>
    <x v="0"/>
    <n v="8.5"/>
  </r>
  <r>
    <n v="16487"/>
    <n v="21175"/>
    <x v="76"/>
    <n v="3"/>
    <n v="3"/>
    <n v="3"/>
    <n v="507840"/>
    <d v="2010-05-11T13:38:00"/>
    <n v="2.1"/>
    <n v="2.1"/>
    <d v="2010-05-11T00:00:00"/>
    <d v="1899-12-30T01:38:00"/>
    <s v="PM"/>
    <s v="1:38 PM"/>
    <x v="0"/>
    <n v="6.3000000000000007"/>
  </r>
  <r>
    <n v="16675"/>
    <n v="21770"/>
    <x v="563"/>
    <n v="1"/>
    <n v="1"/>
    <n v="1"/>
    <n v="519580"/>
    <d v="2010-08-18T13:11:00"/>
    <n v="4.95"/>
    <n v="4.95"/>
    <d v="2010-08-18T00:00:00"/>
    <d v="1899-12-30T01:11:00"/>
    <s v="PM"/>
    <s v="1:11 PM"/>
    <x v="0"/>
    <n v="4.95"/>
  </r>
  <r>
    <n v="17841"/>
    <s v="84997D"/>
    <x v="564"/>
    <n v="1"/>
    <n v="1"/>
    <n v="1"/>
    <n v="519691"/>
    <d v="2010-08-19T13:32:00"/>
    <n v="3.75"/>
    <n v="3.75"/>
    <d v="2010-08-19T00:00:00"/>
    <d v="1899-12-30T01:32:00"/>
    <s v="PM"/>
    <s v="1:32 PM"/>
    <x v="0"/>
    <n v="3.75"/>
  </r>
  <r>
    <n v="17998"/>
    <n v="22139"/>
    <x v="89"/>
    <n v="1"/>
    <n v="1"/>
    <n v="1"/>
    <n v="489562"/>
    <d v="2009-12-01T13:07:00"/>
    <n v="4.95"/>
    <n v="4.95"/>
    <d v="2009-12-01T00:00:00"/>
    <d v="1899-12-30T01:07:00"/>
    <s v="PM"/>
    <s v="1:07 PM"/>
    <x v="0"/>
    <n v="4.95"/>
  </r>
  <r>
    <n v="13394"/>
    <n v="22086"/>
    <x v="565"/>
    <n v="6"/>
    <n v="6"/>
    <n v="6"/>
    <n v="524708"/>
    <d v="2010-09-30T12:38:00"/>
    <n v="2.95"/>
    <n v="2.95"/>
    <d v="2010-09-30T00:00:00"/>
    <d v="1899-12-30T12:38:00"/>
    <s v="PM"/>
    <s v="12:38 PM"/>
    <x v="0"/>
    <n v="17.700000000000003"/>
  </r>
  <r>
    <n v="16004"/>
    <n v="22356"/>
    <x v="566"/>
    <n v="30"/>
    <n v="30"/>
    <n v="30"/>
    <n v="501542"/>
    <d v="2010-03-17T14:27:00"/>
    <n v="0.85"/>
    <n v="0.85"/>
    <d v="2010-03-17T00:00:00"/>
    <d v="1899-12-30T02:27:00"/>
    <s v="PM"/>
    <s v="2:27 PM"/>
    <x v="0"/>
    <n v="25.5"/>
  </r>
  <r>
    <n v="12714"/>
    <n v="21156"/>
    <x v="56"/>
    <n v="16"/>
    <n v="16"/>
    <n v="16"/>
    <n v="506254"/>
    <d v="2010-04-28T13:59:00"/>
    <n v="1.95"/>
    <n v="1.95"/>
    <d v="2010-04-28T00:00:00"/>
    <d v="1899-12-30T01:59:00"/>
    <s v="PM"/>
    <s v="1:59 PM"/>
    <x v="3"/>
    <n v="31.2"/>
  </r>
  <r>
    <n v="15051"/>
    <n v="21283"/>
    <x v="567"/>
    <n v="4"/>
    <n v="4"/>
    <n v="4"/>
    <n v="498046"/>
    <d v="2010-02-16T10:44:00"/>
    <n v="3.25"/>
    <n v="3.25"/>
    <d v="2010-02-16T00:00:00"/>
    <d v="1899-12-30T10:44:00"/>
    <s v="AM"/>
    <s v="10:44 AM"/>
    <x v="0"/>
    <n v="13"/>
  </r>
  <r>
    <n v="16938"/>
    <n v="22666"/>
    <x v="568"/>
    <n v="1"/>
    <n v="1"/>
    <n v="1"/>
    <n v="517977"/>
    <d v="2010-08-03T14:23:00"/>
    <n v="2.95"/>
    <n v="2.95"/>
    <d v="2010-08-03T00:00:00"/>
    <d v="1899-12-30T02:23:00"/>
    <s v="PM"/>
    <s v="2:23 PM"/>
    <x v="0"/>
    <n v="2.95"/>
  </r>
  <r>
    <n v="12583"/>
    <n v="21039"/>
    <x v="569"/>
    <n v="6"/>
    <n v="6"/>
    <n v="6"/>
    <n v="532088"/>
    <s v="10-11-2010 15:34"/>
    <n v="2.5499999999999998"/>
    <n v="2.5499999999999998"/>
    <d v="2010-10-11T00:00:00"/>
    <d v="1899-12-30T15:34:00"/>
    <m/>
    <s v="15:34 "/>
    <x v="3"/>
    <n v="15.299999999999999"/>
  </r>
  <r>
    <n v="17544"/>
    <s v="90036D"/>
    <x v="570"/>
    <n v="4"/>
    <n v="4"/>
    <n v="4"/>
    <n v="532803"/>
    <d v="2010-11-14T14:57:00"/>
    <n v="7.95"/>
    <n v="7.95"/>
    <d v="2010-11-14T00:00:00"/>
    <d v="1899-12-30T02:57:00"/>
    <s v="PM"/>
    <s v="2:57 PM"/>
    <x v="0"/>
    <n v="31.8"/>
  </r>
  <r>
    <n v="14415"/>
    <n v="22098"/>
    <x v="571"/>
    <n v="1"/>
    <n v="1"/>
    <n v="1"/>
    <n v="504890"/>
    <d v="2010-04-18T13:53:00"/>
    <n v="1.25"/>
    <n v="1.25"/>
    <d v="2010-04-18T00:00:00"/>
    <d v="1899-12-30T01:53:00"/>
    <s v="PM"/>
    <s v="1:53 PM"/>
    <x v="0"/>
    <n v="1.25"/>
  </r>
  <r>
    <n v="14572"/>
    <n v="21181"/>
    <x v="377"/>
    <n v="24"/>
    <n v="24"/>
    <n v="24"/>
    <n v="527759"/>
    <d v="2010-10-18T17:11:00"/>
    <n v="2.1"/>
    <n v="2.1"/>
    <d v="2010-10-18T00:00:00"/>
    <d v="1899-12-30T05:11:00"/>
    <s v="PM"/>
    <s v="5:11 PM"/>
    <x v="0"/>
    <n v="50.400000000000006"/>
  </r>
  <r>
    <n v="12647"/>
    <n v="22244"/>
    <x v="572"/>
    <n v="12"/>
    <n v="12"/>
    <n v="12"/>
    <n v="537594"/>
    <d v="2010-12-07T12:28:00"/>
    <n v="1.95"/>
    <n v="1.95"/>
    <d v="2010-12-07T00:00:00"/>
    <d v="1899-12-30T12:28:00"/>
    <s v="PM"/>
    <s v="12:28 PM"/>
    <x v="2"/>
    <n v="23.4"/>
  </r>
  <r>
    <n v="18231"/>
    <n v="22719"/>
    <x v="573"/>
    <n v="3"/>
    <n v="3"/>
    <n v="3"/>
    <n v="506957"/>
    <d v="2010-05-05T11:53:00"/>
    <n v="1.25"/>
    <n v="1.25"/>
    <d v="2010-05-05T00:00:00"/>
    <d v="1899-12-30T11:53:00"/>
    <s v="AM"/>
    <s v="11:53 AM"/>
    <x v="0"/>
    <n v="3.75"/>
  </r>
  <r>
    <n v="14821"/>
    <n v="22158"/>
    <x v="574"/>
    <n v="3"/>
    <n v="3"/>
    <n v="3"/>
    <n v="531468"/>
    <d v="2010-11-08T13:58:00"/>
    <n v="2.95"/>
    <n v="2.95"/>
    <d v="2010-11-08T00:00:00"/>
    <d v="1899-12-30T01:58:00"/>
    <s v="PM"/>
    <s v="1:58 PM"/>
    <x v="0"/>
    <n v="8.8500000000000014"/>
  </r>
  <r>
    <n v="13527"/>
    <n v="84879"/>
    <x v="95"/>
    <n v="16"/>
    <n v="16"/>
    <n v="16"/>
    <n v="495369"/>
    <d v="2010-01-24T12:31:00"/>
    <n v="1.69"/>
    <n v="1.69"/>
    <d v="2010-01-24T00:00:00"/>
    <d v="1899-12-30T12:31:00"/>
    <s v="PM"/>
    <s v="12:31 PM"/>
    <x v="0"/>
    <n v="27.04"/>
  </r>
  <r>
    <n v="14584"/>
    <n v="72741"/>
    <x v="294"/>
    <n v="9"/>
    <n v="9"/>
    <n v="9"/>
    <n v="498222"/>
    <d v="2010-02-17T14:01:00"/>
    <n v="1.45"/>
    <n v="1.45"/>
    <d v="2010-02-17T00:00:00"/>
    <d v="1899-12-30T02:01:00"/>
    <s v="PM"/>
    <s v="2:01 PM"/>
    <x v="0"/>
    <n v="13.049999999999999"/>
  </r>
  <r>
    <n v="17735"/>
    <n v="21084"/>
    <x v="575"/>
    <n v="12"/>
    <n v="12"/>
    <n v="12"/>
    <n v="523626"/>
    <d v="2010-09-23T11:26:00"/>
    <n v="0.65"/>
    <n v="0.65"/>
    <d v="2010-09-23T00:00:00"/>
    <d v="1899-12-30T11:26:00"/>
    <s v="AM"/>
    <s v="11:26 AM"/>
    <x v="0"/>
    <n v="7.8000000000000007"/>
  </r>
  <r>
    <n v="16779"/>
    <s v="85099B"/>
    <x v="201"/>
    <n v="30"/>
    <n v="30"/>
    <n v="30"/>
    <n v="521159"/>
    <d v="2010-09-02T13:57:00"/>
    <n v="1.95"/>
    <n v="1.95"/>
    <d v="2010-09-02T00:00:00"/>
    <d v="1899-12-30T01:57:00"/>
    <s v="PM"/>
    <s v="1:57 PM"/>
    <x v="0"/>
    <n v="58.5"/>
  </r>
  <r>
    <n v="12766"/>
    <n v="22355"/>
    <x v="576"/>
    <n v="10"/>
    <n v="10"/>
    <n v="10"/>
    <n v="533143"/>
    <d v="2010-11-16T13:28:00"/>
    <n v="0.85"/>
    <n v="0.85"/>
    <d v="2010-11-16T00:00:00"/>
    <d v="1899-12-30T01:28:00"/>
    <s v="PM"/>
    <s v="1:28 PM"/>
    <x v="13"/>
    <n v="8.5"/>
  </r>
  <r>
    <n v="17871"/>
    <n v="85141"/>
    <x v="577"/>
    <n v="2"/>
    <n v="2"/>
    <n v="2"/>
    <n v="507664"/>
    <d v="2010-05-10T17:03:00"/>
    <n v="10.75"/>
    <n v="10.75"/>
    <d v="2010-05-10T00:00:00"/>
    <d v="1899-12-30T05:03:00"/>
    <s v="PM"/>
    <s v="5:03 PM"/>
    <x v="0"/>
    <n v="21.5"/>
  </r>
  <r>
    <n v="15298"/>
    <n v="21463"/>
    <x v="455"/>
    <n v="2"/>
    <n v="2"/>
    <n v="2"/>
    <n v="518848"/>
    <d v="2010-08-12T11:50:00"/>
    <n v="5.95"/>
    <n v="5.95"/>
    <d v="2010-08-12T00:00:00"/>
    <d v="1899-12-30T11:50:00"/>
    <s v="AM"/>
    <s v="11:50 AM"/>
    <x v="0"/>
    <n v="11.9"/>
  </r>
  <r>
    <n v="14060"/>
    <n v="22430"/>
    <x v="578"/>
    <n v="5"/>
    <n v="5"/>
    <n v="5"/>
    <n v="508468"/>
    <d v="2010-05-16T10:46:00"/>
    <n v="4.95"/>
    <n v="4.95"/>
    <d v="2010-05-16T00:00:00"/>
    <d v="1899-12-30T10:46:00"/>
    <s v="AM"/>
    <s v="10:46 AM"/>
    <x v="0"/>
    <n v="24.75"/>
  </r>
  <r>
    <n v="14753"/>
    <n v="20972"/>
    <x v="390"/>
    <n v="12"/>
    <n v="12"/>
    <n v="12"/>
    <n v="521367"/>
    <d v="2010-09-05T11:04:00"/>
    <n v="1.25"/>
    <n v="1.25"/>
    <d v="2010-09-05T00:00:00"/>
    <d v="1899-12-30T11:04:00"/>
    <s v="AM"/>
    <s v="11:04 AM"/>
    <x v="0"/>
    <n v="15"/>
  </r>
  <r>
    <n v="13316"/>
    <n v="22806"/>
    <x v="579"/>
    <n v="48"/>
    <n v="-48"/>
    <n v="-48"/>
    <n v="528587"/>
    <d v="2010-10-22T14:03:00"/>
    <n v="2.5499999999999998"/>
    <n v="2.5499999999999998"/>
    <d v="2010-10-22T00:00:00"/>
    <d v="1899-12-30T02:03:00"/>
    <s v="PM"/>
    <s v="2:03 PM"/>
    <x v="0"/>
    <n v="122.39999999999999"/>
  </r>
  <r>
    <n v="15898"/>
    <n v="22149"/>
    <x v="334"/>
    <n v="2"/>
    <n v="2"/>
    <n v="2"/>
    <n v="537254"/>
    <d v="2010-12-06T11:01:00"/>
    <n v="2.1"/>
    <n v="2.1"/>
    <d v="2010-12-06T00:00:00"/>
    <d v="1899-12-30T11:01:00"/>
    <s v="AM"/>
    <s v="11:01 AM"/>
    <x v="0"/>
    <n v="4.2"/>
  </r>
  <r>
    <n v="14606"/>
    <s v="85014B"/>
    <x v="9"/>
    <n v="1"/>
    <n v="1"/>
    <n v="1"/>
    <n v="515335"/>
    <d v="2010-07-11T14:19:00"/>
    <n v="5.95"/>
    <n v="5.95"/>
    <d v="2010-07-11T00:00:00"/>
    <d v="1899-12-30T02:19:00"/>
    <s v="PM"/>
    <s v="2:19 PM"/>
    <x v="0"/>
    <n v="5.95"/>
  </r>
  <r>
    <n v="17625"/>
    <s v="84534B"/>
    <x v="580"/>
    <n v="4"/>
    <n v="4"/>
    <n v="4"/>
    <n v="512946"/>
    <d v="2010-06-20T15:32:00"/>
    <n v="0.85"/>
    <n v="0.85"/>
    <d v="2010-06-20T00:00:00"/>
    <d v="1899-12-30T03:32:00"/>
    <s v="PM"/>
    <s v="3:32 PM"/>
    <x v="0"/>
    <n v="3.4"/>
  </r>
  <r>
    <n v="13243"/>
    <n v="21894"/>
    <x v="581"/>
    <n v="1"/>
    <n v="1"/>
    <n v="1"/>
    <n v="501657"/>
    <d v="2010-03-18T13:10:00"/>
    <n v="1.25"/>
    <n v="1.25"/>
    <d v="2010-03-18T00:00:00"/>
    <d v="1899-12-30T01:10:00"/>
    <s v="PM"/>
    <s v="1:10 PM"/>
    <x v="0"/>
    <n v="1.25"/>
  </r>
  <r>
    <n v="15039"/>
    <s v="85099B"/>
    <x v="201"/>
    <n v="10"/>
    <n v="10"/>
    <n v="10"/>
    <n v="535953"/>
    <d v="2010-11-29T12:13:00"/>
    <n v="1.95"/>
    <n v="1.95"/>
    <d v="2010-11-29T00:00:00"/>
    <d v="1899-12-30T12:13:00"/>
    <s v="PM"/>
    <s v="12:13 PM"/>
    <x v="0"/>
    <n v="19.5"/>
  </r>
  <r>
    <n v="12670"/>
    <n v="22543"/>
    <x v="582"/>
    <n v="24"/>
    <n v="24"/>
    <n v="24"/>
    <n v="533827"/>
    <d v="2010-11-19T10:05:00"/>
    <n v="0.42"/>
    <n v="0.42"/>
    <d v="2010-11-19T00:00:00"/>
    <d v="1899-12-30T10:05:00"/>
    <s v="AM"/>
    <s v="10:05 AM"/>
    <x v="3"/>
    <n v="10.08"/>
  </r>
  <r>
    <n v="17255"/>
    <n v="84692"/>
    <x v="540"/>
    <n v="3"/>
    <n v="3"/>
    <n v="3"/>
    <n v="532802"/>
    <d v="2010-11-14T14:56:00"/>
    <n v="0.42"/>
    <n v="0.42"/>
    <d v="2010-11-14T00:00:00"/>
    <d v="1899-12-30T02:56:00"/>
    <s v="PM"/>
    <s v="2:56 PM"/>
    <x v="0"/>
    <n v="1.26"/>
  </r>
  <r>
    <n v="13097"/>
    <n v="21893"/>
    <x v="583"/>
    <n v="3"/>
    <n v="3"/>
    <n v="3"/>
    <n v="489574"/>
    <d v="2009-12-01T13:31:00"/>
    <n v="4.25"/>
    <n v="4.25"/>
    <d v="2009-12-01T00:00:00"/>
    <d v="1899-12-30T01:31:00"/>
    <s v="PM"/>
    <s v="1:31 PM"/>
    <x v="0"/>
    <n v="12.75"/>
  </r>
  <r>
    <n v="12877"/>
    <n v="22179"/>
    <x v="474"/>
    <n v="2"/>
    <n v="2"/>
    <n v="2"/>
    <n v="494679"/>
    <d v="2010-01-18T10:23:00"/>
    <n v="6.75"/>
    <n v="6.75"/>
    <d v="2010-01-18T00:00:00"/>
    <d v="1899-12-30T10:23:00"/>
    <s v="AM"/>
    <s v="10:23 AM"/>
    <x v="0"/>
    <n v="13.5"/>
  </r>
  <r>
    <n v="12748"/>
    <n v="85161"/>
    <x v="584"/>
    <n v="1"/>
    <n v="1"/>
    <n v="1"/>
    <n v="527284"/>
    <d v="2010-10-15T13:43:00"/>
    <n v="18.95"/>
    <n v="18.95"/>
    <d v="2010-10-15T00:00:00"/>
    <d v="1899-12-30T01:43:00"/>
    <s v="PM"/>
    <s v="1:43 PM"/>
    <x v="0"/>
    <n v="18.95"/>
  </r>
  <r>
    <n v="17160"/>
    <n v="22355"/>
    <x v="63"/>
    <n v="10"/>
    <n v="10"/>
    <n v="10"/>
    <n v="495237"/>
    <d v="2010-01-22T09:44:00"/>
    <n v="0.85"/>
    <n v="0.85"/>
    <d v="2010-01-22T00:00:00"/>
    <d v="1899-12-30T09:44:00"/>
    <s v="AM"/>
    <s v="9:44 AM"/>
    <x v="0"/>
    <n v="8.5"/>
  </r>
  <r>
    <n v="17675"/>
    <n v="22677"/>
    <x v="585"/>
    <n v="10"/>
    <n v="10"/>
    <n v="10"/>
    <n v="532290"/>
    <d v="2010-11-11T13:26:00"/>
    <n v="1.25"/>
    <n v="1.25"/>
    <d v="2010-11-11T00:00:00"/>
    <d v="1899-12-30T01:26:00"/>
    <s v="PM"/>
    <s v="1:26 PM"/>
    <x v="0"/>
    <n v="12.5"/>
  </r>
  <r>
    <n v="14680"/>
    <s v="85132B"/>
    <x v="586"/>
    <n v="2"/>
    <n v="2"/>
    <n v="2"/>
    <n v="493432"/>
    <d v="2010-01-04T12:30:00"/>
    <n v="9.9499999999999993"/>
    <n v="9.9499999999999993"/>
    <d v="2010-01-04T00:00:00"/>
    <d v="1899-12-30T12:30:00"/>
    <s v="PM"/>
    <s v="12:30 PM"/>
    <x v="0"/>
    <n v="19.899999999999999"/>
  </r>
  <r>
    <n v="17019"/>
    <n v="22534"/>
    <x v="587"/>
    <n v="2"/>
    <n v="2"/>
    <n v="2"/>
    <n v="513750"/>
    <d v="2010-06-28T12:38:00"/>
    <n v="0.42"/>
    <n v="0.42"/>
    <d v="2010-06-28T00:00:00"/>
    <d v="1899-12-30T12:38:00"/>
    <s v="PM"/>
    <s v="12:38 PM"/>
    <x v="0"/>
    <n v="0.84"/>
  </r>
  <r>
    <n v="14938"/>
    <s v="15044D"/>
    <x v="588"/>
    <n v="6"/>
    <n v="6"/>
    <n v="6"/>
    <n v="509973"/>
    <d v="2010-05-26T13:35:00"/>
    <n v="2.95"/>
    <n v="2.95"/>
    <d v="2010-05-26T00:00:00"/>
    <d v="1899-12-30T01:35:00"/>
    <s v="PM"/>
    <s v="1:35 PM"/>
    <x v="12"/>
    <n v="17.700000000000003"/>
  </r>
  <r>
    <n v="13089"/>
    <n v="22417"/>
    <x v="335"/>
    <n v="24"/>
    <n v="24"/>
    <n v="24"/>
    <n v="513830"/>
    <d v="2010-06-29T10:54:00"/>
    <n v="0.55000000000000004"/>
    <n v="0.55000000000000004"/>
    <d v="2010-06-29T00:00:00"/>
    <d v="1899-12-30T10:54:00"/>
    <s v="AM"/>
    <s v="10:54 AM"/>
    <x v="0"/>
    <n v="13.200000000000001"/>
  </r>
  <r>
    <n v="15055"/>
    <n v="21657"/>
    <x v="589"/>
    <n v="1"/>
    <n v="1"/>
    <n v="1"/>
    <n v="505721"/>
    <d v="2010-04-25T13:40:00"/>
    <n v="6.95"/>
    <n v="6.95"/>
    <d v="2010-04-25T00:00:00"/>
    <d v="1899-12-30T01:40:00"/>
    <s v="PM"/>
    <s v="1:40 PM"/>
    <x v="0"/>
    <n v="6.95"/>
  </r>
  <r>
    <n v="16088"/>
    <n v="21896"/>
    <x v="590"/>
    <n v="26"/>
    <n v="26"/>
    <n v="26"/>
    <n v="506000"/>
    <d v="2010-04-27T10:56:00"/>
    <n v="2.1"/>
    <n v="2.1"/>
    <d v="2010-04-27T00:00:00"/>
    <d v="1899-12-30T10:56:00"/>
    <s v="AM"/>
    <s v="10:56 AM"/>
    <x v="0"/>
    <n v="54.6"/>
  </r>
  <r>
    <n v="13451"/>
    <n v="22649"/>
    <x v="591"/>
    <n v="2"/>
    <n v="2"/>
    <n v="2"/>
    <n v="513975"/>
    <d v="2010-06-29T16:43:00"/>
    <n v="4.95"/>
    <n v="4.95"/>
    <d v="2010-06-29T00:00:00"/>
    <d v="1899-12-30T04:43:00"/>
    <s v="PM"/>
    <s v="4:43 PM"/>
    <x v="0"/>
    <n v="9.9"/>
  </r>
  <r>
    <n v="12490"/>
    <s v="POST"/>
    <x v="592"/>
    <n v="2"/>
    <n v="2"/>
    <n v="2"/>
    <n v="525073"/>
    <d v="2010-10-03T14:52:00"/>
    <n v="18"/>
    <n v="18"/>
    <d v="2010-10-03T00:00:00"/>
    <d v="1899-12-30T02:52:00"/>
    <s v="PM"/>
    <s v="2:52 PM"/>
    <x v="3"/>
    <n v="36"/>
  </r>
  <r>
    <n v="14748"/>
    <n v="20761"/>
    <x v="593"/>
    <n v="4"/>
    <n v="-4"/>
    <n v="-4"/>
    <n v="500705"/>
    <d v="2010-03-09T13:46:00"/>
    <n v="3.75"/>
    <n v="3.75"/>
    <d v="2010-03-09T00:00:00"/>
    <d v="1899-12-30T01:46:00"/>
    <s v="PM"/>
    <s v="1:46 PM"/>
    <x v="0"/>
    <n v="15"/>
  </r>
  <r>
    <n v="16977"/>
    <n v="22767"/>
    <x v="594"/>
    <n v="2"/>
    <n v="2"/>
    <s v="2"/>
    <n v="531754"/>
    <d v="2010-11-09T13:17:00"/>
    <n v="9.9499999999999993"/>
    <n v="9.9499999999999993"/>
    <d v="2010-11-09T00:00:00"/>
    <d v="1899-12-30T01:17:00"/>
    <s v="PM"/>
    <s v="1:17 PM"/>
    <x v="0"/>
    <n v="19.899999999999999"/>
  </r>
  <r>
    <n v="13798"/>
    <s v="47599B"/>
    <x v="595"/>
    <n v="100"/>
    <n v="100"/>
    <n v="100"/>
    <n v="498827"/>
    <d v="2010-02-23T11:36:00"/>
    <n v="1.69"/>
    <n v="1.69"/>
    <d v="2010-02-23T00:00:00"/>
    <d v="1899-12-30T11:36:00"/>
    <s v="AM"/>
    <s v="11:36 AM"/>
    <x v="0"/>
    <n v="169"/>
  </r>
  <r>
    <n v="17377"/>
    <n v="21479"/>
    <x v="313"/>
    <n v="1"/>
    <n v="1"/>
    <n v="1"/>
    <n v="493050"/>
    <d v="2009-12-21T16:24:00"/>
    <n v="3.75"/>
    <n v="3.75"/>
    <d v="2009-12-21T00:00:00"/>
    <d v="1899-12-30T04:24:00"/>
    <s v="PM"/>
    <s v="4:24 PM"/>
    <x v="0"/>
    <n v="3.75"/>
  </r>
  <r>
    <n v="18225"/>
    <n v="21115"/>
    <x v="596"/>
    <n v="3"/>
    <n v="3"/>
    <n v="3"/>
    <n v="515192"/>
    <d v="2010-07-09T10:26:00"/>
    <n v="6.75"/>
    <n v="6.75"/>
    <d v="2010-07-09T00:00:00"/>
    <d v="1899-12-30T10:26:00"/>
    <s v="AM"/>
    <s v="10:26 AM"/>
    <x v="0"/>
    <n v="20.25"/>
  </r>
  <r>
    <n v="15570"/>
    <n v="82486"/>
    <x v="597"/>
    <n v="2"/>
    <n v="2"/>
    <n v="2"/>
    <n v="502848"/>
    <d v="2010-03-28T14:04:00"/>
    <n v="7.95"/>
    <n v="7.95"/>
    <d v="2010-03-28T00:00:00"/>
    <d v="1899-12-30T02:04:00"/>
    <s v="PM"/>
    <s v="2:04 PM"/>
    <x v="0"/>
    <n v="15.9"/>
  </r>
  <r>
    <n v="17003"/>
    <n v="22411"/>
    <x v="148"/>
    <n v="10"/>
    <n v="10"/>
    <n v="10"/>
    <n v="530302"/>
    <d v="2010-11-02T13:07:00"/>
    <n v="1.95"/>
    <n v="1.95"/>
    <d v="2010-11-02T00:00:00"/>
    <d v="1899-12-30T01:07:00"/>
    <s v="PM"/>
    <s v="1:07 PM"/>
    <x v="0"/>
    <n v="19.5"/>
  </r>
  <r>
    <n v="17739"/>
    <n v="22468"/>
    <x v="448"/>
    <n v="6"/>
    <n v="6"/>
    <n v="6"/>
    <n v="503432"/>
    <d v="2010-04-01T08:34:00"/>
    <n v="6.75"/>
    <n v="6.75"/>
    <d v="2010-04-01T00:00:00"/>
    <d v="1899-12-30T08:34:00"/>
    <s v="AM"/>
    <s v="8:34 AM"/>
    <x v="0"/>
    <n v="40.5"/>
  </r>
  <r>
    <n v="17364"/>
    <n v="21614"/>
    <x v="598"/>
    <n v="6"/>
    <n v="6"/>
    <n v="6"/>
    <n v="493716"/>
    <d v="2010-01-05T16:50:00"/>
    <n v="2.95"/>
    <n v="2.95"/>
    <d v="2010-01-05T00:00:00"/>
    <d v="1899-12-30T04:50:00"/>
    <s v="PM"/>
    <s v="4:50 PM"/>
    <x v="0"/>
    <n v="17.700000000000003"/>
  </r>
  <r>
    <n v="15078"/>
    <n v="21930"/>
    <x v="33"/>
    <n v="10"/>
    <n v="10"/>
    <n v="10"/>
    <n v="498107"/>
    <d v="2010-02-16T13:57:00"/>
    <n v="1.95"/>
    <n v="1.95"/>
    <d v="2010-02-16T00:00:00"/>
    <d v="1899-12-30T01:57:00"/>
    <s v="PM"/>
    <s v="1:57 PM"/>
    <x v="0"/>
    <n v="19.5"/>
  </r>
  <r>
    <n v="15493"/>
    <n v="22510"/>
    <x v="599"/>
    <n v="1"/>
    <n v="1"/>
    <n v="1"/>
    <n v="532964"/>
    <d v="2010-11-15T12:43:00"/>
    <n v="3.75"/>
    <n v="3.75"/>
    <d v="2010-11-15T00:00:00"/>
    <d v="1899-12-30T12:43:00"/>
    <s v="PM"/>
    <s v="12:43 PM"/>
    <x v="0"/>
    <n v="3.75"/>
  </r>
  <r>
    <n v="17167"/>
    <s v="90199C"/>
    <x v="600"/>
    <n v="2"/>
    <n v="2"/>
    <n v="2"/>
    <n v="523132"/>
    <d v="2010-09-20T14:02:00"/>
    <s v="6.35"/>
    <n v="6.35"/>
    <d v="2010-09-20T00:00:00"/>
    <d v="1899-12-30T02:02:00"/>
    <s v="PM"/>
    <s v="2:02 PM"/>
    <x v="0"/>
    <n v="12.7"/>
  </r>
  <r>
    <n v="18092"/>
    <n v="21527"/>
    <x v="601"/>
    <n v="24"/>
    <n v="24"/>
    <n v="24"/>
    <n v="493326"/>
    <d v="2009-12-23T09:20:00"/>
    <n v="6.95"/>
    <n v="6.95"/>
    <d v="2009-12-23T00:00:00"/>
    <d v="1899-12-30T09:20:00"/>
    <s v="AM"/>
    <s v="9:20 AM"/>
    <x v="0"/>
    <n v="166.8"/>
  </r>
  <r>
    <n v="15005"/>
    <n v="20724"/>
    <x v="602"/>
    <n v="10"/>
    <n v="10"/>
    <n v="10"/>
    <n v="527266"/>
    <d v="2010-10-15T12:52:00"/>
    <n v="0.85"/>
    <n v="0.85"/>
    <d v="2010-10-15T00:00:00"/>
    <d v="1899-12-30T12:52:00"/>
    <s v="PM"/>
    <s v="12:52 PM"/>
    <x v="0"/>
    <n v="8.5"/>
  </r>
  <r>
    <n v="15911"/>
    <n v="20718"/>
    <x v="449"/>
    <n v="3"/>
    <n v="3"/>
    <n v="3"/>
    <n v="500857"/>
    <d v="2010-03-10T12:23:00"/>
    <n v="1.25"/>
    <n v="1.25"/>
    <d v="2010-03-10T00:00:00"/>
    <d v="1899-12-30T12:23:00"/>
    <s v="PM"/>
    <s v="12:23 PM"/>
    <x v="0"/>
    <n v="3.75"/>
  </r>
  <r>
    <n v="14755"/>
    <n v="84992"/>
    <x v="296"/>
    <n v="24"/>
    <n v="24"/>
    <n v="24"/>
    <n v="505636"/>
    <d v="2010-04-23T13:23:00"/>
    <n v="0.55000000000000004"/>
    <n v="0.55000000000000004"/>
    <d v="2010-04-23T00:00:00"/>
    <d v="1899-12-30T01:23:00"/>
    <s v="PM"/>
    <s v="1:23 PM"/>
    <x v="0"/>
    <n v="13.200000000000001"/>
  </r>
  <r>
    <n v="16485"/>
    <n v="22375"/>
    <x v="485"/>
    <n v="6"/>
    <n v="6"/>
    <n v="6"/>
    <n v="525077"/>
    <d v="2010-10-03T15:30:00"/>
    <n v="4.25"/>
    <n v="4.25"/>
    <d v="2010-10-03T00:00:00"/>
    <d v="1899-12-30T03:30:00"/>
    <s v="PM"/>
    <s v="3:30 PM"/>
    <x v="0"/>
    <n v="25.5"/>
  </r>
  <r>
    <n v="15673"/>
    <n v="21977"/>
    <x v="463"/>
    <n v="24"/>
    <n v="24"/>
    <n v="24"/>
    <n v="522384"/>
    <d v="2010-09-14T11:08:00"/>
    <n v="0.55000000000000004"/>
    <n v="0.55000000000000004"/>
    <d v="2010-09-14T00:00:00"/>
    <d v="1899-12-30T11:08:00"/>
    <s v="AM"/>
    <s v="11:08 AM"/>
    <x v="0"/>
    <n v="13.200000000000001"/>
  </r>
  <r>
    <n v="16259"/>
    <n v="22669"/>
    <x v="225"/>
    <n v="2"/>
    <n v="2"/>
    <n v="2"/>
    <n v="528919"/>
    <d v="2010-10-25T14:27:00"/>
    <n v="2.95"/>
    <n v="2.95"/>
    <d v="2010-10-25T00:00:00"/>
    <d v="1899-12-30T02:27:00"/>
    <s v="PM"/>
    <s v="2:27 PM"/>
    <x v="0"/>
    <n v="5.9"/>
  </r>
  <r>
    <n v="16791"/>
    <s v="84910A"/>
    <x v="603"/>
    <n v="2"/>
    <n v="2"/>
    <n v="2"/>
    <n v="511474"/>
    <d v="2010-06-08T13:27:00"/>
    <n v="5.95"/>
    <n v="5.95"/>
    <d v="2010-06-08T00:00:00"/>
    <d v="1899-12-30T01:27:00"/>
    <s v="PM"/>
    <s v="1:27 PM"/>
    <x v="0"/>
    <n v="11.9"/>
  </r>
  <r>
    <n v="15910"/>
    <n v="84991"/>
    <x v="502"/>
    <n v="1"/>
    <n v="1"/>
    <n v="1"/>
    <n v="511864"/>
    <d v="2010-06-11T10:23:00"/>
    <n v="0.55000000000000004"/>
    <n v="0.55000000000000004"/>
    <d v="2010-06-11T00:00:00"/>
    <d v="1899-12-30T10:23:00"/>
    <s v="AM"/>
    <s v="10:23 AM"/>
    <x v="0"/>
    <n v="0.55000000000000004"/>
  </r>
  <r>
    <n v="15028"/>
    <n v="84879"/>
    <x v="95"/>
    <n v="9"/>
    <n v="9"/>
    <n v="9"/>
    <n v="535457"/>
    <d v="2010-11-26T12:56:00"/>
    <n v="1.69"/>
    <n v="1.69"/>
    <d v="2010-11-26T00:00:00"/>
    <d v="1899-12-30T12:56:00"/>
    <s v="PM"/>
    <s v="12:56 PM"/>
    <x v="0"/>
    <n v="15.209999999999999"/>
  </r>
  <r>
    <n v="12708"/>
    <n v="21239"/>
    <x v="604"/>
    <n v="8"/>
    <n v="8"/>
    <n v="8"/>
    <n v="521958"/>
    <d v="2010-09-09T18:14:00"/>
    <n v="0.85"/>
    <n v="0.85"/>
    <d v="2010-09-09T00:00:00"/>
    <d v="1899-12-30T06:14:00"/>
    <s v="PM"/>
    <s v="6:14 PM"/>
    <x v="2"/>
    <n v="6.8"/>
  </r>
  <r>
    <n v="12682"/>
    <n v="22197"/>
    <x v="605"/>
    <n v="12"/>
    <n v="12"/>
    <n v="12"/>
    <n v="521896"/>
    <d v="2010-09-09T12:19:00"/>
    <n v="0.85"/>
    <n v="0.85"/>
    <d v="2010-09-09T00:00:00"/>
    <d v="1899-12-30T12:19:00"/>
    <s v="PM"/>
    <s v="12:19 PM"/>
    <x v="3"/>
    <n v="10.199999999999999"/>
  </r>
  <r>
    <n v="13590"/>
    <n v="20975"/>
    <x v="606"/>
    <n v="4"/>
    <n v="4"/>
    <n v="4"/>
    <n v="517336"/>
    <d v="2010-07-28T13:36:00"/>
    <n v="0.65"/>
    <n v="0.65"/>
    <d v="2010-07-28T00:00:00"/>
    <d v="1899-12-30T01:36:00"/>
    <s v="PM"/>
    <s v="1:36 PM"/>
    <x v="0"/>
    <n v="2.6"/>
  </r>
  <r>
    <n v="15754"/>
    <n v="21590"/>
    <x v="254"/>
    <n v="24"/>
    <n v="24"/>
    <n v="24"/>
    <n v="503251"/>
    <s v="31-03-2010 10:32"/>
    <n v="1.25"/>
    <n v="1.25"/>
    <s v="31-03-2010"/>
    <d v="1899-12-30T10:32:00"/>
    <m/>
    <s v="10:32 "/>
    <x v="0"/>
    <n v="30"/>
  </r>
  <r>
    <n v="16255"/>
    <n v="22776"/>
    <x v="607"/>
    <n v="1"/>
    <n v="1"/>
    <n v="1"/>
    <n v="530323"/>
    <d v="2010-11-02T13:36:00"/>
    <n v="9.9499999999999993"/>
    <n v="9.9499999999999993"/>
    <d v="2010-11-02T00:00:00"/>
    <d v="1899-12-30T01:36:00"/>
    <s v="PM"/>
    <s v="1:36 PM"/>
    <x v="0"/>
    <n v="9.9499999999999993"/>
  </r>
  <r>
    <n v="14395"/>
    <n v="35644"/>
    <x v="608"/>
    <n v="4"/>
    <n v="4"/>
    <n v="4"/>
    <n v="505364"/>
    <d v="2010-04-21T15:46:00"/>
    <n v="1.95"/>
    <n v="1.95"/>
    <d v="2010-04-21T00:00:00"/>
    <d v="1899-12-30T03:46:00"/>
    <s v="PM"/>
    <s v="3:46 PM"/>
    <x v="0"/>
    <n v="7.8"/>
  </r>
  <r>
    <n v="14841"/>
    <n v="22386"/>
    <x v="609"/>
    <n v="10"/>
    <n v="10"/>
    <n v="10"/>
    <n v="517960"/>
    <d v="2010-08-03T12:32:00"/>
    <n v="1.95"/>
    <n v="1.95"/>
    <d v="2010-08-03T00:00:00"/>
    <d v="1899-12-30T12:32:00"/>
    <s v="PM"/>
    <s v="12:32 PM"/>
    <x v="0"/>
    <n v="19.5"/>
  </r>
  <r>
    <n v="14069"/>
    <n v="21158"/>
    <x v="610"/>
    <n v="1"/>
    <n v="1"/>
    <n v="1"/>
    <n v="510141"/>
    <d v="2010-05-27T12:30:00"/>
    <n v="1.45"/>
    <n v="1.45"/>
    <d v="2010-05-27T00:00:00"/>
    <d v="1899-12-30T12:30:00"/>
    <s v="PM"/>
    <s v="12:30 PM"/>
    <x v="0"/>
    <n v="1.45"/>
  </r>
  <r>
    <n v="14180"/>
    <n v="21755"/>
    <x v="265"/>
    <n v="3"/>
    <n v="3"/>
    <n v="3"/>
    <n v="525433"/>
    <d v="2010-10-05T13:15:00"/>
    <n v="5.95"/>
    <n v="5.95"/>
    <d v="2010-10-05T00:00:00"/>
    <d v="1899-12-30T01:15:00"/>
    <s v="PM"/>
    <s v="1:15 PM"/>
    <x v="0"/>
    <n v="17.850000000000001"/>
  </r>
  <r>
    <n v="12858"/>
    <n v="21107"/>
    <x v="507"/>
    <n v="1"/>
    <n v="1"/>
    <n v="1"/>
    <n v="534160"/>
    <d v="2010-11-21T12:55:00"/>
    <n v="2.95"/>
    <n v="2.95"/>
    <d v="2010-11-21T00:00:00"/>
    <d v="1899-12-30T12:55:00"/>
    <s v="PM"/>
    <s v="12:55 PM"/>
    <x v="0"/>
    <n v="2.95"/>
  </r>
  <r>
    <n v="15651"/>
    <n v="22554"/>
    <x v="611"/>
    <n v="12"/>
    <n v="12"/>
    <n v="12"/>
    <n v="505496"/>
    <d v="2010-04-22T13:26:00"/>
    <n v="1.65"/>
    <n v="1.65"/>
    <d v="2010-04-22T00:00:00"/>
    <d v="1899-12-30T01:26:00"/>
    <s v="PM"/>
    <s v="1:26 PM"/>
    <x v="0"/>
    <n v="19.799999999999997"/>
  </r>
  <r>
    <n v="16293"/>
    <n v="21744"/>
    <x v="612"/>
    <n v="12"/>
    <n v="12"/>
    <n v="12"/>
    <n v="524420"/>
    <d v="2010-09-29T10:22:00"/>
    <n v="2.95"/>
    <n v="2.95"/>
    <d v="2010-09-29T00:00:00"/>
    <d v="1899-12-30T10:22:00"/>
    <s v="AM"/>
    <s v="10:22 AM"/>
    <x v="0"/>
    <n v="35.400000000000006"/>
  </r>
  <r>
    <n v="17469"/>
    <n v="21870"/>
    <x v="136"/>
    <n v="12"/>
    <n v="12"/>
    <n v="12"/>
    <n v="518767"/>
    <d v="2010-08-11T14:50:00"/>
    <n v="1.25"/>
    <n v="1.25"/>
    <d v="2010-08-11T00:00:00"/>
    <d v="1899-12-30T02:50:00"/>
    <s v="PM"/>
    <s v="2:50 PM"/>
    <x v="0"/>
    <n v="15"/>
  </r>
  <r>
    <n v="16779"/>
    <n v="22332"/>
    <x v="613"/>
    <n v="3"/>
    <n v="3"/>
    <n v="3"/>
    <n v="517487"/>
    <d v="2010-07-29T12:34:00"/>
    <n v="1.65"/>
    <n v="1.65"/>
    <d v="2010-07-29T00:00:00"/>
    <d v="1899-12-30T12:34:00"/>
    <s v="PM"/>
    <s v="12:34 PM"/>
    <x v="0"/>
    <n v="4.9499999999999993"/>
  </r>
  <r>
    <n v="16515"/>
    <n v="22147"/>
    <x v="287"/>
    <n v="1"/>
    <n v="1"/>
    <n v="1"/>
    <n v="527819"/>
    <d v="2010-10-19T11:22:00"/>
    <n v="1.45"/>
    <n v="1.45"/>
    <d v="2010-10-19T00:00:00"/>
    <d v="1899-12-30T11:22:00"/>
    <s v="AM"/>
    <s v="11:22 AM"/>
    <x v="0"/>
    <n v="1.45"/>
  </r>
  <r>
    <n v="17282"/>
    <n v="20906"/>
    <x v="614"/>
    <n v="1"/>
    <n v="1"/>
    <n v="1"/>
    <n v="521970"/>
    <d v="2010-09-09T19:23:00"/>
    <n v="1.25"/>
    <n v="1.25"/>
    <d v="2010-09-09T00:00:00"/>
    <d v="1899-12-30T07:23:00"/>
    <s v="PM"/>
    <s v="7:23 PM"/>
    <x v="0"/>
    <n v="1.25"/>
  </r>
  <r>
    <n v="13804"/>
    <n v="21445"/>
    <x v="370"/>
    <n v="12"/>
    <n v="12"/>
    <n v="12"/>
    <n v="524421"/>
    <d v="2010-09-29T10:26:00"/>
    <n v="1.25"/>
    <n v="1.25"/>
    <d v="2010-09-29T00:00:00"/>
    <d v="1899-12-30T10:26:00"/>
    <s v="AM"/>
    <s v="10:26 AM"/>
    <x v="0"/>
    <n v="15"/>
  </r>
  <r>
    <n v="15288"/>
    <n v="22328"/>
    <x v="58"/>
    <n v="1"/>
    <n v="1"/>
    <s v="1"/>
    <n v="505615"/>
    <d v="2010-04-23T12:49:00"/>
    <n v="2.95"/>
    <n v="2.95"/>
    <d v="2010-04-23T00:00:00"/>
    <d v="1899-12-30T12:49:00"/>
    <s v="PM"/>
    <s v="12:49 PM"/>
    <x v="0"/>
    <n v="2.95"/>
  </r>
  <r>
    <n v="14154"/>
    <n v="22777"/>
    <x v="615"/>
    <n v="2"/>
    <n v="2"/>
    <n v="2"/>
    <n v="534720"/>
    <d v="2010-11-23T17:53:00"/>
    <n v="8.5"/>
    <n v="8.5"/>
    <d v="2010-11-23T00:00:00"/>
    <d v="1899-12-30T05:53:00"/>
    <s v="PM"/>
    <s v="5:53 PM"/>
    <x v="0"/>
    <n v="17"/>
  </r>
  <r>
    <n v="17576"/>
    <n v="85048"/>
    <x v="616"/>
    <n v="1"/>
    <n v="1"/>
    <n v="1"/>
    <n v="533551"/>
    <d v="2010-11-17T17:08:00"/>
    <n v="7.95"/>
    <n v="7.95"/>
    <d v="2010-11-17T00:00:00"/>
    <d v="1899-12-30T05:08:00"/>
    <s v="PM"/>
    <s v="5:08 PM"/>
    <x v="0"/>
    <n v="7.95"/>
  </r>
  <r>
    <n v="17049"/>
    <n v="22063"/>
    <x v="367"/>
    <n v="6"/>
    <n v="6"/>
    <n v="6"/>
    <n v="503361"/>
    <d v="2010-03-31T14:03:00"/>
    <n v="2.95"/>
    <n v="2.95"/>
    <d v="2010-03-31T00:00:00"/>
    <d v="1899-12-30T02:03:00"/>
    <s v="PM"/>
    <s v="2:03 PM"/>
    <x v="0"/>
    <n v="17.700000000000003"/>
  </r>
  <r>
    <n v="16200"/>
    <n v="82482"/>
    <x v="617"/>
    <n v="3"/>
    <n v="3"/>
    <n v="3"/>
    <n v="489866"/>
    <d v="2009-12-02T15:04:00"/>
    <n v="2.5499999999999998"/>
    <n v="2.5499999999999998"/>
    <d v="2009-12-02T00:00:00"/>
    <d v="1899-12-30T03:04:00"/>
    <s v="PM"/>
    <s v="3:04 PM"/>
    <x v="0"/>
    <n v="7.6499999999999995"/>
  </r>
  <r>
    <n v="12695"/>
    <s v="47590B"/>
    <x v="618"/>
    <n v="3"/>
    <n v="3"/>
    <n v="3"/>
    <n v="497798"/>
    <d v="2010-02-12T13:22:00"/>
    <n v="5.45"/>
    <n v="5.45"/>
    <d v="2010-02-12T00:00:00"/>
    <d v="1899-12-30T01:22:00"/>
    <s v="PM"/>
    <s v="1:22 PM"/>
    <x v="3"/>
    <n v="16.350000000000001"/>
  </r>
  <r>
    <n v="18197"/>
    <n v="22109"/>
    <x v="619"/>
    <n v="8"/>
    <n v="8"/>
    <n v="8"/>
    <n v="508117"/>
    <d v="2010-05-13T10:46:00"/>
    <n v="3.75"/>
    <n v="3.75"/>
    <d v="2010-05-13T00:00:00"/>
    <d v="1899-12-30T10:46:00"/>
    <s v="AM"/>
    <s v="10:46 AM"/>
    <x v="0"/>
    <n v="30"/>
  </r>
  <r>
    <n v="16101"/>
    <n v="22608"/>
    <x v="620"/>
    <n v="36"/>
    <n v="36"/>
    <n v="36"/>
    <n v="524879"/>
    <d v="2010-10-01T10:45:00"/>
    <n v="0.85"/>
    <n v="0.85"/>
    <d v="2010-10-01T00:00:00"/>
    <d v="1899-12-30T10:45:00"/>
    <s v="AM"/>
    <s v="10:45 AM"/>
    <x v="0"/>
    <n v="30.599999999999998"/>
  </r>
  <r>
    <n v="17221"/>
    <n v="84773"/>
    <x v="621"/>
    <n v="1"/>
    <n v="1"/>
    <n v="1"/>
    <n v="504157"/>
    <d v="2010-04-11T15:34:00"/>
    <n v="2.95"/>
    <n v="2.95"/>
    <d v="2010-04-11T00:00:00"/>
    <d v="1899-12-30T03:34:00"/>
    <s v="PM"/>
    <s v="3:34 PM"/>
    <x v="0"/>
    <n v="2.95"/>
  </r>
  <r>
    <n v="17409"/>
    <n v="21175"/>
    <x v="76"/>
    <n v="48"/>
    <n v="48"/>
    <n v="48"/>
    <n v="491497"/>
    <d v="2009-12-11T12:17:00"/>
    <n v="1.85"/>
    <n v="1.85"/>
    <d v="2009-12-11T00:00:00"/>
    <d v="1899-12-30T12:17:00"/>
    <s v="PM"/>
    <s v="12:17 PM"/>
    <x v="0"/>
    <n v="88.800000000000011"/>
  </r>
  <r>
    <n v="15981"/>
    <n v="21931"/>
    <x v="322"/>
    <n v="20"/>
    <n v="20"/>
    <n v="20"/>
    <n v="512827"/>
    <d v="2010-06-18T11:34:00"/>
    <n v="1.95"/>
    <n v="1.95"/>
    <d v="2010-06-18T00:00:00"/>
    <d v="1899-12-30T11:34:00"/>
    <s v="AM"/>
    <s v="11:34 AM"/>
    <x v="0"/>
    <n v="39"/>
  </r>
  <r>
    <n v="13985"/>
    <s v="85099B"/>
    <x v="201"/>
    <n v="10"/>
    <n v="10"/>
    <n v="10"/>
    <n v="526746"/>
    <d v="2010-10-13T09:20:00"/>
    <n v="1.95"/>
    <n v="1.95"/>
    <d v="2010-10-13T00:00:00"/>
    <d v="1899-12-30T09:20:00"/>
    <s v="AM"/>
    <s v="9:20 AM"/>
    <x v="0"/>
    <n v="19.5"/>
  </r>
  <r>
    <n v="16300"/>
    <n v="84880"/>
    <x v="622"/>
    <n v="2"/>
    <n v="2"/>
    <n v="2"/>
    <n v="502419"/>
    <d v="2010-03-24T12:15:00"/>
    <n v="5.95"/>
    <n v="5.95"/>
    <d v="2010-03-24T00:00:00"/>
    <d v="1899-12-30T12:15:00"/>
    <s v="PM"/>
    <s v="12:15 PM"/>
    <x v="0"/>
    <n v="11.9"/>
  </r>
  <r>
    <n v="18047"/>
    <n v="22516"/>
    <x v="623"/>
    <n v="1"/>
    <n v="1"/>
    <n v="1"/>
    <n v="534631"/>
    <d v="2010-11-23T12:57:00"/>
    <n v="2.1"/>
    <n v="2.1"/>
    <d v="2010-11-23T00:00:00"/>
    <d v="1899-12-30T12:57:00"/>
    <s v="PM"/>
    <s v="12:57 PM"/>
    <x v="0"/>
    <n v="2.1"/>
  </r>
  <r>
    <n v="16200"/>
    <n v="85151"/>
    <x v="624"/>
    <n v="5"/>
    <n v="5"/>
    <n v="5"/>
    <n v="489866"/>
    <d v="2009-12-02T15:04:00"/>
    <n v="1.25"/>
    <n v="1.25"/>
    <d v="2009-12-02T00:00:00"/>
    <d v="1899-12-30T03:04:00"/>
    <s v="PM"/>
    <s v="3:04 PM"/>
    <x v="0"/>
    <n v="6.25"/>
  </r>
  <r>
    <n v="16788"/>
    <n v="21827"/>
    <x v="625"/>
    <n v="3"/>
    <n v="3"/>
    <n v="3"/>
    <n v="529850"/>
    <d v="2010-10-31T13:35:00"/>
    <n v="1.25"/>
    <n v="1.25"/>
    <d v="2010-10-31T00:00:00"/>
    <d v="1899-12-30T01:35:00"/>
    <s v="PM"/>
    <s v="1:35 PM"/>
    <x v="0"/>
    <n v="3.75"/>
  </r>
  <r>
    <n v="15716"/>
    <s v="84029E"/>
    <x v="364"/>
    <n v="2"/>
    <n v="2"/>
    <n v="2"/>
    <n v="490669"/>
    <d v="2009-12-07T12:42:00"/>
    <n v="3.75"/>
    <n v="3.75"/>
    <d v="2009-12-07T00:00:00"/>
    <d v="1899-12-30T12:42:00"/>
    <s v="PM"/>
    <s v="12:42 PM"/>
    <x v="0"/>
    <n v="7.5"/>
  </r>
  <r>
    <n v="15034"/>
    <n v="20983"/>
    <x v="626"/>
    <n v="0"/>
    <n v="0"/>
    <m/>
    <n v="507838"/>
    <d v="2010-05-11T13:30:00"/>
    <n v="0.85"/>
    <n v="0.85"/>
    <d v="2010-05-11T00:00:00"/>
    <d v="1899-12-30T01:30:00"/>
    <s v="PM"/>
    <s v="1:30 PM"/>
    <x v="0"/>
    <n v="0"/>
  </r>
  <r>
    <n v="13980"/>
    <n v="85141"/>
    <x v="577"/>
    <n v="1"/>
    <n v="-1"/>
    <n v="-1"/>
    <s v="C524398"/>
    <d v="2010-09-28T18:37:00"/>
    <n v="10.75"/>
    <n v="10.75"/>
    <d v="2010-09-28T00:00:00"/>
    <d v="1899-12-30T06:37:00"/>
    <s v="PM"/>
    <s v="6:37 PM"/>
    <x v="0"/>
    <n v="10.75"/>
  </r>
  <r>
    <n v="14820"/>
    <s v="84952B"/>
    <x v="627"/>
    <n v="6"/>
    <n v="6"/>
    <n v="6"/>
    <n v="526201"/>
    <d v="2010-10-10T13:06:00"/>
    <n v="3.75"/>
    <n v="3.75"/>
    <d v="2010-10-10T00:00:00"/>
    <d v="1899-12-30T01:06:00"/>
    <s v="PM"/>
    <s v="1:06 PM"/>
    <x v="0"/>
    <n v="22.5"/>
  </r>
  <r>
    <n v="14679"/>
    <n v="84678"/>
    <x v="628"/>
    <n v="6"/>
    <n v="6"/>
    <n v="6"/>
    <n v="534512"/>
    <d v="2010-11-23T11:51:00"/>
    <n v="2.5499999999999998"/>
    <n v="2.5499999999999998"/>
    <d v="2010-11-23T00:00:00"/>
    <d v="1899-12-30T11:51:00"/>
    <s v="AM"/>
    <s v="11:51 AM"/>
    <x v="0"/>
    <n v="15.299999999999999"/>
  </r>
  <r>
    <n v="13093"/>
    <n v="22379"/>
    <x v="116"/>
    <n v="25"/>
    <n v="25"/>
    <n v="25"/>
    <n v="521406"/>
    <d v="2010-09-06T10:42:00"/>
    <n v="2.1"/>
    <n v="2.1"/>
    <d v="2010-09-06T00:00:00"/>
    <d v="1899-12-30T10:42:00"/>
    <s v="AM"/>
    <s v="10:42 AM"/>
    <x v="0"/>
    <n v="52.5"/>
  </r>
  <r>
    <n v="17913"/>
    <n v="22507"/>
    <x v="629"/>
    <n v="2"/>
    <n v="2"/>
    <n v="2"/>
    <n v="507398"/>
    <d v="2010-05-09T13:15:00"/>
    <n v="4.95"/>
    <n v="4.95"/>
    <d v="2010-05-09T00:00:00"/>
    <d v="1899-12-30T01:15:00"/>
    <s v="PM"/>
    <s v="1:15 PM"/>
    <x v="0"/>
    <n v="9.9"/>
  </r>
  <r>
    <n v="17841"/>
    <n v="21746"/>
    <x v="630"/>
    <n v="3"/>
    <n v="3"/>
    <n v="3"/>
    <n v="496427"/>
    <d v="2010-02-01T12:13:00"/>
    <n v="1.25"/>
    <n v="1.25"/>
    <d v="2010-02-01T00:00:00"/>
    <d v="1899-12-30T12:13:00"/>
    <s v="PM"/>
    <s v="12:13 PM"/>
    <x v="0"/>
    <n v="3.75"/>
  </r>
  <r>
    <s v="17238"/>
    <n v="20676"/>
    <x v="631"/>
    <n v="4"/>
    <n v="4"/>
    <n v="4"/>
    <n v="530014"/>
    <d v="2010-11-01T10:37:00"/>
    <n v="1.25"/>
    <n v="1.25"/>
    <d v="2010-11-01T00:00:00"/>
    <d v="1899-12-30T10:37:00"/>
    <s v="AM"/>
    <s v="10:37 AM"/>
    <x v="0"/>
    <n v="5"/>
  </r>
  <r>
    <n v="17849"/>
    <n v="21669"/>
    <x v="552"/>
    <n v="12"/>
    <n v="12"/>
    <n v="12"/>
    <n v="511357"/>
    <d v="2010-06-08T10:59:00"/>
    <n v="1.25"/>
    <n v="1.25"/>
    <d v="2010-06-08T00:00:00"/>
    <d v="1899-12-30T10:59:00"/>
    <s v="AM"/>
    <s v="10:59 AM"/>
    <x v="0"/>
    <n v="15"/>
  </r>
  <r>
    <n v="13502"/>
    <n v="22667"/>
    <x v="632"/>
    <n v="2"/>
    <n v="-2"/>
    <n v="-2"/>
    <s v="C528904"/>
    <d v="2010-10-25T13:21:00"/>
    <n v="2.95"/>
    <n v="2.95"/>
    <d v="2010-10-25T00:00:00"/>
    <d v="1899-12-30T01:21:00"/>
    <s v="PM"/>
    <s v="1:21 PM"/>
    <x v="0"/>
    <n v="5.9"/>
  </r>
  <r>
    <n v="14710"/>
    <n v="47505"/>
    <x v="633"/>
    <n v="3"/>
    <n v="3"/>
    <n v="3"/>
    <n v="505847"/>
    <d v="2010-04-26T12:11:00"/>
    <n v="4.95"/>
    <n v="4.95"/>
    <d v="2010-04-26T00:00:00"/>
    <d v="1899-12-30T12:11:00"/>
    <s v="PM"/>
    <s v="12:11 PM"/>
    <x v="0"/>
    <n v="14.850000000000001"/>
  </r>
  <r>
    <n v="14461"/>
    <n v="22591"/>
    <x v="634"/>
    <n v="4"/>
    <n v="4"/>
    <n v="4"/>
    <n v="518902"/>
    <d v="2010-08-12T14:15:00"/>
    <n v="2.5499999999999998"/>
    <n v="2.5499999999999998"/>
    <d v="2010-08-12T00:00:00"/>
    <d v="1899-12-30T02:15:00"/>
    <s v="PM"/>
    <s v="2:15 PM"/>
    <x v="0"/>
    <n v="10.199999999999999"/>
  </r>
  <r>
    <n v="16983"/>
    <n v="22121"/>
    <x v="635"/>
    <n v="2"/>
    <n v="2"/>
    <n v="2"/>
    <n v="532725"/>
    <d v="2010-11-14T12:59:00"/>
    <n v="5.95"/>
    <n v="5.95"/>
    <d v="2010-11-14T00:00:00"/>
    <d v="1899-12-30T12:59:00"/>
    <s v="PM"/>
    <s v="12:59 PM"/>
    <x v="0"/>
    <n v="11.9"/>
  </r>
  <r>
    <n v="16383"/>
    <n v="21936"/>
    <x v="636"/>
    <n v="1"/>
    <n v="1"/>
    <n v="1"/>
    <n v="515115"/>
    <d v="2010-07-08T13:07:00"/>
    <n v="2.95"/>
    <n v="2.95"/>
    <d v="2010-07-08T00:00:00"/>
    <d v="1899-12-30T01:07:00"/>
    <s v="PM"/>
    <s v="1:07 PM"/>
    <x v="0"/>
    <n v="2.95"/>
  </r>
  <r>
    <n v="13291"/>
    <s v="84926C"/>
    <x v="637"/>
    <n v="4"/>
    <n v="4"/>
    <n v="4"/>
    <n v="497732"/>
    <d v="2010-02-11T18:36:00"/>
    <n v="1.25"/>
    <n v="1.25"/>
    <d v="2010-02-11T00:00:00"/>
    <d v="1899-12-30T06:36:00"/>
    <s v="PM"/>
    <s v="6:36 PM"/>
    <x v="0"/>
    <n v="5"/>
  </r>
  <r>
    <n v="16767"/>
    <n v="21651"/>
    <x v="45"/>
    <n v="6"/>
    <n v="6"/>
    <n v="6"/>
    <n v="506285"/>
    <d v="2010-04-28T16:49:00"/>
    <n v="1.65"/>
    <n v="1.65"/>
    <d v="2010-04-28T00:00:00"/>
    <d v="1899-12-30T04:49:00"/>
    <s v="PM"/>
    <s v="4:49 PM"/>
    <x v="0"/>
    <n v="9.8999999999999986"/>
  </r>
  <r>
    <n v="17017"/>
    <n v="22943"/>
    <x v="638"/>
    <n v="24"/>
    <n v="24"/>
    <s v="24"/>
    <n v="536618"/>
    <d v="2010-12-02T10:17:00"/>
    <n v="4.25"/>
    <n v="4.25"/>
    <d v="2010-12-02T00:00:00"/>
    <d v="1899-12-30T10:17:00"/>
    <s v="AM"/>
    <s v="10:17 AM"/>
    <x v="0"/>
    <n v="102"/>
  </r>
  <r>
    <n v="17198"/>
    <s v="90195A"/>
    <x v="639"/>
    <n v="4"/>
    <n v="4"/>
    <n v="4"/>
    <n v="538056"/>
    <d v="2010-12-09T13:34:00"/>
    <n v="8.9499999999999993"/>
    <n v="8.9499999999999993"/>
    <d v="2010-12-09T00:00:00"/>
    <d v="1899-12-30T01:34:00"/>
    <s v="PM"/>
    <s v="1:34 PM"/>
    <x v="0"/>
    <n v="35.799999999999997"/>
  </r>
  <r>
    <n v="14648"/>
    <n v="22470"/>
    <x v="112"/>
    <n v="40"/>
    <n v="40"/>
    <n v="40"/>
    <n v="523586"/>
    <d v="2010-09-23T08:54:00"/>
    <n v="2.5499999999999998"/>
    <n v="2.5499999999999998"/>
    <d v="2010-09-23T00:00:00"/>
    <d v="1899-12-30T08:54:00"/>
    <s v="AM"/>
    <s v="8:54 AM"/>
    <x v="0"/>
    <n v="102"/>
  </r>
  <r>
    <n v="17782"/>
    <n v="84879"/>
    <x v="95"/>
    <n v="16"/>
    <n v="16"/>
    <n v="16"/>
    <n v="534232"/>
    <d v="2010-11-22T10:03:00"/>
    <n v="1.69"/>
    <n v="1.69"/>
    <d v="2010-11-22T00:00:00"/>
    <d v="1899-12-30T10:03:00"/>
    <s v="AM"/>
    <s v="10:03 AM"/>
    <x v="0"/>
    <n v="27.04"/>
  </r>
  <r>
    <n v="14902"/>
    <n v="84879"/>
    <x v="95"/>
    <n v="24"/>
    <n v="24"/>
    <n v="24"/>
    <n v="531566"/>
    <s v="09-11-2010 10:29"/>
    <n v="1.69"/>
    <n v="1.69"/>
    <d v="2010-09-11T00:00:00"/>
    <d v="1899-12-30T10:29:00"/>
    <m/>
    <s v="10:29 "/>
    <x v="0"/>
    <n v="40.56"/>
  </r>
  <r>
    <n v="17663"/>
    <n v="21258"/>
    <x v="27"/>
    <n v="1"/>
    <n v="1"/>
    <n v="1"/>
    <n v="520505"/>
    <d v="2010-08-26T12:51:00"/>
    <n v="12.75"/>
    <n v="12.75"/>
    <d v="2010-08-26T00:00:00"/>
    <d v="1899-12-30T12:51:00"/>
    <s v="PM"/>
    <s v="12:51 PM"/>
    <x v="0"/>
    <n v="12.75"/>
  </r>
  <r>
    <n v="17667"/>
    <n v="22606"/>
    <x v="640"/>
    <n v="4"/>
    <n v="4"/>
    <n v="4"/>
    <n v="513768"/>
    <d v="2010-06-28T13:43:00"/>
    <n v="12.75"/>
    <n v="12.75"/>
    <d v="2010-06-28T00:00:00"/>
    <d v="1899-12-30T01:43:00"/>
    <s v="PM"/>
    <s v="1:43 PM"/>
    <x v="0"/>
    <n v="51"/>
  </r>
  <r>
    <n v="14156"/>
    <n v="20712"/>
    <x v="40"/>
    <n v="10"/>
    <n v="10"/>
    <n v="10"/>
    <n v="523309"/>
    <d v="2010-09-21T13:08:00"/>
    <n v="1.95"/>
    <n v="1.95"/>
    <d v="2010-09-21T00:00:00"/>
    <d v="1899-12-30T01:08:00"/>
    <s v="PM"/>
    <s v="1:08 PM"/>
    <x v="1"/>
    <n v="19.5"/>
  </r>
  <r>
    <n v="18226"/>
    <s v="85123A"/>
    <x v="103"/>
    <n v="6"/>
    <n v="6"/>
    <n v="6"/>
    <n v="519602"/>
    <d v="2010-08-18T16:00:00"/>
    <n v="2.95"/>
    <n v="2.95"/>
    <d v="2010-08-18T00:00:00"/>
    <d v="1899-12-30T04:00:00"/>
    <s v="PM"/>
    <s v="4:00 PM"/>
    <x v="0"/>
    <n v="17.700000000000003"/>
  </r>
  <r>
    <n v="12648"/>
    <n v="20702"/>
    <x v="399"/>
    <n v="6"/>
    <n v="6"/>
    <n v="6"/>
    <n v="524207"/>
    <d v="2010-09-28T10:35:00"/>
    <n v="4.25"/>
    <n v="4.25"/>
    <d v="2010-09-28T00:00:00"/>
    <d v="1899-12-30T10:35:00"/>
    <s v="AM"/>
    <s v="10:35 AM"/>
    <x v="2"/>
    <n v="25.5"/>
  </r>
  <r>
    <n v="13728"/>
    <n v="48187"/>
    <x v="641"/>
    <n v="2"/>
    <n v="2"/>
    <n v="2"/>
    <n v="516111"/>
    <d v="2010-07-16T13:21:00"/>
    <n v="7.49"/>
    <n v="7.49"/>
    <d v="2010-07-16T00:00:00"/>
    <d v="1899-12-30T01:21:00"/>
    <s v="PM"/>
    <s v="1:21 PM"/>
    <x v="0"/>
    <n v="14.98"/>
  </r>
  <r>
    <n v="14499"/>
    <n v="22945"/>
    <x v="642"/>
    <n v="18"/>
    <n v="18"/>
    <n v="18"/>
    <n v="534091"/>
    <d v="2010-11-21T11:58:00"/>
    <n v="0.85"/>
    <n v="0.85"/>
    <d v="2010-11-21T00:00:00"/>
    <d v="1899-12-30T11:58:00"/>
    <s v="AM"/>
    <s v="11:58 AM"/>
    <x v="0"/>
    <n v="15.299999999999999"/>
  </r>
  <r>
    <n v="14646"/>
    <n v="22557"/>
    <x v="643"/>
    <n v="96"/>
    <n v="96"/>
    <n v="96"/>
    <n v="519404"/>
    <d v="2010-08-17T08:56:00"/>
    <n v="1.45"/>
    <n v="1.45"/>
    <d v="2010-08-17T00:00:00"/>
    <d v="1899-12-30T08:56:00"/>
    <s v="AM"/>
    <s v="8:56 AM"/>
    <x v="9"/>
    <n v="139.19999999999999"/>
  </r>
  <r>
    <n v="14156"/>
    <n v="16235"/>
    <x v="644"/>
    <n v="60"/>
    <n v="60"/>
    <n v="60"/>
    <n v="532993"/>
    <d v="2010-11-15T14:26:00"/>
    <n v="0.21"/>
    <n v="0.21"/>
    <d v="2010-11-15T00:00:00"/>
    <d v="1899-12-30T02:26:00"/>
    <s v="PM"/>
    <s v="2:26 PM"/>
    <x v="1"/>
    <n v="12.6"/>
  </r>
  <r>
    <n v="15579"/>
    <n v="35965"/>
    <x v="645"/>
    <n v="6"/>
    <n v="6"/>
    <n v="6"/>
    <n v="525068"/>
    <d v="2010-10-03T14:37:00"/>
    <n v="2.95"/>
    <n v="2.95"/>
    <d v="2010-10-03T00:00:00"/>
    <d v="1899-12-30T02:37:00"/>
    <s v="PM"/>
    <s v="2:37 PM"/>
    <x v="0"/>
    <n v="17.700000000000003"/>
  </r>
  <r>
    <n v="17865"/>
    <n v="21875"/>
    <x v="468"/>
    <n v="1"/>
    <n v="1"/>
    <n v="1"/>
    <n v="490707"/>
    <d v="2009-12-07T15:02:00"/>
    <n v="1.25"/>
    <n v="1.25"/>
    <d v="2009-12-07T00:00:00"/>
    <d v="1899-12-30T03:02:00"/>
    <s v="PM"/>
    <s v="3:02 PM"/>
    <x v="0"/>
    <n v="1.25"/>
  </r>
  <r>
    <n v="16862"/>
    <n v="21429"/>
    <x v="646"/>
    <n v="8"/>
    <n v="8"/>
    <n v="8"/>
    <n v="505499"/>
    <d v="2010-04-22T13:36:00"/>
    <n v="1.65"/>
    <n v="1.65"/>
    <d v="2010-04-22T00:00:00"/>
    <d v="1899-12-30T01:36:00"/>
    <s v="PM"/>
    <s v="1:36 PM"/>
    <x v="0"/>
    <n v="13.2"/>
  </r>
  <r>
    <n v="13168"/>
    <n v="22469"/>
    <x v="499"/>
    <n v="4"/>
    <n v="4"/>
    <n v="4"/>
    <n v="512426"/>
    <d v="2010-06-15T15:00:00"/>
    <n v="1.65"/>
    <n v="1.65"/>
    <d v="2010-06-15T00:00:00"/>
    <d v="1899-12-30T03:00:00"/>
    <s v="PM"/>
    <s v="3:00 PM"/>
    <x v="0"/>
    <n v="6.6"/>
  </r>
  <r>
    <n v="14382"/>
    <n v="22441"/>
    <x v="185"/>
    <n v="5"/>
    <n v="5"/>
    <n v="5"/>
    <n v="532821"/>
    <d v="2010-11-14T16:32:00"/>
    <n v="2.1"/>
    <n v="2.1"/>
    <d v="2010-11-14T00:00:00"/>
    <d v="1899-12-30T04:32:00"/>
    <s v="PM"/>
    <s v="4:32 PM"/>
    <x v="0"/>
    <n v="10.5"/>
  </r>
  <r>
    <n v="15532"/>
    <n v="21109"/>
    <x v="442"/>
    <n v="1"/>
    <n v="1"/>
    <n v="1"/>
    <n v="511501"/>
    <d v="2010-06-08T14:52:00"/>
    <n v="6.75"/>
    <n v="6.75"/>
    <d v="2010-06-08T00:00:00"/>
    <d v="1899-12-30T02:52:00"/>
    <s v="PM"/>
    <s v="2:52 PM"/>
    <x v="0"/>
    <n v="6.75"/>
  </r>
  <r>
    <n v="15631"/>
    <n v="21788"/>
    <x v="647"/>
    <n v="24"/>
    <n v="24"/>
    <n v="24"/>
    <n v="500347"/>
    <d v="2010-03-07T14:52:00"/>
    <n v="0.85"/>
    <n v="0.85"/>
    <d v="2010-03-07T00:00:00"/>
    <d v="1899-12-30T02:52:00"/>
    <s v="PM"/>
    <s v="2:52 PM"/>
    <x v="0"/>
    <n v="20.399999999999999"/>
  </r>
  <r>
    <n v="18065"/>
    <n v="82600"/>
    <x v="195"/>
    <n v="12"/>
    <n v="12"/>
    <n v="12"/>
    <n v="528737"/>
    <d v="2010-10-24T14:06:00"/>
    <n v="2.1"/>
    <n v="2.1"/>
    <d v="2010-10-24T00:00:00"/>
    <d v="1899-12-30T02:06:00"/>
    <s v="PM"/>
    <s v="2:06 PM"/>
    <x v="0"/>
    <n v="25.200000000000003"/>
  </r>
  <r>
    <n v="12867"/>
    <n v="22493"/>
    <x v="648"/>
    <n v="5"/>
    <n v="5"/>
    <n v="5"/>
    <n v="517106"/>
    <d v="2010-07-26T15:17:00"/>
    <n v="1.65"/>
    <n v="1.65"/>
    <d v="2010-07-26T00:00:00"/>
    <d v="1899-12-30T03:17:00"/>
    <s v="PM"/>
    <s v="3:17 PM"/>
    <x v="0"/>
    <n v="8.25"/>
  </r>
  <r>
    <n v="17757"/>
    <n v="22904"/>
    <x v="156"/>
    <n v="3"/>
    <n v="3"/>
    <n v="3"/>
    <n v="531806"/>
    <d v="2010-11-09T16:10:00"/>
    <n v="2.95"/>
    <n v="2.95"/>
    <d v="2010-11-09T00:00:00"/>
    <d v="1899-12-30T04:10:00"/>
    <s v="PM"/>
    <s v="4:10 PM"/>
    <x v="0"/>
    <n v="8.8500000000000014"/>
  </r>
  <r>
    <n v="13448"/>
    <n v="22312"/>
    <x v="402"/>
    <n v="3"/>
    <n v="3"/>
    <n v="3"/>
    <n v="524099"/>
    <d v="2010-09-27T12:24:00"/>
    <n v="2.95"/>
    <n v="2.95"/>
    <d v="2010-09-27T00:00:00"/>
    <d v="1899-12-30T12:24:00"/>
    <s v="PM"/>
    <s v="12:24 PM"/>
    <x v="0"/>
    <n v="8.8500000000000014"/>
  </r>
  <r>
    <n v="14800"/>
    <n v="22551"/>
    <x v="41"/>
    <n v="2"/>
    <n v="2"/>
    <n v="2"/>
    <n v="537050"/>
    <d v="2010-12-05T11:10:00"/>
    <n v="1.65"/>
    <n v="1.65"/>
    <d v="2010-12-05T00:00:00"/>
    <d v="1899-12-30T11:10:00"/>
    <s v="AM"/>
    <s v="11:10 AM"/>
    <x v="0"/>
    <n v="3.3"/>
  </r>
  <r>
    <s v="12748"/>
    <s v="82494L"/>
    <x v="168"/>
    <n v="6"/>
    <n v="6"/>
    <n v="6"/>
    <n v="531439"/>
    <d v="2010-11-08T12:22:00"/>
    <n v="2.95"/>
    <n v="2.95"/>
    <d v="2010-11-08T00:00:00"/>
    <d v="1899-12-30T12:22:00"/>
    <s v="PM"/>
    <s v="12:22 PM"/>
    <x v="0"/>
    <n v="17.700000000000003"/>
  </r>
  <r>
    <n v="12477"/>
    <n v="21284"/>
    <x v="649"/>
    <n v="12"/>
    <n v="12"/>
    <n v="12"/>
    <n v="502764"/>
    <d v="2010-03-26T14:01:00"/>
    <n v="1.69"/>
    <n v="1.69"/>
    <d v="2010-03-26T00:00:00"/>
    <d v="1899-12-30T02:01:00"/>
    <s v="PM"/>
    <s v="2:01 PM"/>
    <x v="2"/>
    <n v="20.28"/>
  </r>
  <r>
    <n v="13179"/>
    <n v="22326"/>
    <x v="650"/>
    <n v="6"/>
    <n v="6"/>
    <n v="6"/>
    <n v="503295"/>
    <s v="31/03/2010 11:40"/>
    <n v="2.95"/>
    <n v="2.95"/>
    <s v="31/03/2010"/>
    <d v="1899-12-30T11:40:00"/>
    <m/>
    <s v="11:40 "/>
    <x v="0"/>
    <n v="17.700000000000003"/>
  </r>
  <r>
    <n v="17544"/>
    <n v="22026"/>
    <x v="422"/>
    <n v="12"/>
    <n v="12"/>
    <n v="12"/>
    <n v="532798"/>
    <d v="2010-11-14T14:47:00"/>
    <n v="0.42"/>
    <n v="0.42"/>
    <d v="2010-11-14T00:00:00"/>
    <d v="1899-12-30T02:47:00"/>
    <s v="PM"/>
    <s v="2:47 PM"/>
    <x v="0"/>
    <n v="5.04"/>
  </r>
  <r>
    <n v="15059"/>
    <n v="22202"/>
    <x v="651"/>
    <n v="1"/>
    <n v="1"/>
    <n v="1"/>
    <n v="498570"/>
    <d v="2010-02-21T12:52:00"/>
    <n v="3.75"/>
    <n v="3.75"/>
    <d v="2010-02-21T00:00:00"/>
    <d v="1899-12-30T12:52:00"/>
    <s v="PM"/>
    <s v="12:52 PM"/>
    <x v="0"/>
    <n v="3.75"/>
  </r>
  <r>
    <n v="13736"/>
    <n v="22218"/>
    <x v="445"/>
    <n v="2"/>
    <n v="2"/>
    <n v="2"/>
    <n v="490461"/>
    <d v="2009-12-06T12:07:00"/>
    <n v="4.25"/>
    <n v="4.25"/>
    <d v="2009-12-06T00:00:00"/>
    <d v="1899-12-30T12:07:00"/>
    <s v="PM"/>
    <s v="12:07 PM"/>
    <x v="0"/>
    <n v="8.5"/>
  </r>
  <r>
    <n v="14113"/>
    <n v="21527"/>
    <x v="652"/>
    <n v="6"/>
    <n v="6"/>
    <n v="6"/>
    <n v="523369"/>
    <d v="2010-09-21T18:30:00"/>
    <n v="7.95"/>
    <n v="7.95"/>
    <d v="2010-09-21T00:00:00"/>
    <d v="1899-12-30T06:30:00"/>
    <s v="PM"/>
    <s v="6:30 PM"/>
    <x v="0"/>
    <n v="47.7"/>
  </r>
  <r>
    <n v="16556"/>
    <n v="21390"/>
    <x v="653"/>
    <n v="24"/>
    <n v="24"/>
    <n v="24"/>
    <n v="499874"/>
    <d v="2010-03-03T08:42:00"/>
    <n v="1.25"/>
    <n v="1.25"/>
    <d v="2010-03-03T00:00:00"/>
    <d v="1899-12-30T08:42:00"/>
    <s v="AM"/>
    <s v="8:42 AM"/>
    <x v="0"/>
    <n v="30"/>
  </r>
  <r>
    <n v="14961"/>
    <n v="22198"/>
    <x v="654"/>
    <n v="48"/>
    <n v="48"/>
    <n v="48"/>
    <n v="503987"/>
    <d v="2010-04-09T10:17:00"/>
    <n v="1.65"/>
    <n v="1.65"/>
    <d v="2010-04-09T00:00:00"/>
    <d v="1899-12-30T10:17:00"/>
    <s v="AM"/>
    <s v="10:17 AM"/>
    <x v="0"/>
    <n v="79.199999999999989"/>
  </r>
  <r>
    <n v="17092"/>
    <s v="85185C"/>
    <x v="655"/>
    <n v="4"/>
    <n v="4"/>
    <n v="4"/>
    <n v="496609"/>
    <d v="2010-02-02T16:42:00"/>
    <n v="2.95"/>
    <n v="2.95"/>
    <d v="2010-02-02T00:00:00"/>
    <d v="1899-12-30T04:42:00"/>
    <s v="PM"/>
    <s v="4:42 PM"/>
    <x v="0"/>
    <n v="11.8"/>
  </r>
  <r>
    <n v="17850"/>
    <n v="71477"/>
    <x v="54"/>
    <n v="6"/>
    <n v="6"/>
    <n v="6"/>
    <n v="523513"/>
    <d v="2010-09-22T12:38:00"/>
    <n v="2.75"/>
    <n v="2.75"/>
    <d v="2010-09-22T00:00:00"/>
    <d v="1899-12-30T12:38:00"/>
    <s v="PM"/>
    <s v="12:38 PM"/>
    <x v="0"/>
    <n v="16.5"/>
  </r>
  <r>
    <n v="13137"/>
    <s v=" 22383 "/>
    <x v="510"/>
    <n v="5"/>
    <n v="5"/>
    <n v="5"/>
    <n v="531352"/>
    <d v="2010-11-07T13:45:00"/>
    <n v="1.65"/>
    <n v="1.65"/>
    <d v="2010-11-07T00:00:00"/>
    <d v="1899-12-30T01:45:00"/>
    <s v="PM"/>
    <s v="1:45 PM"/>
    <x v="0"/>
    <n v="8.25"/>
  </r>
  <r>
    <s v="13089"/>
    <n v="84836"/>
    <x v="4"/>
    <n v="24"/>
    <n v="24"/>
    <n v="24"/>
    <n v="515595"/>
    <d v="2010-07-13T13:50:00"/>
    <n v="1.25"/>
    <n v="1.25"/>
    <d v="2010-07-13T00:00:00"/>
    <d v="1899-12-30T01:50:00"/>
    <s v="PM"/>
    <s v="1:50 PM"/>
    <x v="0"/>
    <n v="30"/>
  </r>
  <r>
    <n v="15358"/>
    <n v="22491"/>
    <x v="656"/>
    <n v="12"/>
    <n v="12"/>
    <n v="12"/>
    <n v="512332"/>
    <d v="2010-06-15T11:42:00"/>
    <n v="0.85"/>
    <n v="0.85"/>
    <d v="2010-06-15T00:00:00"/>
    <d v="1899-12-30T11:42:00"/>
    <s v="AM"/>
    <s v="11:42 AM"/>
    <x v="0"/>
    <n v="10.199999999999999"/>
  </r>
  <r>
    <n v="15605"/>
    <n v="22311"/>
    <x v="657"/>
    <n v="6"/>
    <n v="6"/>
    <n v="6"/>
    <n v="536535"/>
    <d v="2010-12-01T13:38:00"/>
    <n v="2.95"/>
    <n v="2.95"/>
    <d v="2010-12-01T00:00:00"/>
    <d v="1899-12-30T01:38:00"/>
    <s v="PM"/>
    <s v="1:38 PM"/>
    <x v="0"/>
    <n v="17.700000000000003"/>
  </r>
  <r>
    <n v="14535"/>
    <n v="21171"/>
    <x v="423"/>
    <n v="3"/>
    <n v="3"/>
    <n v="3"/>
    <n v="507289"/>
    <d v="2010-05-07T14:02:00"/>
    <n v="1.45"/>
    <n v="1.45"/>
    <d v="2010-05-07T00:00:00"/>
    <d v="1899-12-30T02:02:00"/>
    <s v="PM"/>
    <s v="2:02 PM"/>
    <x v="0"/>
    <n v="4.3499999999999996"/>
  </r>
  <r>
    <n v="17141"/>
    <n v="22451"/>
    <x v="471"/>
    <n v="1"/>
    <n v="1"/>
    <n v="1"/>
    <n v="527407"/>
    <d v="2010-10-17T14:44:00"/>
    <n v="3.35"/>
    <n v="3.35"/>
    <d v="2010-10-17T00:00:00"/>
    <d v="1899-12-30T02:44:00"/>
    <s v="PM"/>
    <s v="2:44 PM"/>
    <x v="0"/>
    <n v="3.35"/>
  </r>
  <r>
    <n v="17448"/>
    <n v="21519"/>
    <x v="323"/>
    <n v="12"/>
    <n v="12"/>
    <n v="12"/>
    <n v="505340"/>
    <d v="2010-04-21T13:20:00"/>
    <n v="0.36"/>
    <n v="0.36"/>
    <d v="2010-04-21T00:00:00"/>
    <d v="1899-12-30T01:20:00"/>
    <s v="PM"/>
    <s v="1:20 PM"/>
    <x v="0"/>
    <n v="4.32"/>
  </r>
  <r>
    <n v="13481"/>
    <n v="48185"/>
    <x v="658"/>
    <n v="2"/>
    <n v="2"/>
    <n v="2"/>
    <n v="490281"/>
    <d v="2009-12-04T12:37:00"/>
    <n v="6.75"/>
    <n v="6.75"/>
    <d v="2009-12-04T00:00:00"/>
    <d v="1899-12-30T12:37:00"/>
    <s v="PM"/>
    <s v="12:37 PM"/>
    <x v="0"/>
    <n v="13.5"/>
  </r>
  <r>
    <n v="16253"/>
    <n v="22261"/>
    <x v="659"/>
    <n v="5"/>
    <n v="5"/>
    <n v="5"/>
    <n v="494866"/>
    <d v="2010-01-19T11:20:00"/>
    <n v="0.85"/>
    <n v="0.85"/>
    <d v="2010-01-19T00:00:00"/>
    <d v="1899-12-30T11:20:00"/>
    <s v="AM"/>
    <s v="11:20 AM"/>
    <x v="0"/>
    <n v="4.25"/>
  </r>
  <r>
    <n v="18199"/>
    <s v="85023B"/>
    <x v="660"/>
    <n v="6"/>
    <n v="6"/>
    <n v="6"/>
    <n v="495415"/>
    <d v="2010-01-25T11:32:00"/>
    <n v="2.5499999999999998"/>
    <n v="2.5499999999999998"/>
    <d v="2010-01-25T00:00:00"/>
    <d v="1899-12-30T11:32:00"/>
    <s v="AM"/>
    <s v="11:32 AM"/>
    <x v="0"/>
    <n v="15.299999999999999"/>
  </r>
  <r>
    <n v="16029"/>
    <n v="47502"/>
    <x v="472"/>
    <n v="10"/>
    <n v="10"/>
    <n v="10"/>
    <n v="499168"/>
    <d v="2010-02-25T09:33:00"/>
    <n v="9.9499999999999993"/>
    <n v="9.9499999999999993"/>
    <d v="2010-02-25T00:00:00"/>
    <d v="1899-12-30T09:33:00"/>
    <s v="AM"/>
    <s v="9:33 AM"/>
    <x v="0"/>
    <n v="99.5"/>
  </r>
  <r>
    <n v="16275"/>
    <n v="21932"/>
    <x v="661"/>
    <n v="5"/>
    <n v="5"/>
    <n v="5"/>
    <n v="519881"/>
    <d v="2010-08-22T11:28:00"/>
    <n v="2.95"/>
    <n v="2.95"/>
    <d v="2010-08-22T00:00:00"/>
    <d v="1899-12-30T11:28:00"/>
    <s v="AM"/>
    <s v="11:28 AM"/>
    <x v="0"/>
    <n v="14.75"/>
  </r>
  <r>
    <n v="14911"/>
    <s v="C2"/>
    <x v="662"/>
    <n v="1"/>
    <n v="1"/>
    <n v="1"/>
    <n v="490542"/>
    <d v="2009-12-07T09:42:00"/>
    <n v="50"/>
    <n v="50"/>
    <d v="2009-12-07T00:00:00"/>
    <d v="1899-12-30T09:42:00"/>
    <s v="AM"/>
    <s v="9:42 AM"/>
    <x v="1"/>
    <n v="50"/>
  </r>
  <r>
    <n v="15351"/>
    <n v="22577"/>
    <x v="456"/>
    <n v="13"/>
    <n v="13"/>
    <n v="13"/>
    <n v="525030"/>
    <d v="2010-10-03T12:18:00"/>
    <n v="0.85"/>
    <n v="0.85"/>
    <d v="2010-10-03T00:00:00"/>
    <d v="1899-12-30T12:18:00"/>
    <s v="PM"/>
    <s v="12:18 PM"/>
    <x v="0"/>
    <n v="11.049999999999999"/>
  </r>
  <r>
    <n v="16085"/>
    <n v="22293"/>
    <x v="663"/>
    <n v="3"/>
    <n v="3"/>
    <n v="3"/>
    <n v="495029"/>
    <d v="2010-01-20T14:03:00"/>
    <n v="1.45"/>
    <n v="1.45"/>
    <d v="2010-01-20T00:00:00"/>
    <d v="1899-12-30T02:03:00"/>
    <s v="PM"/>
    <s v="2:03 PM"/>
    <x v="0"/>
    <n v="4.3499999999999996"/>
  </r>
  <r>
    <n v="12696"/>
    <n v="82551"/>
    <x v="498"/>
    <n v="12"/>
    <n v="12"/>
    <n v="12"/>
    <n v="516193"/>
    <d v="2010-07-19T10:02:00"/>
    <n v="1.25"/>
    <n v="1.25"/>
    <d v="2010-07-19T00:00:00"/>
    <d v="1899-12-30T10:02:00"/>
    <s v="AM"/>
    <s v="10:02 AM"/>
    <x v="21"/>
    <n v="15"/>
  </r>
  <r>
    <n v="17231"/>
    <n v="22736"/>
    <x v="451"/>
    <n v="1"/>
    <n v="1"/>
    <n v="1"/>
    <n v="528615"/>
    <d v="2010-10-22T16:36:00"/>
    <n v="1.65"/>
    <n v="1.65"/>
    <d v="2010-10-22T00:00:00"/>
    <d v="1899-12-30T04:36:00"/>
    <s v="PM"/>
    <s v="4:36 PM"/>
    <x v="0"/>
    <n v="1.65"/>
  </r>
  <r>
    <n v="16019"/>
    <n v="84879"/>
    <x v="95"/>
    <n v="8"/>
    <n v="8"/>
    <n v="8"/>
    <n v="520336"/>
    <d v="2010-08-25T12:39:00"/>
    <n v="1.69"/>
    <n v="1.69"/>
    <d v="2010-08-25T00:00:00"/>
    <d v="1899-12-30T12:39:00"/>
    <s v="PM"/>
    <s v="12:39 PM"/>
    <x v="0"/>
    <n v="13.52"/>
  </r>
  <r>
    <n v="14303"/>
    <n v="22178"/>
    <x v="137"/>
    <n v="12"/>
    <n v="12"/>
    <n v="12"/>
    <n v="529522"/>
    <d v="2010-10-28T15:37:00"/>
    <n v="1.25"/>
    <n v="1.25"/>
    <d v="2010-10-28T00:00:00"/>
    <d v="1899-12-30T03:37:00"/>
    <s v="PM"/>
    <s v="3:37 PM"/>
    <x v="0"/>
    <n v="15"/>
  </r>
  <r>
    <n v="17346"/>
    <n v="21467"/>
    <x v="664"/>
    <n v="1"/>
    <n v="1"/>
    <n v="1"/>
    <s v=" 520877 "/>
    <d v="2010-08-31T15:28:00"/>
    <n v="3.75"/>
    <n v="3.75"/>
    <d v="2010-08-31T00:00:00"/>
    <d v="1899-12-30T03:28:00"/>
    <s v="PM"/>
    <s v="3:28 PM"/>
    <x v="0"/>
    <n v="3.75"/>
  </r>
  <r>
    <n v="15764"/>
    <n v="21733"/>
    <x v="665"/>
    <n v="6"/>
    <n v="6"/>
    <n v="6"/>
    <n v="519586"/>
    <d v="2010-08-18T13:58:00"/>
    <n v="2.95"/>
    <n v="2.95"/>
    <d v="2010-08-18T00:00:00"/>
    <d v="1899-12-30T01:58:00"/>
    <s v="PM"/>
    <s v="1:58 PM"/>
    <x v="0"/>
    <n v="17.700000000000003"/>
  </r>
  <r>
    <n v="18168"/>
    <n v="21231"/>
    <x v="373"/>
    <n v="4"/>
    <n v="4"/>
    <n v="4"/>
    <n v="530953"/>
    <d v="2010-11-04T18:42:00"/>
    <n v="1.25"/>
    <n v="1.25"/>
    <d v="2010-11-04T00:00:00"/>
    <d v="1899-12-30T06:42:00"/>
    <s v="PM"/>
    <s v="6:42 PM"/>
    <x v="0"/>
    <n v="5"/>
  </r>
  <r>
    <n v="14085"/>
    <n v="82600"/>
    <x v="195"/>
    <n v="3"/>
    <n v="3"/>
    <n v="3"/>
    <n v="492839"/>
    <d v="2009-12-21T11:08:00"/>
    <n v="2.1"/>
    <n v="2.1"/>
    <d v="2009-12-21T00:00:00"/>
    <d v="1899-12-30T11:08:00"/>
    <s v="AM"/>
    <s v="11:08 AM"/>
    <x v="0"/>
    <n v="6.3000000000000007"/>
  </r>
  <r>
    <n v="14930"/>
    <n v="20685"/>
    <x v="666"/>
    <n v="2"/>
    <n v="2"/>
    <n v="2"/>
    <n v="520484"/>
    <s v="26/08/2010 11:43"/>
    <n v="7.49"/>
    <n v="7.49"/>
    <s v="26/08/2010"/>
    <d v="1899-12-30T11:43:00"/>
    <m/>
    <s v="11:43 "/>
    <x v="12"/>
    <n v="14.98"/>
  </r>
  <r>
    <n v="14510"/>
    <n v="22816"/>
    <x v="667"/>
    <n v="24"/>
    <n v="24"/>
    <n v="24"/>
    <n v="524534"/>
    <d v="2010-09-29T13:35:00"/>
    <n v="0.42"/>
    <n v="0.42"/>
    <d v="2010-09-29T00:00:00"/>
    <d v="1899-12-30T01:35:00"/>
    <s v="PM"/>
    <s v="1:35 PM"/>
    <x v="0"/>
    <n v="10.08"/>
  </r>
  <r>
    <n v="14382"/>
    <n v="20961"/>
    <x v="105"/>
    <n v="2"/>
    <n v="2"/>
    <n v="2"/>
    <n v="532821"/>
    <d v="2010-11-14T16:32:00"/>
    <s v="1.25"/>
    <n v="1.25"/>
    <d v="2010-11-14T00:00:00"/>
    <d v="1899-12-30T04:32:00"/>
    <s v="PM"/>
    <s v="4:32 PM"/>
    <x v="0"/>
    <n v="2.5"/>
  </r>
  <r>
    <n v="15050"/>
    <n v="22470"/>
    <x v="112"/>
    <n v="44"/>
    <n v="44"/>
    <n v="44"/>
    <n v="527073"/>
    <d v="2010-10-14T14:18:00"/>
    <n v="2.5499999999999998"/>
    <n v="2.5499999999999998"/>
    <d v="2010-10-14T00:00:00"/>
    <d v="1899-12-30T02:18:00"/>
    <s v="PM"/>
    <s v="2:18 PM"/>
    <x v="0"/>
    <n v="112.19999999999999"/>
  </r>
  <r>
    <n v="17511"/>
    <n v="21268"/>
    <x v="668"/>
    <n v="48"/>
    <n v="48"/>
    <n v="48"/>
    <n v="491800"/>
    <d v="2009-12-14T12:58:00"/>
    <n v="0.42"/>
    <n v="0.42"/>
    <d v="2009-12-14T00:00:00"/>
    <d v="1899-12-30T12:58:00"/>
    <s v="PM"/>
    <s v="12:58 PM"/>
    <x v="0"/>
    <n v="20.16"/>
  </r>
  <r>
    <s v="14451"/>
    <n v="22271"/>
    <x v="669"/>
    <n v="1"/>
    <n v="1"/>
    <n v="1"/>
    <n v="532989"/>
    <d v="2010-11-15T14:09:00"/>
    <n v="2.95"/>
    <n v="2.95"/>
    <d v="2010-11-15T00:00:00"/>
    <d v="1899-12-30T02:09:00"/>
    <s v="PM"/>
    <s v="2:09 PM"/>
    <x v="0"/>
    <n v="2.95"/>
  </r>
  <r>
    <s v="16558"/>
    <n v="22109"/>
    <x v="619"/>
    <n v="1"/>
    <n v="-1"/>
    <n v="-1"/>
    <s v="C501330"/>
    <d v="2010-03-16T10:07:00"/>
    <n v="3.75"/>
    <n v="3.75"/>
    <d v="2010-03-16T00:00:00"/>
    <d v="1899-12-30T10:07:00"/>
    <s v="AM"/>
    <s v="10:07 AM"/>
    <x v="0"/>
    <n v="3.75"/>
  </r>
  <r>
    <n v="16098"/>
    <n v="22605"/>
    <x v="68"/>
    <n v="4"/>
    <n v="4"/>
    <n v="4"/>
    <n v="504717"/>
    <d v="2010-04-16T10:49:00"/>
    <n v="10.95"/>
    <n v="10.95"/>
    <d v="2010-04-16T00:00:00"/>
    <d v="1899-12-30T10:49:00"/>
    <s v="AM"/>
    <s v="10:49 AM"/>
    <x v="0"/>
    <n v="43.8"/>
  </r>
  <r>
    <n v="12380"/>
    <s v="84997D"/>
    <x v="564"/>
    <n v="6"/>
    <n v="6"/>
    <n v="6"/>
    <n v="513964"/>
    <d v="2010-06-29T15:17:00"/>
    <n v="3.75"/>
    <n v="3.75"/>
    <d v="2010-06-29T00:00:00"/>
    <d v="1899-12-30T03:17:00"/>
    <s v="PM"/>
    <s v="3:17 PM"/>
    <x v="5"/>
    <n v="22.5"/>
  </r>
  <r>
    <n v="14104"/>
    <n v="22090"/>
    <x v="409"/>
    <n v="1"/>
    <n v="1"/>
    <n v="1"/>
    <n v="510360"/>
    <d v="2010-05-28T16:11:00"/>
    <n v="2.95"/>
    <n v="2.95"/>
    <d v="2010-05-28T00:00:00"/>
    <d v="1899-12-30T04:11:00"/>
    <s v="PM"/>
    <s v="4:11 PM"/>
    <x v="0"/>
    <n v="2.95"/>
  </r>
  <r>
    <n v="12476"/>
    <n v="22726"/>
    <x v="283"/>
    <n v="4"/>
    <n v="4"/>
    <n v="4"/>
    <n v="524323"/>
    <d v="2010-09-28T14:41:00"/>
    <n v="3.75"/>
    <n v="3.75"/>
    <d v="2010-09-28T00:00:00"/>
    <d v="1899-12-30T02:41:00"/>
    <s v="PM"/>
    <s v="2:41 PM"/>
    <x v="2"/>
    <n v="15"/>
  </r>
  <r>
    <n v="15861"/>
    <n v="21156"/>
    <x v="10"/>
    <n v="2"/>
    <n v="2"/>
    <n v="2"/>
    <n v="521974"/>
    <d v="2010-09-09T19:56:00"/>
    <n v="1.95"/>
    <n v="1.95"/>
    <d v="2010-09-09T00:00:00"/>
    <d v="1899-12-30T07:56:00"/>
    <s v="PM"/>
    <s v="7:56 PM"/>
    <x v="0"/>
    <n v="3.9"/>
  </r>
  <r>
    <n v="14684"/>
    <n v="22576"/>
    <x v="188"/>
    <n v="1"/>
    <n v="1"/>
    <n v="1"/>
    <n v="532764"/>
    <d v="2010-11-14T14:07:00"/>
    <n v="0.85"/>
    <n v="0.85"/>
    <d v="2010-11-14T00:00:00"/>
    <d v="1899-12-30T02:07:00"/>
    <s v="PM"/>
    <s v="2:07 PM"/>
    <x v="0"/>
    <n v="0.85"/>
  </r>
  <r>
    <n v="16619"/>
    <s v="84762B"/>
    <x v="670"/>
    <n v="1"/>
    <n v="1"/>
    <n v="1"/>
    <n v="498696"/>
    <d v="2010-02-22T12:05:00"/>
    <n v="10.75"/>
    <n v="10.75"/>
    <d v="2010-02-22T00:00:00"/>
    <d v="1899-12-30T12:05:00"/>
    <s v="PM"/>
    <s v="12:05 PM"/>
    <x v="0"/>
    <n v="10.75"/>
  </r>
  <r>
    <n v="16108"/>
    <s v="85099B"/>
    <x v="671"/>
    <n v="10"/>
    <n v="10"/>
    <n v="10"/>
    <n v="501665"/>
    <d v="2010-03-18T14:14:00"/>
    <n v="1.95"/>
    <n v="1.95"/>
    <d v="2010-03-18T00:00:00"/>
    <d v="1899-12-30T02:14:00"/>
    <s v="PM"/>
    <s v="2:14 PM"/>
    <x v="0"/>
    <n v="19.5"/>
  </r>
  <r>
    <s v="17589"/>
    <n v="21587"/>
    <x v="672"/>
    <n v="1"/>
    <n v="1"/>
    <n v="1"/>
    <n v="534003"/>
    <d v="2010-11-19T14:27:00"/>
    <n v="2.5499999999999998"/>
    <n v="2.5499999999999998"/>
    <d v="2010-11-19T00:00:00"/>
    <d v="1899-12-30T02:27:00"/>
    <s v="PM"/>
    <s v="2:27 PM"/>
    <x v="0"/>
    <n v="2.5499999999999998"/>
  </r>
  <r>
    <n v="14506"/>
    <n v="84773"/>
    <x v="621"/>
    <n v="2"/>
    <n v="2"/>
    <n v="2"/>
    <n v="530350"/>
    <d v="2010-11-02T15:48:00"/>
    <n v="2.95"/>
    <n v="2.95"/>
    <d v="2010-11-02T00:00:00"/>
    <d v="1899-12-30T03:48:00"/>
    <s v="PM"/>
    <s v="3:48 PM"/>
    <x v="0"/>
    <n v="5.9"/>
  </r>
  <r>
    <n v="14040"/>
    <n v="22750"/>
    <x v="413"/>
    <n v="3"/>
    <n v="3"/>
    <n v="3"/>
    <n v="526204"/>
    <d v="2010-10-10T13:23:00"/>
    <n v="3.75"/>
    <n v="3.75"/>
    <d v="2010-10-10T00:00:00"/>
    <d v="1899-12-30T01:23:00"/>
    <s v="PM"/>
    <s v="1:23 PM"/>
    <x v="0"/>
    <n v="11.25"/>
  </r>
  <r>
    <n v="13276"/>
    <n v="21889"/>
    <x v="255"/>
    <n v="2"/>
    <n v="2"/>
    <n v="2"/>
    <n v="500338"/>
    <d v="2010-03-07T14:05:00"/>
    <n v="1.25"/>
    <n v="1.25"/>
    <d v="2010-03-07T00:00:00"/>
    <d v="1899-12-30T02:05:00"/>
    <s v="PM"/>
    <s v="2:05 PM"/>
    <x v="0"/>
    <n v="2.5"/>
  </r>
  <r>
    <n v="14534"/>
    <n v="21544"/>
    <x v="673"/>
    <n v="2"/>
    <n v="2"/>
    <n v="2"/>
    <n v="511266"/>
    <d v="2010-06-07T12:51:00"/>
    <n v="0.85"/>
    <n v="0.85"/>
    <d v="2010-06-07T00:00:00"/>
    <d v="1899-12-30T12:51:00"/>
    <s v="PM"/>
    <s v="12:51 PM"/>
    <x v="0"/>
    <n v="1.7"/>
  </r>
  <r>
    <n v="14606"/>
    <n v="21219"/>
    <x v="674"/>
    <n v="10"/>
    <n v="10"/>
    <s v="10"/>
    <n v="528957"/>
    <d v="2010-10-26T08:49:00"/>
    <n v="1.25"/>
    <n v="1.25"/>
    <d v="2010-10-26T00:00:00"/>
    <d v="1899-12-30T08:49:00"/>
    <s v="AM"/>
    <s v="8:49 AM"/>
    <x v="2"/>
    <n v="12.5"/>
  </r>
  <r>
    <n v="12451"/>
    <n v="22558"/>
    <x v="675"/>
    <n v="24"/>
    <n v="24"/>
    <n v="24"/>
    <n v="513762"/>
    <d v="2010-06-28T12:58:00"/>
    <n v="1.25"/>
    <n v="1.25"/>
    <d v="2010-06-28T00:00:00"/>
    <d v="1899-12-30T12:58:00"/>
    <s v="PM"/>
    <s v="12:58 PM"/>
    <x v="17"/>
    <n v="30"/>
  </r>
  <r>
    <n v="16042"/>
    <n v="22582"/>
    <x v="282"/>
    <n v="6"/>
    <n v="6"/>
    <n v="6"/>
    <n v="522086"/>
    <d v="2010-09-12T12:00:00"/>
    <n v="2.5499999999999998"/>
    <n v="2.5499999999999998"/>
    <d v="2010-09-12T00:00:00"/>
    <d v="1899-12-30T12:00:00"/>
    <s v="PM"/>
    <s v="12:00 PM"/>
    <x v="0"/>
    <n v="15.299999999999999"/>
  </r>
  <r>
    <n v="18170"/>
    <n v="22469"/>
    <x v="499"/>
    <n v="10"/>
    <n v="10"/>
    <n v="10"/>
    <n v="536213"/>
    <d v="2010-11-30T13:33:00"/>
    <n v="1.65"/>
    <n v="1.65"/>
    <d v="2010-11-30T00:00:00"/>
    <d v="1899-12-30T01:33:00"/>
    <s v="PM"/>
    <s v="1:33 PM"/>
    <x v="0"/>
    <n v="16.5"/>
  </r>
  <r>
    <n v="15123"/>
    <n v="22331"/>
    <x v="227"/>
    <n v="8"/>
    <n v="8"/>
    <n v="8"/>
    <n v="501320"/>
    <d v="2010-03-16T09:49:00"/>
    <n v="1.65"/>
    <n v="1.65"/>
    <d v="2010-03-16T00:00:00"/>
    <d v="1899-12-30T09:49:00"/>
    <s v="AM"/>
    <s v="9:49 AM"/>
    <x v="0"/>
    <n v="13.2"/>
  </r>
  <r>
    <n v="17107"/>
    <n v="22236"/>
    <x v="51"/>
    <n v="2"/>
    <n v="2"/>
    <n v="2"/>
    <n v="496341"/>
    <d v="2010-01-31T15:47:00"/>
    <n v="12.75"/>
    <n v="12.75"/>
    <d v="2010-01-31T00:00:00"/>
    <d v="1899-12-30T03:47:00"/>
    <s v="PM"/>
    <s v="3:47 PM"/>
    <x v="0"/>
    <n v="25.5"/>
  </r>
  <r>
    <n v="15005"/>
    <n v="22124"/>
    <x v="676"/>
    <n v="1"/>
    <n v="1"/>
    <n v="1"/>
    <n v="492540"/>
    <d v="2009-12-17T13:36:00"/>
    <n v="2.95"/>
    <n v="2.95"/>
    <d v="2009-12-17T00:00:00"/>
    <d v="1899-12-30T01:36:00"/>
    <s v="PM"/>
    <s v="1:36 PM"/>
    <x v="0"/>
    <n v="2.95"/>
  </r>
  <r>
    <n v="17230"/>
    <n v="85047"/>
    <x v="276"/>
    <n v="6"/>
    <n v="6"/>
    <n v="6"/>
    <n v="496338"/>
    <d v="2010-01-31T15:34:00"/>
    <n v="6.35"/>
    <n v="6.35"/>
    <d v="2010-01-31T00:00:00"/>
    <d v="1899-12-30T03:34:00"/>
    <s v="PM"/>
    <s v="3:34 PM"/>
    <x v="0"/>
    <n v="38.099999999999994"/>
  </r>
  <r>
    <n v="17611"/>
    <s v="90160C"/>
    <x v="677"/>
    <n v="1"/>
    <n v="1"/>
    <n v="1"/>
    <n v="501884"/>
    <d v="2010-03-21T14:04:00"/>
    <n v="6.95"/>
    <n v="6.95"/>
    <d v="2010-03-21T00:00:00"/>
    <d v="1899-12-30T02:04:00"/>
    <s v="PM"/>
    <s v="2:04 PM"/>
    <x v="0"/>
    <n v="6.95"/>
  </r>
  <r>
    <n v="13883"/>
    <n v="21716"/>
    <x v="678"/>
    <n v="8"/>
    <n v="8"/>
    <n v="8"/>
    <n v="501168"/>
    <d v="2010-03-15T10:03:00"/>
    <n v="2.5499999999999998"/>
    <n v="2.5499999999999998"/>
    <d v="2010-03-15T00:00:00"/>
    <d v="1899-12-30T10:03:00"/>
    <s v="AM"/>
    <s v="10:03 AM"/>
    <x v="0"/>
    <n v="20.399999999999999"/>
  </r>
  <r>
    <n v="14807"/>
    <n v="22071"/>
    <x v="679"/>
    <n v="3"/>
    <n v="3"/>
    <n v="3"/>
    <n v="499465"/>
    <d v="2010-02-28T11:33:00"/>
    <n v="3.75"/>
    <n v="3.75"/>
    <d v="2010-02-28T00:00:00"/>
    <d v="1899-12-30T11:33:00"/>
    <s v="AM"/>
    <s v="11:33 AM"/>
    <x v="0"/>
    <n v="11.25"/>
  </r>
  <r>
    <n v="18109"/>
    <n v="21259"/>
    <x v="680"/>
    <n v="4"/>
    <n v="4"/>
    <n v="4"/>
    <n v="535981"/>
    <d v="2010-11-29T13:09:00"/>
    <n v="5.95"/>
    <n v="5.95"/>
    <d v="2010-11-29T00:00:00"/>
    <d v="1899-12-30T01:09:00"/>
    <s v="PM"/>
    <s v="1:09 PM"/>
    <x v="0"/>
    <n v="23.8"/>
  </r>
  <r>
    <n v="15547"/>
    <n v="21351"/>
    <x v="361"/>
    <n v="16"/>
    <n v="16"/>
    <n v="16"/>
    <n v="526207"/>
    <d v="2010-10-10T13:31:00"/>
    <n v="1.95"/>
    <n v="1.95"/>
    <d v="2010-10-10T00:00:00"/>
    <d v="1899-12-30T01:31:00"/>
    <s v="PM"/>
    <s v="1:31 PM"/>
    <x v="0"/>
    <n v="31.2"/>
  </r>
  <r>
    <n v="14911"/>
    <n v="22577"/>
    <x v="456"/>
    <n v="12"/>
    <n v="12"/>
    <n v="12"/>
    <n v="525013"/>
    <d v="2010-10-03T11:15:00"/>
    <n v="0.85"/>
    <n v="0.85"/>
    <d v="2010-10-03T00:00:00"/>
    <d v="1899-12-30T11:15:00"/>
    <s v="AM"/>
    <s v="11:15 AM"/>
    <x v="1"/>
    <n v="10.199999999999999"/>
  </r>
  <r>
    <n v="17261"/>
    <n v="22382"/>
    <x v="681"/>
    <n v="2"/>
    <n v="2"/>
    <n v="2"/>
    <n v="516157"/>
    <d v="2010-07-18T11:49:00"/>
    <n v="1.65"/>
    <n v="1.65"/>
    <d v="2010-07-18T00:00:00"/>
    <d v="1899-12-30T11:49:00"/>
    <s v="AM"/>
    <s v="11:49 AM"/>
    <x v="0"/>
    <n v="3.3"/>
  </r>
  <r>
    <n v="13089"/>
    <n v="21485"/>
    <x v="682"/>
    <n v="48"/>
    <n v="48"/>
    <n v="48"/>
    <n v="537393"/>
    <d v="2010-12-06T13:59:00"/>
    <n v="4.25"/>
    <n v="4.25"/>
    <d v="2010-12-06T00:00:00"/>
    <d v="1899-12-30T01:59:00"/>
    <s v="PM"/>
    <s v="1:59 PM"/>
    <x v="0"/>
    <n v="204"/>
  </r>
  <r>
    <n v="17142"/>
    <n v="21203"/>
    <x v="683"/>
    <n v="6"/>
    <n v="6"/>
    <n v="6"/>
    <n v="513426"/>
    <d v="2010-06-24T13:01:00"/>
    <n v="1.65"/>
    <n v="1.65"/>
    <d v="2010-06-24T00:00:00"/>
    <d v="1899-12-30T01:01:00"/>
    <s v="PM"/>
    <s v="1:01 PM"/>
    <x v="0"/>
    <n v="9.8999999999999986"/>
  </r>
  <r>
    <n v="14215"/>
    <n v="22195"/>
    <x v="684"/>
    <n v="12"/>
    <n v="12"/>
    <n v="12"/>
    <n v="495072"/>
    <d v="2010-01-21T08:22:00"/>
    <n v="1.65"/>
    <n v="1.65"/>
    <d v="2010-01-21T00:00:00"/>
    <d v="1899-12-30T08:22:00"/>
    <s v="AM"/>
    <s v="8:22 AM"/>
    <x v="0"/>
    <n v="19.799999999999997"/>
  </r>
  <r>
    <n v="12419"/>
    <n v="22363"/>
    <x v="685"/>
    <n v="6"/>
    <n v="6"/>
    <n v="6"/>
    <n v="528438"/>
    <d v="2010-10-22T10:40:00"/>
    <n v="2.95"/>
    <n v="2.95"/>
    <d v="2010-10-22T00:00:00"/>
    <d v="1899-12-30T10:40:00"/>
    <s v="AM"/>
    <s v="10:40 AM"/>
    <x v="19"/>
    <n v="17.700000000000003"/>
  </r>
  <r>
    <n v="12766"/>
    <n v="22355"/>
    <x v="576"/>
    <n v="10"/>
    <n v="10"/>
    <n v="10"/>
    <n v="533143"/>
    <d v="2010-11-16T13:28:00"/>
    <n v="0.85"/>
    <n v="0.85"/>
    <d v="2010-11-16T00:00:00"/>
    <d v="1899-12-30T01:28:00"/>
    <s v="PM"/>
    <s v="1:28 PM"/>
    <x v="13"/>
    <n v="8.5"/>
  </r>
  <r>
    <n v="15889"/>
    <n v="21491"/>
    <x v="686"/>
    <n v="2"/>
    <n v="2"/>
    <n v="2"/>
    <n v="491186"/>
    <d v="2009-12-10T12:21:00"/>
    <n v="1.95"/>
    <n v="1.95"/>
    <d v="2009-12-10T00:00:00"/>
    <d v="1899-12-30T12:21:00"/>
    <s v="PM"/>
    <s v="12:21 PM"/>
    <x v="0"/>
    <n v="3.9"/>
  </r>
  <r>
    <n v="12668"/>
    <n v="21426"/>
    <x v="91"/>
    <n v="6"/>
    <n v="6"/>
    <n v="6"/>
    <n v="496340"/>
    <d v="2010-01-31T15:45:00"/>
    <n v="2.1"/>
    <n v="2.1"/>
    <d v="2010-01-31T00:00:00"/>
    <d v="1899-12-30T03:45:00"/>
    <s v="PM"/>
    <s v="3:45 PM"/>
    <x v="2"/>
    <n v="12.600000000000001"/>
  </r>
  <r>
    <n v="14606"/>
    <n v="22199"/>
    <x v="687"/>
    <n v="1"/>
    <n v="1"/>
    <n v="1"/>
    <n v="527358"/>
    <d v="2010-10-17T10:42:00"/>
    <n v="4.25"/>
    <n v="4.25"/>
    <d v="2010-10-17T00:00:00"/>
    <d v="1899-12-30T10:42:00"/>
    <s v="AM"/>
    <s v="10:42 AM"/>
    <x v="0"/>
    <n v="4.25"/>
  </r>
  <r>
    <n v="13884"/>
    <n v="84580"/>
    <x v="83"/>
    <n v="1"/>
    <n v="1"/>
    <n v="1"/>
    <n v="533968"/>
    <d v="2010-11-19T13:14:00"/>
    <n v="3.75"/>
    <n v="3.75"/>
    <d v="2010-11-19T00:00:00"/>
    <d v="1899-12-30T01:14:00"/>
    <s v="PM"/>
    <s v="1:14 PM"/>
    <x v="0"/>
    <n v="3.75"/>
  </r>
  <r>
    <n v="13001"/>
    <n v="82583"/>
    <x v="688"/>
    <n v="12"/>
    <n v="12"/>
    <n v="12"/>
    <n v="506114"/>
    <d v="2010-04-27T13:48:00"/>
    <n v="2.1"/>
    <n v="2.1"/>
    <d v="2010-04-27T00:00:00"/>
    <d v="1899-12-30T01:48:00"/>
    <s v="PM"/>
    <s v="1:48 PM"/>
    <x v="0"/>
    <n v="25.200000000000003"/>
  </r>
  <r>
    <n v="12997"/>
    <s v="85123A"/>
    <x v="103"/>
    <n v="12"/>
    <n v="12"/>
    <n v="12"/>
    <n v="531945"/>
    <d v="2010-11-10T12:16:00"/>
    <n v="2.95"/>
    <n v="2.95"/>
    <d v="2010-11-10T00:00:00"/>
    <d v="1899-12-30T12:16:00"/>
    <s v="PM"/>
    <s v="12:16 PM"/>
    <x v="0"/>
    <n v="35.400000000000006"/>
  </r>
  <r>
    <n v="12714"/>
    <s v="15056BL"/>
    <x v="30"/>
    <n v="9"/>
    <n v="9"/>
    <n v="9"/>
    <n v="521822"/>
    <d v="2010-09-09T10:37:00"/>
    <n v="5.95"/>
    <n v="5.95"/>
    <d v="2010-09-09T00:00:00"/>
    <d v="1899-12-30T10:37:00"/>
    <s v="AM"/>
    <s v="10:37 AM"/>
    <x v="3"/>
    <n v="53.550000000000004"/>
  </r>
  <r>
    <n v="17841"/>
    <n v="20978"/>
    <x v="689"/>
    <n v="1"/>
    <n v="1"/>
    <n v="1"/>
    <n v="509100"/>
    <d v="2010-05-20T11:49:00"/>
    <n v="1.25"/>
    <n v="1.25"/>
    <d v="2010-05-20T00:00:00"/>
    <d v="1899-12-30T11:49:00"/>
    <s v="AM"/>
    <s v="11:49 AM"/>
    <x v="0"/>
    <n v="1.25"/>
  </r>
  <r>
    <n v="13081"/>
    <s v="84993B"/>
    <x v="690"/>
    <n v="24"/>
    <n v="24"/>
    <n v="24"/>
    <n v="493812"/>
    <d v="2010-01-07T11:52:00"/>
    <n v="0.42"/>
    <n v="0.42"/>
    <d v="2010-01-07T00:00:00"/>
    <d v="1899-12-30T11:52:00"/>
    <s v="AM"/>
    <s v="11:52 AM"/>
    <x v="0"/>
    <n v="10.08"/>
  </r>
  <r>
    <n v="17491"/>
    <n v="21670"/>
    <x v="477"/>
    <n v="12"/>
    <n v="12"/>
    <n v="12"/>
    <n v="511772"/>
    <d v="2010-06-10T12:14:00"/>
    <n v="1.25"/>
    <n v="1.25"/>
    <d v="2010-06-10T00:00:00"/>
    <d v="1899-12-30T12:14:00"/>
    <s v="PM"/>
    <s v="12:14 PM"/>
    <x v="0"/>
    <n v="15"/>
  </r>
  <r>
    <n v="17675"/>
    <n v="85042"/>
    <x v="497"/>
    <n v="8"/>
    <n v="8"/>
    <n v="8"/>
    <n v="505380"/>
    <d v="2010-04-22T08:36:00"/>
    <n v="4.95"/>
    <n v="4.95"/>
    <d v="2010-04-22T00:00:00"/>
    <d v="1899-12-30T08:36:00"/>
    <s v="AM"/>
    <s v="8:36 AM"/>
    <x v="0"/>
    <n v="39.6"/>
  </r>
  <r>
    <n v="15249"/>
    <n v="22078"/>
    <x v="691"/>
    <n v="10"/>
    <n v="10"/>
    <s v="10"/>
    <n v="511174"/>
    <d v="2010-06-07T12:08:00"/>
    <n v="2.1"/>
    <n v="2.1"/>
    <d v="2010-06-07T00:00:00"/>
    <d v="1899-12-30T12:08:00"/>
    <s v="PM"/>
    <s v="12:08 PM"/>
    <x v="0"/>
    <n v="21"/>
  </r>
  <r>
    <n v="14194"/>
    <n v="22090"/>
    <x v="409"/>
    <n v="6"/>
    <n v="6"/>
    <n v="6"/>
    <n v="506246"/>
    <d v="2010-04-28T13:23:00"/>
    <n v="2.95"/>
    <n v="2.95"/>
    <d v="2010-04-28T00:00:00"/>
    <d v="1899-12-30T01:23:00"/>
    <s v="PM"/>
    <s v="1:23 PM"/>
    <x v="0"/>
    <n v="17.700000000000003"/>
  </r>
  <r>
    <n v="13982"/>
    <n v="21363"/>
    <x v="692"/>
    <n v="6"/>
    <n v="6"/>
    <n v="6"/>
    <n v="508996"/>
    <d v="2010-05-19T12:52:00"/>
    <n v="4.95"/>
    <n v="4.95"/>
    <d v="2010-05-19T00:00:00"/>
    <d v="1899-12-30T12:52:00"/>
    <s v="PM"/>
    <s v="12:52 PM"/>
    <x v="0"/>
    <n v="29.700000000000003"/>
  </r>
  <r>
    <n v="14099"/>
    <n v="85152"/>
    <x v="693"/>
    <n v="5"/>
    <n v="5"/>
    <n v="5"/>
    <n v="491178"/>
    <d v="2009-12-10T11:55:00"/>
    <n v="2.1"/>
    <n v="2.1"/>
    <d v="2009-12-10T00:00:00"/>
    <d v="1899-12-30T11:55:00"/>
    <s v="AM"/>
    <s v="11:55 AM"/>
    <x v="0"/>
    <n v="10.5"/>
  </r>
  <r>
    <n v="13001"/>
    <n v="47566"/>
    <x v="31"/>
    <n v="15"/>
    <n v="15"/>
    <n v="15"/>
    <n v="502608"/>
    <d v="2010-03-25T13:53:00"/>
    <n v="4.6500000000000004"/>
    <n v="4.6500000000000004"/>
    <d v="2010-03-25T00:00:00"/>
    <d v="1899-12-30T01:53:00"/>
    <s v="PM"/>
    <s v="1:53 PM"/>
    <x v="0"/>
    <n v="69.75"/>
  </r>
  <r>
    <n v="13117"/>
    <n v="22809"/>
    <x v="694"/>
    <n v="6"/>
    <n v="6"/>
    <n v="6"/>
    <n v="528169"/>
    <d v="2010-10-21T09:55:00"/>
    <n v="1.25"/>
    <n v="1.25"/>
    <d v="2010-10-21T00:00:00"/>
    <d v="1899-12-30T09:55:00"/>
    <s v="AM"/>
    <s v="9:55 AM"/>
    <x v="0"/>
    <n v="7.5"/>
  </r>
  <r>
    <n v="14505"/>
    <n v="84755"/>
    <x v="695"/>
    <n v="12"/>
    <n v="12"/>
    <n v="12"/>
    <n v="513625"/>
    <d v="2010-06-27T13:09:00"/>
    <n v="0.65"/>
    <n v="0.65"/>
    <d v="2010-06-27T00:00:00"/>
    <d v="1899-12-30T01:09:00"/>
    <s v="PM"/>
    <s v="1:09 PM"/>
    <x v="0"/>
    <n v="7.8000000000000007"/>
  </r>
  <r>
    <n v="15005"/>
    <n v="22625"/>
    <x v="314"/>
    <n v="1"/>
    <n v="1"/>
    <n v="1"/>
    <n v="530543"/>
    <d v="2010-11-03T13:10:00"/>
    <n v="1.25"/>
    <n v="1.25"/>
    <d v="2010-11-03T00:00:00"/>
    <d v="1899-12-30T01:10:00"/>
    <s v="PM"/>
    <s v="1:10 PM"/>
    <x v="0"/>
    <n v="1.25"/>
  </r>
  <r>
    <n v="15400"/>
    <n v="21746"/>
    <x v="696"/>
    <n v="24"/>
    <n v="24"/>
    <n v="24"/>
    <n v="518224"/>
    <d v="2010-08-05T14:11:00"/>
    <n v="1.25"/>
    <n v="1.25"/>
    <d v="2010-08-05T00:00:00"/>
    <d v="1899-12-30T02:11:00"/>
    <s v="PM"/>
    <s v="2:11 PM"/>
    <x v="0"/>
    <n v="30"/>
  </r>
  <r>
    <n v="15260"/>
    <n v="22089"/>
    <x v="697"/>
    <n v="6"/>
    <n v="6"/>
    <n v="6"/>
    <n v="516944"/>
    <d v="2010-07-25T14:57:00"/>
    <n v="2.95"/>
    <n v="2.95"/>
    <d v="2010-07-25T00:00:00"/>
    <d v="1899-12-30T02:57:00"/>
    <s v="PM"/>
    <s v="2:57 PM"/>
    <x v="0"/>
    <n v="17.700000000000003"/>
  </r>
  <r>
    <n v="12720"/>
    <n v="82551"/>
    <x v="498"/>
    <n v="12"/>
    <n v="12"/>
    <n v="12"/>
    <n v="528757"/>
    <d v="2010-10-24T15:28:00"/>
    <n v="1.45"/>
    <n v="1.45"/>
    <d v="2010-10-24T00:00:00"/>
    <d v="1899-12-30T03:28:00"/>
    <s v="PM"/>
    <s v="3:28 PM"/>
    <x v="2"/>
    <n v="17.399999999999999"/>
  </r>
  <r>
    <n v="12921"/>
    <n v="20966"/>
    <x v="243"/>
    <n v="10"/>
    <n v="10"/>
    <n v="10"/>
    <n v="533959"/>
    <d v="2010-11-19T12:56:00"/>
    <n v="1.25"/>
    <n v="1.25"/>
    <d v="2010-11-19T00:00:00"/>
    <d v="1899-12-30T12:56:00"/>
    <s v="PM"/>
    <s v="12:56 PM"/>
    <x v="0"/>
    <n v="12.5"/>
  </r>
  <r>
    <n v="13113"/>
    <s v="47566B"/>
    <x v="698"/>
    <n v="4"/>
    <n v="4"/>
    <n v="4"/>
    <n v="510416"/>
    <d v="2010-05-30T11:21:00"/>
    <n v="4.6500000000000004"/>
    <n v="4.6500000000000004"/>
    <d v="2010-05-30T00:00:00"/>
    <d v="1899-12-30T11:21:00"/>
    <s v="AM"/>
    <s v="11:21 AM"/>
    <x v="0"/>
    <n v="18.600000000000001"/>
  </r>
  <r>
    <n v="14857"/>
    <n v="22565"/>
    <x v="699"/>
    <n v="12"/>
    <n v="12"/>
    <n v="12"/>
    <n v="510450"/>
    <d v="2010-06-01T09:42:00"/>
    <n v="0.85"/>
    <n v="0.85"/>
    <d v="2010-06-01T00:00:00"/>
    <d v="1899-12-30T09:42:00"/>
    <s v="AM"/>
    <s v="9:42 AM"/>
    <x v="0"/>
    <n v="10.199999999999999"/>
  </r>
  <r>
    <n v="16161"/>
    <n v="21481"/>
    <x v="700"/>
    <n v="4"/>
    <n v="4"/>
    <n v="4"/>
    <n v="520196"/>
    <d v="2010-08-24T14:59:00"/>
    <n v="2.95"/>
    <n v="2.95"/>
    <d v="2010-08-24T00:00:00"/>
    <d v="1899-12-30T02:59:00"/>
    <s v="PM"/>
    <s v="2:59 PM"/>
    <x v="0"/>
    <n v="11.8"/>
  </r>
  <r>
    <n v="14667"/>
    <n v="84950"/>
    <x v="305"/>
    <n v="12"/>
    <n v="12"/>
    <n v="12"/>
    <n v="492296"/>
    <d v="2009-12-16T11:53:00"/>
    <n v="0.85"/>
    <n v="0.85"/>
    <d v="2009-12-16T00:00:00"/>
    <d v="1899-12-30T11:53:00"/>
    <s v="AM"/>
    <s v="11:53 AM"/>
    <x v="0"/>
    <n v="10.199999999999999"/>
  </r>
  <r>
    <n v="15276"/>
    <n v="21134"/>
    <x v="701"/>
    <n v="2"/>
    <n v="2"/>
    <n v="2"/>
    <n v="524944"/>
    <s v="01-10-2010 12:24"/>
    <n v="1.65"/>
    <n v="1.65"/>
    <d v="2010-01-10T00:00:00"/>
    <d v="1899-12-30T12:24:00"/>
    <m/>
    <s v="12:24 "/>
    <x v="0"/>
    <n v="3.3"/>
  </r>
  <r>
    <n v="17716"/>
    <n v="22617"/>
    <x v="121"/>
    <n v="3"/>
    <n v="3"/>
    <n v="3"/>
    <n v="501444"/>
    <d v="2010-03-16T14:08:00"/>
    <n v="4.95"/>
    <n v="4.95"/>
    <d v="2010-03-16T00:00:00"/>
    <d v="1899-12-30T02:08:00"/>
    <s v="PM"/>
    <s v="2:08 PM"/>
    <x v="0"/>
    <n v="14.850000000000001"/>
  </r>
  <r>
    <n v="14344"/>
    <n v="21166"/>
    <x v="702"/>
    <n v="1"/>
    <n v="1"/>
    <n v="1"/>
    <n v="502272"/>
    <d v="2010-03-23T15:47:00"/>
    <n v="1.95"/>
    <n v="1.95"/>
    <d v="2010-03-23T00:00:00"/>
    <d v="1899-12-30T03:47:00"/>
    <s v="PM"/>
    <s v="3:47 PM"/>
    <x v="0"/>
    <n v="1.95"/>
  </r>
  <r>
    <n v="13709"/>
    <n v="48194"/>
    <x v="703"/>
    <n v="2"/>
    <n v="2"/>
    <n v="2"/>
    <n v="503255"/>
    <d v="2010-03-31T10:49:00"/>
    <n v="7.49"/>
    <n v="7.49"/>
    <d v="2010-03-31T00:00:00"/>
    <d v="1899-12-30T10:49:00"/>
    <s v="AM"/>
    <s v="10:49 AM"/>
    <x v="0"/>
    <n v="14.98"/>
  </r>
  <r>
    <n v="13394"/>
    <n v="84990"/>
    <x v="704"/>
    <n v="24"/>
    <n v="24"/>
    <n v="24"/>
    <n v="489532"/>
    <d v="2009-12-01T11:58:00"/>
    <n v="0.55000000000000004"/>
    <n v="0.55000000000000004"/>
    <d v="2009-12-01T00:00:00"/>
    <d v="1899-12-30T11:58:00"/>
    <s v="AM"/>
    <s v="11:58 AM"/>
    <x v="0"/>
    <n v="13.200000000000001"/>
  </r>
  <r>
    <n v="15796"/>
    <n v="22114"/>
    <x v="705"/>
    <n v="4"/>
    <n v="4"/>
    <n v="4"/>
    <n v="536063"/>
    <d v="2010-11-30T10:40:00"/>
    <n v="3.95"/>
    <n v="3.95"/>
    <d v="2010-11-30T00:00:00"/>
    <d v="1899-12-30T10:40:00"/>
    <s v="AM"/>
    <s v="10:40 AM"/>
    <x v="0"/>
    <n v="15.8"/>
  </r>
  <r>
    <n v="15365"/>
    <n v="22627"/>
    <x v="706"/>
    <n v="2"/>
    <n v="2"/>
    <n v="2"/>
    <n v="518947"/>
    <d v="2010-08-12T15:00:00"/>
    <n v="8.5"/>
    <n v="8.5"/>
    <d v="2010-08-12T00:00:00"/>
    <d v="1899-12-30T03:00:00"/>
    <s v="PM"/>
    <s v="3:00 PM"/>
    <x v="0"/>
    <n v="17"/>
  </r>
  <r>
    <n v="13662"/>
    <n v="22847"/>
    <x v="385"/>
    <n v="1"/>
    <n v="1"/>
    <n v="1"/>
    <n v="533838"/>
    <d v="2010-11-19T10:57:00"/>
    <n v="16.95"/>
    <n v="16.95"/>
    <d v="2010-11-19T00:00:00"/>
    <d v="1899-12-30T10:57:00"/>
    <s v="AM"/>
    <s v="10:57 AM"/>
    <x v="0"/>
    <n v="16.95"/>
  </r>
  <r>
    <n v="15358"/>
    <n v="21259"/>
    <x v="680"/>
    <n v="2"/>
    <n v="2"/>
    <n v="2"/>
    <n v="507837"/>
    <d v="2010-05-11T13:29:00"/>
    <n v="5.95"/>
    <n v="5.95"/>
    <d v="2010-05-11T00:00:00"/>
    <d v="1899-12-30T01:29:00"/>
    <s v="PM"/>
    <s v="1:29 PM"/>
    <x v="0"/>
    <n v="11.9"/>
  </r>
  <r>
    <n v="16727"/>
    <n v="21679"/>
    <x v="707"/>
    <n v="6"/>
    <n v="6"/>
    <n v="6"/>
    <n v="502828"/>
    <d v="2010-03-28T12:18:00"/>
    <n v="0.85"/>
    <n v="0.85"/>
    <d v="2010-03-28T00:00:00"/>
    <d v="1899-12-30T12:18:00"/>
    <s v="PM"/>
    <s v="12:18 PM"/>
    <x v="0"/>
    <n v="5.0999999999999996"/>
  </r>
  <r>
    <n v="18212"/>
    <n v="21832"/>
    <x v="708"/>
    <n v="12"/>
    <n v="12"/>
    <n v="12"/>
    <n v="496335"/>
    <d v="2010-01-31T14:42:00"/>
    <n v="1.65"/>
    <n v="1.65"/>
    <d v="2010-01-31T00:00:00"/>
    <d v="1899-12-30T02:42:00"/>
    <s v="PM"/>
    <s v="2:42 PM"/>
    <x v="0"/>
    <n v="19.799999999999997"/>
  </r>
  <r>
    <n v="17323"/>
    <n v="20724"/>
    <x v="602"/>
    <n v="10"/>
    <n v="10"/>
    <n v="10"/>
    <n v="529589"/>
    <s v="10/28/2010 19:59"/>
    <n v="0.85"/>
    <n v="0.85"/>
    <d v="2010-10-28T00:00:00"/>
    <d v="1899-12-30T19:59:00"/>
    <m/>
    <s v="19:59 "/>
    <x v="0"/>
    <n v="8.5"/>
  </r>
  <r>
    <n v="16200"/>
    <n v="82578"/>
    <x v="470"/>
    <n v="2"/>
    <n v="2"/>
    <n v="2"/>
    <n v="489866"/>
    <d v="2009-12-02T15:04:00"/>
    <n v="0.55000000000000004"/>
    <n v="0.55000000000000004"/>
    <d v="2009-12-02T00:00:00"/>
    <d v="1899-12-30T03:04:00"/>
    <s v="PM"/>
    <s v="3:04 PM"/>
    <x v="0"/>
    <n v="1.1000000000000001"/>
  </r>
  <r>
    <n v="16718"/>
    <n v="21888"/>
    <x v="99"/>
    <n v="6"/>
    <n v="6"/>
    <n v="6"/>
    <n v="537153"/>
    <d v="2010-12-05T13:03:00"/>
    <n v="3.75"/>
    <n v="3.75"/>
    <d v="2010-12-05T00:00:00"/>
    <d v="1899-12-30T01:03:00"/>
    <s v="PM"/>
    <s v="1:03 PM"/>
    <x v="0"/>
    <n v="22.5"/>
  </r>
  <r>
    <n v="16923"/>
    <n v="21228"/>
    <x v="709"/>
    <n v="1"/>
    <n v="1"/>
    <n v="1"/>
    <n v="504854"/>
    <d v="2010-04-18T10:40:00"/>
    <n v="1.25"/>
    <n v="1.25"/>
    <d v="2010-04-18T00:00:00"/>
    <d v="1899-12-30T10:40:00"/>
    <s v="AM"/>
    <s v="10:40 AM"/>
    <x v="0"/>
    <n v="1.25"/>
  </r>
  <r>
    <n v="15660"/>
    <n v="22821"/>
    <x v="710"/>
    <n v="12"/>
    <n v="12"/>
    <n v="12"/>
    <n v="522627"/>
    <d v="2010-09-15T16:28:00"/>
    <n v="0.65"/>
    <n v="0.65"/>
    <d v="2010-09-15T00:00:00"/>
    <d v="1899-12-30T04:28:00"/>
    <s v="PM"/>
    <s v="4:28 PM"/>
    <x v="0"/>
    <n v="7.8000000000000007"/>
  </r>
  <r>
    <n v="17841"/>
    <n v="20729"/>
    <x v="711"/>
    <n v="1"/>
    <n v="1"/>
    <n v="1"/>
    <n v="502925"/>
    <d v="2010-03-29T14:19:00"/>
    <n v="1.25"/>
    <n v="1.25"/>
    <d v="2010-03-29T00:00:00"/>
    <d v="1899-12-30T02:19:00"/>
    <s v="PM"/>
    <s v="2:19 PM"/>
    <x v="0"/>
    <n v="1.25"/>
  </r>
  <r>
    <n v="14702"/>
    <n v="21927"/>
    <x v="712"/>
    <n v="4"/>
    <n v="4"/>
    <n v="4"/>
    <n v="504861"/>
    <d v="2010-04-18T12:05:00"/>
    <n v="1.25"/>
    <n v="1.25"/>
    <d v="2010-04-18T00:00:00"/>
    <d v="1899-12-30T12:05:00"/>
    <s v="PM"/>
    <s v="12:05 PM"/>
    <x v="0"/>
    <n v="5"/>
  </r>
  <r>
    <n v="16120"/>
    <n v="22389"/>
    <x v="713"/>
    <n v="36"/>
    <n v="36"/>
    <n v="36"/>
    <n v="526900"/>
    <d v="2010-10-13T15:07:00"/>
    <n v="0.85"/>
    <n v="0.85"/>
    <d v="2010-10-13T00:00:00"/>
    <d v="1899-12-30T03:07:00"/>
    <s v="PM"/>
    <s v="3:07 PM"/>
    <x v="0"/>
    <n v="30.599999999999998"/>
  </r>
  <r>
    <n v="13583"/>
    <n v="84946"/>
    <x v="11"/>
    <n v="12"/>
    <n v="12"/>
    <n v="12"/>
    <n v="496222"/>
    <d v="2010-01-29T13:53:00"/>
    <n v="1.25"/>
    <n v="1.25"/>
    <d v="2010-01-29T00:00:00"/>
    <d v="1899-12-30T01:53:00"/>
    <s v="PM"/>
    <s v="1:53 PM"/>
    <x v="0"/>
    <n v="15"/>
  </r>
  <r>
    <n v="17032"/>
    <n v="22329"/>
    <x v="469"/>
    <n v="2"/>
    <n v="2"/>
    <n v="2"/>
    <n v="499272"/>
    <d v="2010-02-25T16:48:00"/>
    <n v="1.65"/>
    <n v="1.65"/>
    <d v="2010-02-25T00:00:00"/>
    <d v="1899-12-30T04:48:00"/>
    <s v="PM"/>
    <s v="4:48 PM"/>
    <x v="0"/>
    <n v="3.3"/>
  </r>
  <r>
    <n v="15828"/>
    <n v="22173"/>
    <x v="229"/>
    <n v="8"/>
    <n v="8"/>
    <n v="8"/>
    <n v="536030"/>
    <d v="2010-11-29T16:41:00"/>
    <n v="2.95"/>
    <n v="2.95"/>
    <d v="2010-11-29T00:00:00"/>
    <d v="1899-12-30T04:41:00"/>
    <s v="PM"/>
    <s v="4:41 PM"/>
    <x v="0"/>
    <n v="23.6"/>
  </r>
  <r>
    <n v="15547"/>
    <n v="21474"/>
    <x v="714"/>
    <n v="2"/>
    <n v="2"/>
    <n v="2"/>
    <n v="510962"/>
    <d v="2010-06-04T11:02:00"/>
    <n v="19.95"/>
    <n v="19.95"/>
    <d v="2010-06-04T00:00:00"/>
    <d v="1899-12-30T11:02:00"/>
    <s v="AM"/>
    <s v="11:02 AM"/>
    <x v="0"/>
    <n v="39.9"/>
  </r>
  <r>
    <n v="13717"/>
    <n v="21115"/>
    <x v="596"/>
    <n v="2"/>
    <n v="2"/>
    <n v="2"/>
    <n v="521819"/>
    <d v="2010-09-08T16:17:00"/>
    <n v="6.75"/>
    <n v="6.75"/>
    <d v="2010-09-08T00:00:00"/>
    <d v="1899-12-30T04:17:00"/>
    <s v="PM"/>
    <s v="4:17 PM"/>
    <x v="0"/>
    <n v="13.5"/>
  </r>
  <r>
    <n v="17315"/>
    <n v="22842"/>
    <x v="715"/>
    <n v="1"/>
    <n v="1"/>
    <n v="1"/>
    <n v="530085"/>
    <d v="2010-11-01T13:26:00"/>
    <n v="6.75"/>
    <n v="6.75"/>
    <d v="2010-11-01T00:00:00"/>
    <d v="1899-12-30T01:26:00"/>
    <s v="PM"/>
    <s v="1:26 PM"/>
    <x v="0"/>
    <n v="6.75"/>
  </r>
  <r>
    <n v="16137"/>
    <n v="21181"/>
    <x v="318"/>
    <n v="6"/>
    <n v="6"/>
    <n v="6"/>
    <n v="496057"/>
    <d v="2010-01-28T15:04:00"/>
    <n v="2.1"/>
    <n v="2.1"/>
    <d v="2010-01-28T00:00:00"/>
    <d v="1899-12-30T03:04:00"/>
    <s v="PM"/>
    <s v="3:04 PM"/>
    <x v="0"/>
    <n v="12.600000000000001"/>
  </r>
  <r>
    <n v="17965"/>
    <n v="84992"/>
    <x v="716"/>
    <n v="4"/>
    <n v="4"/>
    <n v="4"/>
    <n v="496926"/>
    <d v="2010-02-04T16:16:00"/>
    <n v="0.55000000000000004"/>
    <n v="0.55000000000000004"/>
    <d v="2010-02-04T00:00:00"/>
    <d v="1899-12-30T04:16:00"/>
    <s v="PM"/>
    <s v="4:16 PM"/>
    <x v="0"/>
    <n v="2.2000000000000002"/>
  </r>
  <r>
    <n v="13455"/>
    <s v="85014B"/>
    <x v="9"/>
    <n v="3"/>
    <n v="3"/>
    <n v="3"/>
    <n v="522110"/>
    <d v="2010-09-12T15:15:00"/>
    <n v="5.95"/>
    <n v="5.95"/>
    <d v="2010-09-12T00:00:00"/>
    <d v="1899-12-30T03:15:00"/>
    <s v="PM"/>
    <s v="3:15 PM"/>
    <x v="0"/>
    <n v="17.850000000000001"/>
  </r>
  <r>
    <n v="12594"/>
    <n v="22748"/>
    <x v="717"/>
    <n v="6"/>
    <n v="6"/>
    <n v="6"/>
    <n v="527937"/>
    <d v="2010-10-19T14:05:00"/>
    <n v="2.1"/>
    <n v="2.1"/>
    <d v="2010-10-19T00:00:00"/>
    <d v="1899-12-30T02:05:00"/>
    <s v="PM"/>
    <s v="2:05 PM"/>
    <x v="6"/>
    <n v="12.600000000000001"/>
  </r>
  <r>
    <n v="17429"/>
    <n v="22711"/>
    <x v="429"/>
    <n v="25"/>
    <n v="25"/>
    <n v="25"/>
    <n v="525694"/>
    <d v="2010-10-06T12:30:00"/>
    <n v="0.42"/>
    <n v="0.42"/>
    <d v="2010-10-06T00:00:00"/>
    <d v="1899-12-30T12:30:00"/>
    <s v="PM"/>
    <s v="12:30 PM"/>
    <x v="0"/>
    <n v="10.5"/>
  </r>
  <r>
    <n v="17377"/>
    <n v="22447"/>
    <x v="718"/>
    <n v="1"/>
    <n v="1"/>
    <n v="1"/>
    <n v="502337"/>
    <d v="2010-03-24T10:45:00"/>
    <n v="3.35"/>
    <n v="3.35"/>
    <d v="2010-03-24T00:00:00"/>
    <d v="1899-12-30T10:45:00"/>
    <s v="AM"/>
    <s v="10:45 AM"/>
    <x v="0"/>
    <n v="3.35"/>
  </r>
  <r>
    <n v="15984"/>
    <n v="22297"/>
    <x v="440"/>
    <n v="48"/>
    <n v="48"/>
    <n v="48"/>
    <n v="492374"/>
    <d v="2009-12-16T14:41:00"/>
    <n v="1.25"/>
    <n v="1.25"/>
    <d v="2009-12-16T00:00:00"/>
    <d v="1899-12-30T02:41:00"/>
    <s v="PM"/>
    <s v="2:41 PM"/>
    <x v="0"/>
    <n v="60"/>
  </r>
  <r>
    <n v="14257"/>
    <n v="22087"/>
    <x v="719"/>
    <n v="12"/>
    <n v="12"/>
    <n v="12"/>
    <n v="517070"/>
    <d v="2010-07-26T13:57:00"/>
    <n v="2.95"/>
    <n v="2.95"/>
    <d v="2010-07-26T00:00:00"/>
    <d v="1899-12-30T01:57:00"/>
    <s v="PM"/>
    <s v="1:57 PM"/>
    <x v="0"/>
    <n v="35.400000000000006"/>
  </r>
  <r>
    <n v="15854"/>
    <n v="22111"/>
    <x v="124"/>
    <n v="3"/>
    <n v="3"/>
    <n v="3"/>
    <n v="534786"/>
    <d v="2010-11-24T11:21:00"/>
    <n v="4.95"/>
    <n v="4.95"/>
    <d v="2010-11-24T00:00:00"/>
    <d v="1899-12-30T11:21:00"/>
    <s v="AM"/>
    <s v="11:21 AM"/>
    <x v="0"/>
    <n v="14.850000000000001"/>
  </r>
  <r>
    <n v="18141"/>
    <s v="84997D"/>
    <x v="564"/>
    <n v="6"/>
    <n v="6"/>
    <n v="6"/>
    <n v="506433"/>
    <s v="2010-04-29 15:32"/>
    <n v="3.75"/>
    <n v="3.75"/>
    <d v="2010-04-29T00:00:00"/>
    <d v="1899-12-30T15:32:00"/>
    <m/>
    <s v="15:32 "/>
    <x v="0"/>
    <n v="22.5"/>
  </r>
  <r>
    <n v="14264"/>
    <n v="21191"/>
    <x v="720"/>
    <n v="6"/>
    <n v="6"/>
    <n v="6"/>
    <n v="535366"/>
    <d v="2010-11-25T17:42:00"/>
    <n v="2.1"/>
    <n v="2.1"/>
    <d v="2010-11-25T00:00:00"/>
    <d v="1899-12-30T05:42:00"/>
    <s v="PM"/>
    <s v="5:42 PM"/>
    <x v="0"/>
    <n v="12.600000000000001"/>
  </r>
  <r>
    <n v="12662"/>
    <n v="20665"/>
    <x v="721"/>
    <n v="6"/>
    <n v="6"/>
    <n v="6"/>
    <n v="503436"/>
    <d v="2010-04-01T09:50:00"/>
    <n v="1.25"/>
    <n v="1.25"/>
    <d v="2010-04-01T00:00:00"/>
    <d v="1899-12-30T09:50:00"/>
    <s v="AM"/>
    <s v="9:50 AM"/>
    <x v="2"/>
    <n v="7.5"/>
  </r>
  <r>
    <n v="14236"/>
    <n v="22128"/>
    <x v="722"/>
    <n v="24"/>
    <n v="24"/>
    <n v="24"/>
    <n v="516744"/>
    <d v="2010-07-22T14:27:00"/>
    <n v="1.25"/>
    <n v="1.25"/>
    <d v="2010-07-22T00:00:00"/>
    <d v="1899-12-30T02:27:00"/>
    <s v="PM"/>
    <s v="2:27 PM"/>
    <x v="0"/>
    <n v="30"/>
  </r>
  <r>
    <n v="17085"/>
    <n v="72122"/>
    <x v="723"/>
    <n v="4"/>
    <n v="4"/>
    <n v="4"/>
    <n v="490466"/>
    <d v="2009-12-06T12:16:00"/>
    <n v="0.95"/>
    <n v="0.95"/>
    <d v="2009-12-06T00:00:00"/>
    <d v="1899-12-30T12:16:00"/>
    <s v="PM"/>
    <s v="12:16 PM"/>
    <x v="0"/>
    <n v="3.8"/>
  </r>
  <r>
    <n v="16719"/>
    <n v="22625"/>
    <x v="724"/>
    <n v="1"/>
    <n v="1"/>
    <n v="1"/>
    <n v="527935"/>
    <d v="2010-10-19T13:38:00"/>
    <n v="8.5"/>
    <n v="8.5"/>
    <d v="2010-10-19T00:00:00"/>
    <d v="1899-12-30T01:38:00"/>
    <s v="PM"/>
    <s v="1:38 PM"/>
    <x v="0"/>
    <n v="8.5"/>
  </r>
  <r>
    <n v="18069"/>
    <n v="21926"/>
    <x v="725"/>
    <n v="2"/>
    <n v="2"/>
    <n v="2"/>
    <n v="504904"/>
    <d v="2010-04-18T15:53:00"/>
    <n v="1.25"/>
    <n v="1.25"/>
    <d v="2010-04-18T00:00:00"/>
    <d v="1899-12-30T03:53:00"/>
    <s v="PM"/>
    <s v="3:53 PM"/>
    <x v="0"/>
    <n v="2.5"/>
  </r>
  <r>
    <n v="14298"/>
    <n v="22073"/>
    <x v="726"/>
    <n v="8"/>
    <n v="8"/>
    <n v="8"/>
    <n v="511853"/>
    <d v="2010-06-11T08:08:00"/>
    <n v="3.39"/>
    <n v="3.39"/>
    <d v="2010-06-11T00:00:00"/>
    <d v="1899-12-30T08:08:00"/>
    <s v="AM"/>
    <s v="8:08 AM"/>
    <x v="0"/>
    <n v="27.12"/>
  </r>
  <r>
    <n v="15723"/>
    <n v="22583"/>
    <x v="222"/>
    <n v="1"/>
    <n v="1"/>
    <n v="1"/>
    <n v="522644"/>
    <d v="2010-09-16T10:43:00"/>
    <n v="2.5499999999999998"/>
    <n v="2.5499999999999998"/>
    <d v="2010-09-16T00:00:00"/>
    <d v="1899-12-30T10:43:00"/>
    <s v="AM"/>
    <s v="10:43 AM"/>
    <x v="0"/>
    <n v="2.5499999999999998"/>
  </r>
  <r>
    <n v="14701"/>
    <n v="21741"/>
    <x v="218"/>
    <n v="4"/>
    <n v="4"/>
    <n v="4"/>
    <n v="514661"/>
    <d v="2010-07-05T12:50:00"/>
    <n v="2.95"/>
    <n v="2.95"/>
    <d v="2010-07-05T00:00:00"/>
    <d v="1899-12-30T12:50:00"/>
    <s v="PM"/>
    <s v="12:50 PM"/>
    <x v="0"/>
    <n v="11.8"/>
  </r>
  <r>
    <n v="14129"/>
    <n v="21204"/>
    <x v="727"/>
    <n v="12"/>
    <n v="12"/>
    <n v="12"/>
    <n v="507419"/>
    <s v="05/09/2010 14:54"/>
    <n v="1.65"/>
    <n v="1.65"/>
    <d v="2010-05-09T00:00:00"/>
    <d v="1899-12-30T14:54:00"/>
    <m/>
    <s v="14:54 "/>
    <x v="0"/>
    <n v="19.799999999999997"/>
  </r>
  <r>
    <n v="13629"/>
    <n v="21929"/>
    <x v="341"/>
    <n v="100"/>
    <n v="100"/>
    <n v="100"/>
    <n v="525714"/>
    <d v="2010-10-06T14:24:00"/>
    <n v="1.65"/>
    <n v="1.65"/>
    <d v="2010-10-06T00:00:00"/>
    <d v="1899-12-30T02:24:00"/>
    <s v="PM"/>
    <s v="2:24 PM"/>
    <x v="0"/>
    <n v="165"/>
  </r>
  <r>
    <n v="13975"/>
    <n v="21437"/>
    <x v="728"/>
    <n v="1"/>
    <n v="1"/>
    <n v="1"/>
    <n v="496551"/>
    <d v="2010-02-02T13:13:00"/>
    <n v="3.75"/>
    <n v="3.75"/>
    <d v="2010-02-02T00:00:00"/>
    <d v="1899-12-30T01:13:00"/>
    <s v="PM"/>
    <s v="1:13 PM"/>
    <x v="0"/>
    <n v="3.75"/>
  </r>
  <r>
    <n v="12730"/>
    <n v="21906"/>
    <x v="729"/>
    <n v="2"/>
    <n v="2"/>
    <n v="2"/>
    <n v="514823"/>
    <d v="2010-07-06T12:19:00"/>
    <n v="6.75"/>
    <n v="6.75"/>
    <d v="2010-07-06T00:00:00"/>
    <d v="1899-12-30T12:19:00"/>
    <s v="PM"/>
    <s v="12:19 PM"/>
    <x v="2"/>
    <n v="13.5"/>
  </r>
  <r>
    <n v="14669"/>
    <n v="84270"/>
    <x v="730"/>
    <n v="30"/>
    <n v="30"/>
    <n v="30"/>
    <n v="489814"/>
    <d v="2009-12-02T13:06:00"/>
    <n v="0.21"/>
    <n v="0.21"/>
    <d v="2009-12-02T00:00:00"/>
    <d v="1899-12-30T01:06:00"/>
    <s v="PM"/>
    <s v="1:06 PM"/>
    <x v="0"/>
    <n v="6.3"/>
  </r>
  <r>
    <n v="14963"/>
    <n v="22210"/>
    <x v="731"/>
    <n v="1"/>
    <n v="1"/>
    <n v="1"/>
    <n v="522739"/>
    <d v="2010-09-16T13:06:00"/>
    <n v="1.65"/>
    <n v="1.65"/>
    <d v="2010-09-16T00:00:00"/>
    <d v="1899-12-30T01:06:00"/>
    <s v="PM"/>
    <s v="1:06 PM"/>
    <x v="0"/>
    <n v="1.65"/>
  </r>
  <r>
    <n v="17408"/>
    <n v="20893"/>
    <x v="732"/>
    <n v="72"/>
    <n v="-72"/>
    <n v="-72"/>
    <s v="C517227"/>
    <d v="2010-07-27T13:16:00"/>
    <n v="2.1"/>
    <n v="2.1"/>
    <d v="2010-07-27T00:00:00"/>
    <d v="1899-12-30T01:16:00"/>
    <s v="PM"/>
    <s v="1:16 PM"/>
    <x v="0"/>
    <n v="151.20000000000002"/>
  </r>
  <r>
    <n v="13488"/>
    <s v="84971S"/>
    <x v="733"/>
    <n v="24"/>
    <n v="24"/>
    <n v="24"/>
    <n v="512608"/>
    <d v="2010-06-17T09:56:00"/>
    <n v="0.85"/>
    <n v="0.85"/>
    <d v="2010-06-17T00:00:00"/>
    <d v="1899-12-30T09:56:00"/>
    <s v="AM"/>
    <s v="9:56 AM"/>
    <x v="0"/>
    <n v="20.399999999999999"/>
  </r>
  <r>
    <n v="13564"/>
    <n v="21122"/>
    <x v="734"/>
    <n v="3"/>
    <n v="3"/>
    <n v="3"/>
    <n v="494915"/>
    <d v="2010-01-19T17:12:00"/>
    <n v="1.25"/>
    <n v="1.25"/>
    <d v="2010-01-19T00:00:00"/>
    <d v="1899-12-30T05:12:00"/>
    <s v="PM"/>
    <s v="5:12 PM"/>
    <x v="0"/>
    <n v="3.75"/>
  </r>
  <r>
    <n v="14049"/>
    <s v="85226C"/>
    <x v="735"/>
    <n v="6"/>
    <n v="6"/>
    <n v="6"/>
    <n v="513952"/>
    <d v="2010-06-29T14:11:00"/>
    <n v="0.55000000000000004"/>
    <n v="0.55000000000000004"/>
    <d v="2010-06-29T00:00:00"/>
    <d v="1899-12-30T02:11:00"/>
    <s v="PM"/>
    <s v="2:11 PM"/>
    <x v="0"/>
    <n v="3.3000000000000003"/>
  </r>
  <r>
    <n v="12482"/>
    <n v="22530"/>
    <x v="736"/>
    <n v="384"/>
    <n v="384"/>
    <n v="384"/>
    <n v="503834"/>
    <d v="2010-04-07T16:13:00"/>
    <n v="0.36"/>
    <n v="0.36"/>
    <d v="2010-04-07T00:00:00"/>
    <d v="1899-12-30T04:13:00"/>
    <s v="PM"/>
    <s v="4:13 PM"/>
    <x v="18"/>
    <n v="138.24"/>
  </r>
  <r>
    <n v="16016"/>
    <n v="22457"/>
    <x v="289"/>
    <n v="4"/>
    <n v="4"/>
    <n v="4"/>
    <n v="533469"/>
    <s v="2010-11-17 12:36"/>
    <n v="2.95"/>
    <n v="2.95"/>
    <d v="2010-11-17T00:00:00"/>
    <d v="1899-12-30T12:36:00"/>
    <m/>
    <s v="12:36 "/>
    <x v="0"/>
    <n v="11.8"/>
  </r>
  <r>
    <n v="15311"/>
    <s v="84997A"/>
    <x v="737"/>
    <n v="3"/>
    <n v="3"/>
    <n v="3"/>
    <n v="525317"/>
    <d v="2010-10-05T11:17:00"/>
    <n v="3.75"/>
    <n v="3.75"/>
    <d v="2010-10-05T00:00:00"/>
    <d v="1899-12-30T11:17:00"/>
    <s v="AM"/>
    <s v="11:17 AM"/>
    <x v="0"/>
    <n v="11.25"/>
  </r>
  <r>
    <n v="13267"/>
    <n v="22728"/>
    <x v="24"/>
    <n v="4"/>
    <n v="4"/>
    <n v="4"/>
    <n v="537671"/>
    <d v="2010-12-08T09:20:00"/>
    <n v="3.75"/>
    <n v="3.75"/>
    <d v="2010-12-08T00:00:00"/>
    <d v="1899-12-30T09:20:00"/>
    <s v="AM"/>
    <s v="9:20 AM"/>
    <x v="0"/>
    <n v="15"/>
  </r>
  <r>
    <n v="17950"/>
    <n v="21563"/>
    <x v="42"/>
    <n v="2"/>
    <n v="2"/>
    <n v="2"/>
    <n v="509031"/>
    <d v="2010-05-19T16:30:00"/>
    <n v="2.95"/>
    <n v="2.95"/>
    <d v="2010-05-19T00:00:00"/>
    <d v="1899-12-30T04:30:00"/>
    <s v="PM"/>
    <s v="4:30 PM"/>
    <x v="0"/>
    <n v="5.9"/>
  </r>
  <r>
    <n v="15854"/>
    <n v="22111"/>
    <x v="124"/>
    <n v="3"/>
    <n v="3"/>
    <n v="3"/>
    <n v="534786"/>
    <d v="2010-11-24T11:21:00"/>
    <n v="4.95"/>
    <n v="4.95"/>
    <d v="2010-11-24T00:00:00"/>
    <d v="1899-12-30T11:21:00"/>
    <s v="AM"/>
    <s v="11:21 AM"/>
    <x v="0"/>
    <n v="14.850000000000001"/>
  </r>
  <r>
    <n v="14606"/>
    <n v="21398"/>
    <x v="738"/>
    <n v="96"/>
    <n v="96"/>
    <n v="96"/>
    <n v="497217"/>
    <d v="2010-02-07T14:27:00"/>
    <n v="1.75"/>
    <n v="1.75"/>
    <d v="2010-02-07T00:00:00"/>
    <d v="1899-12-30T02:27:00"/>
    <s v="PM"/>
    <s v="2:27 PM"/>
    <x v="1"/>
    <n v="168"/>
  </r>
  <r>
    <n v="13593"/>
    <n v="22177"/>
    <x v="739"/>
    <n v="1"/>
    <n v="1"/>
    <n v="1"/>
    <n v="503824"/>
    <d v="2010-04-07T15:02:00"/>
    <n v="9.9499999999999993"/>
    <n v="9.9499999999999993"/>
    <d v="2010-04-07T00:00:00"/>
    <d v="1899-12-30T03:02:00"/>
    <s v="PM"/>
    <s v="3:02 PM"/>
    <x v="0"/>
    <n v="9.9499999999999993"/>
  </r>
  <r>
    <n v="15658"/>
    <n v="21693"/>
    <x v="740"/>
    <n v="6"/>
    <n v="6"/>
    <n v="6"/>
    <n v="489998"/>
    <d v="2009-12-03T11:19:00"/>
    <n v="2.95"/>
    <n v="2.95"/>
    <d v="2009-12-03T00:00:00"/>
    <d v="1899-12-30T11:19:00"/>
    <s v="AM"/>
    <s v="11:19 AM"/>
    <x v="0"/>
    <n v="17.700000000000003"/>
  </r>
  <r>
    <n v="14988"/>
    <n v="11001"/>
    <x v="741"/>
    <n v="16"/>
    <n v="16"/>
    <n v="16"/>
    <n v="524305"/>
    <d v="2010-09-28T13:40:00"/>
    <n v="1.69"/>
    <n v="1.69"/>
    <d v="2010-09-28T00:00:00"/>
    <d v="1899-12-30T01:40:00"/>
    <s v="PM"/>
    <s v="1:40 PM"/>
    <x v="0"/>
    <n v="27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BE16C-A70E-40B2-85F5-9EAB624DC5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744" firstHeaderRow="1" firstDataRow="1" firstDataCol="1"/>
  <pivotFields count="16">
    <pivotField showAll="0"/>
    <pivotField showAll="0"/>
    <pivotField axis="axisRow" showAll="0" sortType="descending">
      <items count="743">
        <item x="532"/>
        <item x="716"/>
        <item x="454"/>
        <item x="226"/>
        <item x="262"/>
        <item x="496"/>
        <item x="599"/>
        <item x="615"/>
        <item x="47"/>
        <item x="688"/>
        <item x="410"/>
        <item x="273"/>
        <item x="340"/>
        <item x="526"/>
        <item x="318"/>
        <item x="724"/>
        <item x="378"/>
        <item x="290"/>
        <item x="336"/>
        <item x="598"/>
        <item x="734"/>
        <item x="668"/>
        <item x="446"/>
        <item x="22"/>
        <item x="252"/>
        <item x="606"/>
        <item x="626"/>
        <item x="370"/>
        <item x="616"/>
        <item x="728"/>
        <item x="574"/>
        <item x="572"/>
        <item x="562"/>
        <item x="291"/>
        <item x="177"/>
        <item x="21"/>
        <item x="689"/>
        <item x="100"/>
        <item x="421"/>
        <item x="739"/>
        <item x="600"/>
        <item x="161"/>
        <item x="72"/>
        <item x="140"/>
        <item x="704"/>
        <item x="502"/>
        <item x="296"/>
        <item x="690"/>
        <item x="522"/>
        <item x="224"/>
        <item x="348"/>
        <item x="584"/>
        <item x="485"/>
        <item x="460"/>
        <item x="283"/>
        <item x="328"/>
        <item x="415"/>
        <item x="497"/>
        <item x="11"/>
        <item x="96"/>
        <item x="155"/>
        <item x="528"/>
        <item x="172"/>
        <item x="158"/>
        <item x="95"/>
        <item x="88"/>
        <item x="305"/>
        <item x="438"/>
        <item x="73"/>
        <item x="354"/>
        <item x="405"/>
        <item x="730"/>
        <item x="741"/>
        <item x="448"/>
        <item x="121"/>
        <item x="110"/>
        <item x="422"/>
        <item x="238"/>
        <item x="423"/>
        <item x="490"/>
        <item x="542"/>
        <item x="99"/>
        <item x="71"/>
        <item x="715"/>
        <item x="443"/>
        <item x="146"/>
        <item x="383"/>
        <item x="627"/>
        <item x="311"/>
        <item x="212"/>
        <item x="549"/>
        <item x="213"/>
        <item x="297"/>
        <item x="293"/>
        <item x="199"/>
        <item x="92"/>
        <item x="330"/>
        <item x="418"/>
        <item x="491"/>
        <item x="500"/>
        <item x="593"/>
        <item x="595"/>
        <item x="508"/>
        <item x="35"/>
        <item x="735"/>
        <item x="194"/>
        <item x="477"/>
        <item x="366"/>
        <item x="235"/>
        <item x="552"/>
        <item x="228"/>
        <item x="712"/>
        <item x="571"/>
        <item x="540"/>
        <item x="678"/>
        <item x="385"/>
        <item x="217"/>
        <item x="186"/>
        <item x="683"/>
        <item x="530"/>
        <item x="51"/>
        <item x="445"/>
        <item x="211"/>
        <item x="156"/>
        <item x="182"/>
        <item x="198"/>
        <item x="667"/>
        <item x="634"/>
        <item x="368"/>
        <item x="662"/>
        <item x="277"/>
        <item x="367"/>
        <item x="160"/>
        <item x="157"/>
        <item x="343"/>
        <item x="162"/>
        <item x="489"/>
        <item x="586"/>
        <item x="401"/>
        <item x="566"/>
        <item x="63"/>
        <item x="576"/>
        <item x="664"/>
        <item x="312"/>
        <item x="216"/>
        <item x="559"/>
        <item x="13"/>
        <item x="304"/>
        <item x="623"/>
        <item x="302"/>
        <item x="419"/>
        <item x="531"/>
        <item x="708"/>
        <item x="142"/>
        <item x="200"/>
        <item x="204"/>
        <item x="278"/>
        <item x="272"/>
        <item x="102"/>
        <item x="130"/>
        <item x="638"/>
        <item x="642"/>
        <item x="319"/>
        <item x="288"/>
        <item x="269"/>
        <item x="379"/>
        <item x="361"/>
        <item x="315"/>
        <item x="628"/>
        <item x="15"/>
        <item x="675"/>
        <item x="120"/>
        <item x="266"/>
        <item x="723"/>
        <item x="695"/>
        <item x="54"/>
        <item x="515"/>
        <item x="702"/>
        <item x="347"/>
        <item x="672"/>
        <item x="218"/>
        <item x="546"/>
        <item x="655"/>
        <item x="193"/>
        <item x="79"/>
        <item x="447"/>
        <item x="507"/>
        <item x="518"/>
        <item x="428"/>
        <item x="488"/>
        <item x="6"/>
        <item x="237"/>
        <item x="727"/>
        <item x="525"/>
        <item x="453"/>
        <item x="475"/>
        <item x="391"/>
        <item x="242"/>
        <item x="310"/>
        <item x="492"/>
        <item x="325"/>
        <item x="78"/>
        <item x="658"/>
        <item x="703"/>
        <item x="203"/>
        <item x="476"/>
        <item x="129"/>
        <item x="16"/>
        <item x="143"/>
        <item x="139"/>
        <item x="250"/>
        <item x="641"/>
        <item x="666"/>
        <item x="493"/>
        <item x="65"/>
        <item x="534"/>
        <item x="484"/>
        <item x="48"/>
        <item x="435"/>
        <item x="292"/>
        <item x="660"/>
        <item x="125"/>
        <item x="30"/>
        <item x="527"/>
        <item x="625"/>
        <item x="53"/>
        <item x="389"/>
        <item x="466"/>
        <item x="513"/>
        <item x="416"/>
        <item x="149"/>
        <item x="578"/>
        <item x="0"/>
        <item x="165"/>
        <item x="108"/>
        <item x="29"/>
        <item x="557"/>
        <item x="541"/>
        <item x="580"/>
        <item x="280"/>
        <item x="637"/>
        <item x="459"/>
        <item x="700"/>
        <item x="77"/>
        <item x="659"/>
        <item x="147"/>
        <item x="334"/>
        <item x="287"/>
        <item x="170"/>
        <item x="32"/>
        <item x="669"/>
        <item x="430"/>
        <item x="699"/>
        <item x="413"/>
        <item x="653"/>
        <item x="145"/>
        <item x="1"/>
        <item x="494"/>
        <item x="570"/>
        <item x="431"/>
        <item x="543"/>
        <item x="141"/>
        <item x="363"/>
        <item x="645"/>
        <item x="585"/>
        <item x="264"/>
        <item x="687"/>
        <item x="619"/>
        <item x="504"/>
        <item x="144"/>
        <item x="556"/>
        <item x="710"/>
        <item x="323"/>
        <item x="76"/>
        <item x="505"/>
        <item x="486"/>
        <item x="241"/>
        <item x="126"/>
        <item x="151"/>
        <item x="153"/>
        <item x="301"/>
        <item x="685"/>
        <item x="97"/>
        <item x="205"/>
        <item x="174"/>
        <item x="111"/>
        <item x="294"/>
        <item x="44"/>
        <item x="737"/>
        <item x="321"/>
        <item x="64"/>
        <item x="380"/>
        <item x="529"/>
        <item x="98"/>
        <item x="185"/>
        <item x="303"/>
        <item x="353"/>
        <item x="573"/>
        <item x="424"/>
        <item x="169"/>
        <item x="693"/>
        <item x="479"/>
        <item x="316"/>
        <item x="317"/>
        <item x="358"/>
        <item x="351"/>
        <item x="178"/>
        <item x="732"/>
        <item x="107"/>
        <item x="45"/>
        <item x="439"/>
        <item x="359"/>
        <item x="432"/>
        <item x="215"/>
        <item x="80"/>
        <item x="259"/>
        <item x="440"/>
        <item x="112"/>
        <item x="499"/>
        <item x="308"/>
        <item x="425"/>
        <item x="253"/>
        <item x="692"/>
        <item x="561"/>
        <item x="509"/>
        <item x="150"/>
        <item x="705"/>
        <item x="482"/>
        <item x="136"/>
        <item x="371"/>
        <item x="19"/>
        <item x="483"/>
        <item x="577"/>
        <item x="246"/>
        <item x="180"/>
        <item x="66"/>
        <item x="239"/>
        <item x="444"/>
        <item x="341"/>
        <item x="609"/>
        <item x="201"/>
        <item x="671"/>
        <item x="327"/>
        <item x="450"/>
        <item x="40"/>
        <item x="148"/>
        <item x="33"/>
        <item x="322"/>
        <item x="221"/>
        <item x="512"/>
        <item x="258"/>
        <item x="39"/>
        <item x="647"/>
        <item x="254"/>
        <item x="173"/>
        <item x="468"/>
        <item x="286"/>
        <item x="470"/>
        <item x="386"/>
        <item x="326"/>
        <item x="135"/>
        <item x="113"/>
        <item x="356"/>
        <item x="214"/>
        <item x="442"/>
        <item x="684"/>
        <item x="654"/>
        <item x="295"/>
        <item x="275"/>
        <item x="720"/>
        <item x="498"/>
        <item x="127"/>
        <item x="2"/>
        <item x="265"/>
        <item x="495"/>
        <item x="223"/>
        <item x="520"/>
        <item x="681"/>
        <item x="510"/>
        <item x="166"/>
        <item x="417"/>
        <item x="298"/>
        <item x="736"/>
        <item x="587"/>
        <item x="190"/>
        <item x="414"/>
        <item x="551"/>
        <item x="629"/>
        <item x="229"/>
        <item x="104"/>
        <item x="7"/>
        <item x="20"/>
        <item x="263"/>
        <item x="589"/>
        <item x="651"/>
        <item x="633"/>
        <item x="17"/>
        <item x="582"/>
        <item x="473"/>
        <item x="244"/>
        <item x="284"/>
        <item x="344"/>
        <item x="706"/>
        <item x="455"/>
        <item x="610"/>
        <item x="355"/>
        <item x="83"/>
        <item x="24"/>
        <item x="331"/>
        <item x="567"/>
        <item x="289"/>
        <item x="352"/>
        <item x="309"/>
        <item x="467"/>
        <item x="138"/>
        <item x="195"/>
        <item x="635"/>
        <item x="388"/>
        <item x="412"/>
        <item x="657"/>
        <item x="402"/>
        <item x="234"/>
        <item x="563"/>
        <item x="131"/>
        <item x="560"/>
        <item x="517"/>
        <item x="656"/>
        <item x="86"/>
        <item x="554"/>
        <item x="550"/>
        <item x="128"/>
        <item x="222"/>
        <item x="132"/>
        <item x="333"/>
        <item x="282"/>
        <item x="202"/>
        <item x="463"/>
        <item x="335"/>
        <item x="81"/>
        <item x="376"/>
        <item x="176"/>
        <item x="648"/>
        <item x="375"/>
        <item x="608"/>
        <item x="409"/>
        <item x="697"/>
        <item x="719"/>
        <item x="565"/>
        <item x="8"/>
        <item x="406"/>
        <item x="713"/>
        <item x="31"/>
        <item x="722"/>
        <item x="362"/>
        <item x="620"/>
        <item x="729"/>
        <item x="181"/>
        <item x="718"/>
        <item x="179"/>
        <item x="604"/>
        <item x="411"/>
        <item x="564"/>
        <item x="524"/>
        <item x="171"/>
        <item x="390"/>
        <item x="618"/>
        <item x="548"/>
        <item x="395"/>
        <item x="487"/>
        <item x="503"/>
        <item x="399"/>
        <item x="603"/>
        <item x="544"/>
        <item x="59"/>
        <item x="670"/>
        <item x="407"/>
        <item x="164"/>
        <item x="34"/>
        <item x="189"/>
        <item x="41"/>
        <item x="643"/>
        <item x="611"/>
        <item x="377"/>
        <item x="709"/>
        <item x="472"/>
        <item x="342"/>
        <item x="267"/>
        <item x="61"/>
        <item x="717"/>
        <item x="592"/>
        <item x="396"/>
        <item x="236"/>
        <item x="426"/>
        <item x="581"/>
        <item x="583"/>
        <item x="427"/>
        <item x="590"/>
        <item x="464"/>
        <item x="639"/>
        <item x="23"/>
        <item x="547"/>
        <item x="60"/>
        <item x="67"/>
        <item x="568"/>
        <item x="247"/>
        <item x="632"/>
        <item x="3"/>
        <item x="644"/>
        <item x="116"/>
        <item x="256"/>
        <item x="738"/>
        <item x="94"/>
        <item x="109"/>
        <item x="225"/>
        <item x="457"/>
        <item x="646"/>
        <item x="665"/>
        <item x="42"/>
        <item x="314"/>
        <item x="167"/>
        <item x="588"/>
        <item x="631"/>
        <item x="553"/>
        <item x="602"/>
        <item x="516"/>
        <item x="636"/>
        <item x="569"/>
        <item x="87"/>
        <item x="726"/>
        <item x="338"/>
        <item x="652"/>
        <item x="621"/>
        <item x="711"/>
        <item x="56"/>
        <item x="523"/>
        <item x="381"/>
        <item x="478"/>
        <item x="339"/>
        <item x="721"/>
        <item x="436"/>
        <item x="449"/>
        <item x="62"/>
        <item x="384"/>
        <item x="364"/>
        <item x="725"/>
        <item x="9"/>
        <item x="233"/>
        <item x="533"/>
        <item x="382"/>
        <item x="134"/>
        <item x="183"/>
        <item x="649"/>
        <item x="506"/>
        <item x="270"/>
        <item x="89"/>
        <item x="601"/>
        <item x="10"/>
        <item x="682"/>
        <item x="501"/>
        <item x="306"/>
        <item x="329"/>
        <item x="514"/>
        <item x="691"/>
        <item x="451"/>
        <item x="219"/>
        <item x="118"/>
        <item x="441"/>
        <item x="249"/>
        <item x="596"/>
        <item x="462"/>
        <item x="469"/>
        <item x="58"/>
        <item x="481"/>
        <item x="650"/>
        <item x="117"/>
        <item x="535"/>
        <item x="320"/>
        <item x="123"/>
        <item x="38"/>
        <item x="480"/>
        <item x="243"/>
        <item x="408"/>
        <item x="661"/>
        <item x="124"/>
        <item x="119"/>
        <item x="474"/>
        <item x="90"/>
        <item x="337"/>
        <item x="350"/>
        <item x="50"/>
        <item x="676"/>
        <item x="106"/>
        <item x="82"/>
        <item x="152"/>
        <item x="300"/>
        <item x="248"/>
        <item x="458"/>
        <item x="37"/>
        <item x="232"/>
        <item x="538"/>
        <item x="694"/>
        <item x="579"/>
        <item x="192"/>
        <item x="465"/>
        <item x="394"/>
        <item x="70"/>
        <item x="686"/>
        <item x="28"/>
        <item x="74"/>
        <item x="281"/>
        <item x="324"/>
        <item x="537"/>
        <item x="558"/>
        <item x="69"/>
        <item x="437"/>
        <item x="674"/>
        <item x="392"/>
        <item x="49"/>
        <item x="575"/>
        <item x="372"/>
        <item x="84"/>
        <item x="471"/>
        <item x="93"/>
        <item x="191"/>
        <item x="536"/>
        <item x="257"/>
        <item x="357"/>
        <item x="707"/>
        <item x="673"/>
        <item x="613"/>
        <item x="404"/>
        <item x="114"/>
        <item x="251"/>
        <item x="740"/>
        <item x="733"/>
        <item x="36"/>
        <item x="605"/>
        <item x="696"/>
        <item x="630"/>
        <item x="679"/>
        <item x="18"/>
        <item x="159"/>
        <item x="612"/>
        <item x="271"/>
        <item x="539"/>
        <item x="122"/>
        <item x="230"/>
        <item x="663"/>
        <item x="163"/>
        <item x="231"/>
        <item x="105"/>
        <item x="345"/>
        <item x="387"/>
        <item x="591"/>
        <item x="307"/>
        <item x="5"/>
        <item x="188"/>
        <item x="332"/>
        <item x="299"/>
        <item x="607"/>
        <item x="373"/>
        <item x="714"/>
        <item x="85"/>
        <item x="433"/>
        <item x="393"/>
        <item x="400"/>
        <item x="209"/>
        <item x="698"/>
        <item x="274"/>
        <item x="175"/>
        <item x="285"/>
        <item x="545"/>
        <item x="52"/>
        <item x="55"/>
        <item x="240"/>
        <item x="594"/>
        <item x="397"/>
        <item x="677"/>
        <item x="133"/>
        <item x="369"/>
        <item x="365"/>
        <item x="154"/>
        <item x="137"/>
        <item x="701"/>
        <item x="27"/>
        <item x="680"/>
        <item x="452"/>
        <item x="511"/>
        <item x="349"/>
        <item x="46"/>
        <item x="268"/>
        <item x="521"/>
        <item x="614"/>
        <item x="420"/>
        <item x="187"/>
        <item x="398"/>
        <item x="57"/>
        <item x="220"/>
        <item x="374"/>
        <item x="75"/>
        <item x="360"/>
        <item x="197"/>
        <item x="624"/>
        <item x="25"/>
        <item x="276"/>
        <item x="519"/>
        <item x="103"/>
        <item x="261"/>
        <item x="346"/>
        <item x="313"/>
        <item x="26"/>
        <item x="622"/>
        <item x="260"/>
        <item x="279"/>
        <item x="12"/>
        <item x="555"/>
        <item x="597"/>
        <item x="731"/>
        <item x="101"/>
        <item x="115"/>
        <item x="245"/>
        <item x="255"/>
        <item x="68"/>
        <item x="168"/>
        <item x="456"/>
        <item x="617"/>
        <item x="184"/>
        <item x="14"/>
        <item x="640"/>
        <item x="210"/>
        <item x="403"/>
        <item x="227"/>
        <item x="91"/>
        <item x="206"/>
        <item x="429"/>
        <item x="434"/>
        <item x="196"/>
        <item x="208"/>
        <item x="207"/>
        <item x="4"/>
        <item x="43"/>
        <item x="4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>
      <items count="23">
        <item x="15"/>
        <item x="5"/>
        <item x="12"/>
        <item x="10"/>
        <item x="8"/>
        <item x="1"/>
        <item x="21"/>
        <item x="3"/>
        <item x="2"/>
        <item x="16"/>
        <item x="6"/>
        <item x="14"/>
        <item x="9"/>
        <item x="13"/>
        <item x="7"/>
        <item x="4"/>
        <item x="19"/>
        <item x="18"/>
        <item x="17"/>
        <item x="0"/>
        <item x="20"/>
        <item x="11"/>
        <item t="default"/>
      </items>
    </pivotField>
    <pivotField dataField="1" showAll="0"/>
  </pivotFields>
  <rowFields count="1">
    <field x="2"/>
  </rowFields>
  <rowItems count="743">
    <i>
      <x v="285"/>
    </i>
    <i>
      <x v="68"/>
    </i>
    <i>
      <x v="574"/>
    </i>
    <i>
      <x v="145"/>
    </i>
    <i>
      <x v="345"/>
    </i>
    <i>
      <x v="222"/>
    </i>
    <i>
      <x v="506"/>
    </i>
    <i>
      <x v="102"/>
    </i>
    <i>
      <x v="608"/>
    </i>
    <i>
      <x v="18"/>
    </i>
    <i>
      <x v="706"/>
    </i>
    <i>
      <x v="317"/>
    </i>
    <i>
      <x v="557"/>
    </i>
    <i>
      <x v="342"/>
    </i>
    <i>
      <x v="131"/>
    </i>
    <i>
      <x v="484"/>
    </i>
    <i>
      <x v="714"/>
    </i>
    <i>
      <x v="695"/>
    </i>
    <i>
      <x v="338"/>
    </i>
    <i>
      <x v="34"/>
    </i>
    <i>
      <x v="554"/>
    </i>
    <i>
      <x v="101"/>
    </i>
    <i>
      <x v="510"/>
    </i>
    <i>
      <x v="555"/>
    </i>
    <i>
      <x v="11"/>
    </i>
    <i>
      <x v="721"/>
    </i>
    <i>
      <x v="307"/>
    </i>
    <i>
      <x v="666"/>
    </i>
    <i>
      <x v="616"/>
    </i>
    <i>
      <x v="480"/>
    </i>
    <i>
      <x v="312"/>
    </i>
    <i>
      <x v="166"/>
    </i>
    <i>
      <x v="382"/>
    </i>
    <i>
      <x v="64"/>
    </i>
    <i>
      <x v="732"/>
    </i>
    <i>
      <x v="23"/>
    </i>
    <i>
      <x v="451"/>
    </i>
    <i>
      <x v="16"/>
    </i>
    <i>
      <x v="649"/>
    </i>
    <i>
      <x v="453"/>
    </i>
    <i>
      <x v="601"/>
    </i>
    <i>
      <x v="273"/>
    </i>
    <i>
      <x v="321"/>
    </i>
    <i>
      <x v="116"/>
    </i>
    <i>
      <x v="448"/>
    </i>
    <i>
      <x v="508"/>
    </i>
    <i>
      <x v="340"/>
    </i>
    <i>
      <x v="160"/>
    </i>
    <i>
      <x v="347"/>
    </i>
    <i>
      <x v="641"/>
    </i>
    <i>
      <x v="284"/>
    </i>
    <i>
      <x v="408"/>
    </i>
    <i>
      <x v="291"/>
    </i>
    <i>
      <x v="617"/>
    </i>
    <i>
      <x v="722"/>
    </i>
    <i>
      <x v="415"/>
    </i>
    <i>
      <x v="583"/>
    </i>
    <i>
      <x v="366"/>
    </i>
    <i>
      <x v="550"/>
    </i>
    <i>
      <x v="407"/>
    </i>
    <i>
      <x v="482"/>
    </i>
    <i>
      <x v="682"/>
    </i>
    <i>
      <x v="444"/>
    </i>
    <i>
      <x v="374"/>
    </i>
    <i>
      <x v="319"/>
    </i>
    <i>
      <x v="73"/>
    </i>
    <i>
      <x v="213"/>
    </i>
    <i>
      <x v="146"/>
    </i>
    <i>
      <x v="373"/>
    </i>
    <i>
      <x v="316"/>
    </i>
    <i>
      <x v="236"/>
    </i>
    <i>
      <x v="208"/>
    </i>
    <i>
      <x v="218"/>
    </i>
    <i>
      <x v="541"/>
    </i>
    <i>
      <x v="353"/>
    </i>
    <i>
      <x v="363"/>
    </i>
    <i>
      <x v="679"/>
    </i>
    <i>
      <x v="718"/>
    </i>
    <i>
      <x v="43"/>
    </i>
    <i>
      <x v="478"/>
    </i>
    <i>
      <x v="704"/>
    </i>
    <i>
      <x v="496"/>
    </i>
    <i>
      <x v="432"/>
    </i>
    <i>
      <x v="696"/>
    </i>
    <i>
      <x v="502"/>
    </i>
    <i>
      <x v="58"/>
    </i>
    <i>
      <x v="286"/>
    </i>
    <i>
      <x v="728"/>
    </i>
    <i>
      <x v="120"/>
    </i>
    <i>
      <x v="205"/>
    </i>
    <i>
      <x v="115"/>
    </i>
    <i>
      <x v="302"/>
    </i>
    <i>
      <x v="129"/>
    </i>
    <i>
      <x v="299"/>
    </i>
    <i>
      <x v="362"/>
    </i>
    <i>
      <x v="509"/>
    </i>
    <i>
      <x v="461"/>
    </i>
    <i>
      <x v="81"/>
    </i>
    <i>
      <x v="293"/>
    </i>
    <i>
      <x v="143"/>
    </i>
    <i>
      <x v="530"/>
    </i>
    <i>
      <x v="315"/>
    </i>
    <i>
      <x v="180"/>
    </i>
    <i>
      <x v="144"/>
    </i>
    <i>
      <x v="464"/>
    </i>
    <i>
      <x v="739"/>
    </i>
    <i>
      <x v="206"/>
    </i>
    <i>
      <x v="153"/>
    </i>
    <i>
      <x v="57"/>
    </i>
    <i>
      <x v="278"/>
    </i>
    <i>
      <x v="412"/>
    </i>
    <i>
      <x v="660"/>
    </i>
    <i>
      <x v="672"/>
    </i>
    <i>
      <x v="389"/>
    </i>
    <i>
      <x v="159"/>
    </i>
    <i>
      <x v="310"/>
    </i>
    <i>
      <x v="497"/>
    </i>
    <i>
      <x v="189"/>
    </i>
    <i>
      <x v="733"/>
    </i>
    <i>
      <x v="587"/>
    </i>
    <i>
      <x v="661"/>
    </i>
    <i>
      <x v="690"/>
    </i>
    <i>
      <x v="669"/>
    </i>
    <i>
      <x v="346"/>
    </i>
    <i>
      <x v="344"/>
    </i>
    <i>
      <x v="69"/>
    </i>
    <i>
      <x v="343"/>
    </i>
    <i>
      <x v="388"/>
    </i>
    <i>
      <x v="470"/>
    </i>
    <i>
      <x v="52"/>
    </i>
    <i>
      <x v="595"/>
    </i>
    <i>
      <x v="14"/>
    </i>
    <i>
      <x v="132"/>
    </i>
    <i>
      <x v="489"/>
    </i>
    <i>
      <x v="498"/>
    </i>
    <i>
      <x v="198"/>
    </i>
    <i>
      <x v="685"/>
    </i>
    <i>
      <x v="403"/>
    </i>
    <i>
      <x v="391"/>
    </i>
    <i>
      <x v="642"/>
    </i>
    <i>
      <x v="446"/>
    </i>
    <i>
      <x v="98"/>
    </i>
    <i>
      <x v="185"/>
    </i>
    <i>
      <x v="533"/>
    </i>
    <i>
      <x v="442"/>
    </i>
    <i>
      <x v="134"/>
    </i>
    <i>
      <x v="589"/>
    </i>
    <i>
      <x v="370"/>
    </i>
    <i>
      <x v="568"/>
    </i>
    <i>
      <x v="267"/>
    </i>
    <i>
      <x v="626"/>
    </i>
    <i>
      <x v="175"/>
    </i>
    <i>
      <x v="332"/>
    </i>
    <i>
      <x v="418"/>
    </i>
    <i>
      <x v="65"/>
    </i>
    <i>
      <x v="258"/>
    </i>
    <i>
      <x v="86"/>
    </i>
    <i>
      <x v="673"/>
    </i>
    <i>
      <x v="450"/>
    </i>
    <i>
      <x v="381"/>
    </i>
    <i>
      <x v="454"/>
    </i>
    <i>
      <x v="360"/>
    </i>
    <i>
      <x v="128"/>
    </i>
    <i>
      <x v="171"/>
    </i>
    <i>
      <x v="354"/>
    </i>
    <i>
      <x v="190"/>
    </i>
    <i>
      <x v="66"/>
    </i>
    <i>
      <x v="452"/>
    </i>
    <i>
      <x v="495"/>
    </i>
    <i>
      <x v="691"/>
    </i>
    <i>
      <x v="607"/>
    </i>
    <i>
      <x v="644"/>
    </i>
    <i>
      <x v="637"/>
    </i>
    <i>
      <x v="715"/>
    </i>
    <i>
      <x v="546"/>
    </i>
    <i>
      <x v="295"/>
    </i>
    <i>
      <x v="27"/>
    </i>
    <i>
      <x v="314"/>
    </i>
    <i>
      <x v="170"/>
    </i>
    <i>
      <x v="287"/>
    </i>
    <i>
      <x v="97"/>
    </i>
    <i>
      <x v="296"/>
    </i>
    <i>
      <x v="106"/>
    </i>
    <i>
      <x v="359"/>
    </i>
    <i>
      <x v="254"/>
    </i>
    <i>
      <x v="204"/>
    </i>
    <i>
      <x v="545"/>
    </i>
    <i>
      <x v="612"/>
    </i>
    <i>
      <x v="610"/>
    </i>
    <i>
      <x v="74"/>
    </i>
    <i>
      <x v="322"/>
    </i>
    <i>
      <x v="60"/>
    </i>
    <i>
      <x v="723"/>
    </i>
    <i>
      <x v="410"/>
    </i>
    <i>
      <x v="256"/>
    </i>
    <i>
      <x v="303"/>
    </i>
    <i>
      <x v="255"/>
    </i>
    <i>
      <x v="439"/>
    </i>
    <i>
      <x v="440"/>
    </i>
    <i>
      <x v="605"/>
    </i>
    <i>
      <x v="164"/>
    </i>
    <i>
      <x v="528"/>
    </i>
    <i>
      <x v="552"/>
    </i>
    <i>
      <x v="681"/>
    </i>
    <i>
      <x v="72"/>
    </i>
    <i>
      <x v="585"/>
    </i>
    <i>
      <x v="730"/>
    </i>
    <i>
      <x v="292"/>
    </i>
    <i>
      <x v="438"/>
    </i>
    <i>
      <x v="46"/>
    </i>
    <i>
      <x v="731"/>
    </i>
    <i>
      <x v="318"/>
    </i>
    <i>
      <x v="724"/>
    </i>
    <i>
      <x v="253"/>
    </i>
    <i>
      <x v="604"/>
    </i>
    <i>
      <x v="183"/>
    </i>
    <i>
      <x v="434"/>
    </i>
    <i>
      <x v="680"/>
    </i>
    <i>
      <x v="684"/>
    </i>
    <i>
      <x v="84"/>
    </i>
    <i>
      <x v="2"/>
    </i>
    <i>
      <x v="139"/>
    </i>
    <i>
      <x v="490"/>
    </i>
    <i>
      <x v="156"/>
    </i>
    <i>
      <x v="306"/>
    </i>
    <i>
      <x v="9"/>
    </i>
    <i>
      <x v="151"/>
    </i>
    <i>
      <x v="231"/>
    </i>
    <i>
      <x v="593"/>
    </i>
    <i>
      <x v="710"/>
    </i>
    <i>
      <x v="94"/>
    </i>
    <i>
      <x v="214"/>
    </i>
    <i>
      <x v="713"/>
    </i>
    <i>
      <x v="333"/>
    </i>
    <i>
      <x v="707"/>
    </i>
    <i>
      <x v="167"/>
    </i>
    <i>
      <x v="37"/>
    </i>
    <i>
      <x v="463"/>
    </i>
    <i>
      <x v="449"/>
    </i>
    <i>
      <x v="400"/>
    </i>
    <i>
      <x v="609"/>
    </i>
    <i>
      <x v="31"/>
    </i>
    <i>
      <x v="124"/>
    </i>
    <i>
      <x v="375"/>
    </i>
    <i>
      <x v="570"/>
    </i>
    <i>
      <x v="727"/>
    </i>
    <i>
      <x v="125"/>
    </i>
    <i>
      <x v="512"/>
    </i>
    <i>
      <x v="543"/>
    </i>
    <i>
      <x v="511"/>
    </i>
    <i>
      <x v="705"/>
    </i>
    <i>
      <x v="87"/>
    </i>
    <i>
      <x v="113"/>
    </i>
    <i>
      <x v="522"/>
    </i>
    <i>
      <x v="676"/>
    </i>
    <i>
      <x v="476"/>
    </i>
    <i>
      <x v="537"/>
    </i>
    <i>
      <x v="734"/>
    </i>
    <i>
      <x v="562"/>
    </i>
    <i>
      <x v="246"/>
    </i>
    <i>
      <x v="123"/>
    </i>
    <i>
      <x v="634"/>
    </i>
    <i>
      <x v="405"/>
    </i>
    <i>
      <x v="114"/>
    </i>
    <i>
      <x v="352"/>
    </i>
    <i>
      <x v="82"/>
    </i>
    <i>
      <x v="588"/>
    </i>
    <i>
      <x v="551"/>
    </i>
    <i>
      <x v="662"/>
    </i>
    <i>
      <x v="209"/>
    </i>
    <i>
      <x v="21"/>
    </i>
    <i>
      <x v="55"/>
    </i>
    <i>
      <x v="38"/>
    </i>
    <i>
      <x v="456"/>
    </i>
    <i>
      <x v="569"/>
    </i>
    <i>
      <x v="675"/>
    </i>
    <i>
      <x v="698"/>
    </i>
    <i>
      <x v="137"/>
    </i>
    <i>
      <x v="646"/>
    </i>
    <i>
      <x v="586"/>
    </i>
    <i>
      <x v="257"/>
    </i>
    <i>
      <x v="261"/>
    </i>
    <i>
      <x v="481"/>
    </i>
    <i>
      <x v="467"/>
    </i>
    <i>
      <x v="575"/>
    </i>
    <i>
      <x v="192"/>
    </i>
    <i>
      <x v="42"/>
    </i>
    <i>
      <x v="152"/>
    </i>
    <i>
      <x v="95"/>
    </i>
    <i>
      <x v="309"/>
    </i>
    <i>
      <x v="365"/>
    </i>
    <i>
      <x v="524"/>
    </i>
    <i>
      <x v="337"/>
    </i>
    <i>
      <x v="341"/>
    </i>
    <i>
      <x v="339"/>
    </i>
    <i>
      <x v="51"/>
    </i>
    <i>
      <x v="686"/>
    </i>
    <i>
      <x v="92"/>
    </i>
    <i>
      <x v="54"/>
    </i>
    <i>
      <x v="485"/>
    </i>
    <i>
      <x v="667"/>
    </i>
    <i>
      <x v="232"/>
    </i>
    <i>
      <x v="518"/>
    </i>
    <i>
      <x v="378"/>
    </i>
    <i>
      <x v="417"/>
    </i>
    <i>
      <x v="133"/>
    </i>
    <i>
      <x v="694"/>
    </i>
    <i>
      <x v="89"/>
    </i>
    <i>
      <x v="223"/>
    </i>
    <i>
      <x v="59"/>
    </i>
    <i>
      <x v="431"/>
    </i>
    <i>
      <x v="445"/>
    </i>
    <i>
      <x v="573"/>
    </i>
    <i>
      <x v="516"/>
    </i>
    <i>
      <x v="458"/>
    </i>
    <i>
      <x v="536"/>
    </i>
    <i>
      <x v="633"/>
    </i>
    <i>
      <x v="643"/>
    </i>
    <i>
      <x v="419"/>
    </i>
    <i>
      <x v="708"/>
    </i>
    <i>
      <x v="392"/>
    </i>
    <i>
      <x v="447"/>
    </i>
    <i>
      <x v="640"/>
    </i>
    <i>
      <x v="499"/>
    </i>
    <i>
      <x v="520"/>
    </i>
    <i>
      <x v="420"/>
    </i>
    <i>
      <x v="356"/>
    </i>
    <i>
      <x v="263"/>
    </i>
    <i>
      <x v="281"/>
    </i>
    <i>
      <x v="331"/>
    </i>
    <i>
      <x v="19"/>
    </i>
    <i>
      <x v="414"/>
    </i>
    <i>
      <x v="328"/>
    </i>
    <i>
      <x v="5"/>
    </i>
    <i>
      <x v="136"/>
    </i>
    <i>
      <x v="323"/>
    </i>
    <i>
      <x v="402"/>
    </i>
    <i>
      <x v="620"/>
    </i>
    <i>
      <x v="726"/>
    </i>
    <i>
      <x v="591"/>
    </i>
    <i>
      <x v="523"/>
    </i>
    <i>
      <x v="613"/>
    </i>
    <i>
      <x v="141"/>
    </i>
    <i>
      <x v="7"/>
    </i>
    <i>
      <x v="248"/>
    </i>
    <i>
      <x v="140"/>
    </i>
    <i>
      <x v="719"/>
    </i>
    <i>
      <x v="187"/>
    </i>
    <i>
      <x v="294"/>
    </i>
    <i>
      <x v="379"/>
    </i>
    <i>
      <x v="560"/>
    </i>
    <i>
      <x v="17"/>
    </i>
    <i>
      <x v="465"/>
    </i>
    <i>
      <x v="592"/>
    </i>
    <i>
      <x v="109"/>
    </i>
    <i>
      <x v="656"/>
    </i>
    <i>
      <x v="577"/>
    </i>
    <i>
      <x v="716"/>
    </i>
    <i>
      <x v="210"/>
    </i>
    <i>
      <x v="216"/>
    </i>
    <i>
      <x v="41"/>
    </i>
    <i>
      <x v="326"/>
    </i>
    <i>
      <x v="351"/>
    </i>
    <i>
      <x v="24"/>
    </i>
    <i>
      <x v="63"/>
    </i>
    <i>
      <x v="655"/>
    </i>
    <i>
      <x v="654"/>
    </i>
    <i>
      <x v="527"/>
    </i>
    <i>
      <x v="602"/>
    </i>
    <i>
      <x v="526"/>
    </i>
    <i>
      <x v="220"/>
    </i>
    <i>
      <x v="172"/>
    </i>
    <i>
      <x v="329"/>
    </i>
    <i>
      <x v="105"/>
    </i>
    <i>
      <x v="168"/>
    </i>
    <i>
      <x v="161"/>
    </i>
    <i>
      <x v="386"/>
    </i>
    <i>
      <x v="623"/>
    </i>
    <i>
      <x v="529"/>
    </i>
    <i>
      <x v="553"/>
    </i>
    <i>
      <x v="599"/>
    </i>
    <i>
      <x v="709"/>
    </i>
    <i>
      <x v="514"/>
    </i>
    <i>
      <x v="670"/>
    </i>
    <i>
      <x v="687"/>
    </i>
    <i>
      <x v="195"/>
    </i>
    <i>
      <x v="117"/>
    </i>
    <i>
      <x v="62"/>
    </i>
    <i>
      <x v="320"/>
    </i>
    <i>
      <x v="93"/>
    </i>
    <i>
      <x v="245"/>
    </i>
    <i>
      <x v="100"/>
    </i>
    <i>
      <x v="289"/>
    </i>
    <i>
      <x v="8"/>
    </i>
    <i>
      <x v="274"/>
    </i>
    <i>
      <x v="212"/>
    </i>
    <i>
      <x v="211"/>
    </i>
    <i>
      <x v="200"/>
    </i>
    <i>
      <x v="203"/>
    </i>
    <i>
      <x v="188"/>
    </i>
    <i>
      <x v="435"/>
    </i>
    <i>
      <x v="395"/>
    </i>
    <i>
      <x v="335"/>
    </i>
    <i>
      <x v="703"/>
    </i>
    <i>
      <x v="582"/>
    </i>
    <i>
      <x v="10"/>
    </i>
    <i>
      <x v="376"/>
    </i>
    <i>
      <x v="436"/>
    </i>
    <i>
      <x v="437"/>
    </i>
    <i>
      <x v="580"/>
    </i>
    <i>
      <x v="700"/>
    </i>
    <i>
      <x v="33"/>
    </i>
    <i>
      <x v="91"/>
    </i>
    <i>
      <x v="455"/>
    </i>
    <i>
      <x v="663"/>
    </i>
    <i>
      <x v="202"/>
    </i>
    <i>
      <x v="364"/>
    </i>
    <i>
      <x v="44"/>
    </i>
    <i>
      <x v="515"/>
    </i>
    <i>
      <x v="197"/>
    </i>
    <i>
      <x v="290"/>
    </i>
    <i>
      <x v="409"/>
    </i>
    <i>
      <x v="594"/>
    </i>
    <i>
      <x v="494"/>
    </i>
    <i>
      <x v="121"/>
    </i>
    <i>
      <x v="40"/>
    </i>
    <i>
      <x v="473"/>
    </i>
    <i>
      <x v="712"/>
    </i>
    <i>
      <x v="488"/>
    </i>
    <i>
      <x v="348"/>
    </i>
    <i>
      <x v="61"/>
    </i>
    <i>
      <x v="369"/>
    </i>
    <i>
      <x v="234"/>
    </i>
    <i>
      <x v="507"/>
    </i>
    <i>
      <x v="615"/>
    </i>
    <i>
      <x v="597"/>
    </i>
    <i>
      <x v="264"/>
    </i>
    <i>
      <x v="193"/>
    </i>
    <i>
      <x v="4"/>
    </i>
    <i>
      <x v="416"/>
    </i>
    <i>
      <x v="740"/>
    </i>
    <i>
      <x v="471"/>
    </i>
    <i>
      <x v="711"/>
    </i>
    <i>
      <x v="513"/>
    </i>
    <i>
      <x v="517"/>
    </i>
    <i>
      <x v="622"/>
    </i>
    <i>
      <x v="242"/>
    </i>
    <i>
      <x v="182"/>
    </i>
    <i>
      <x v="22"/>
    </i>
    <i>
      <x v="279"/>
    </i>
    <i>
      <x v="625"/>
    </i>
    <i>
      <x v="639"/>
    </i>
    <i>
      <x v="406"/>
    </i>
    <i>
      <x v="249"/>
    </i>
    <i>
      <x v="288"/>
    </i>
    <i>
      <x v="237"/>
    </i>
    <i>
      <x v="635"/>
    </i>
    <i>
      <x v="474"/>
    </i>
    <i>
      <x v="668"/>
    </i>
    <i>
      <x v="736"/>
    </i>
    <i>
      <x v="665"/>
    </i>
    <i>
      <x v="689"/>
    </i>
    <i>
      <x v="737"/>
    </i>
    <i>
      <x v="735"/>
    </i>
    <i>
      <x v="300"/>
    </i>
    <i>
      <x v="103"/>
    </i>
    <i>
      <x v="276"/>
    </i>
    <i>
      <x v="430"/>
    </i>
    <i>
      <x v="636"/>
    </i>
    <i>
      <x v="424"/>
    </i>
    <i>
      <x v="423"/>
    </i>
    <i>
      <x v="426"/>
    </i>
    <i>
      <x v="149"/>
    </i>
    <i>
      <x v="127"/>
    </i>
    <i>
      <x v="243"/>
    </i>
    <i>
      <x v="252"/>
    </i>
    <i>
      <x v="80"/>
    </i>
    <i>
      <x v="259"/>
    </i>
    <i>
      <x v="280"/>
    </i>
    <i>
      <x v="501"/>
    </i>
    <i>
      <x v="397"/>
    </i>
    <i>
      <x v="657"/>
    </i>
    <i>
      <x v="47"/>
    </i>
    <i>
      <x v="126"/>
    </i>
    <i>
      <x v="76"/>
    </i>
    <i>
      <x v="621"/>
    </i>
    <i>
      <x v="539"/>
    </i>
    <i>
      <x v="659"/>
    </i>
    <i>
      <x v="614"/>
    </i>
    <i>
      <x v="39"/>
    </i>
    <i>
      <x v="653"/>
    </i>
    <i>
      <x v="387"/>
    </i>
    <i>
      <x v="262"/>
    </i>
    <i>
      <x v="282"/>
    </i>
    <i>
      <x v="227"/>
    </i>
    <i>
      <x v="330"/>
    </i>
    <i>
      <x v="118"/>
    </i>
    <i>
      <x v="311"/>
    </i>
    <i>
      <x v="272"/>
    </i>
    <i>
      <x v="67"/>
    </i>
    <i>
      <x v="720"/>
    </i>
    <i>
      <x v="469"/>
    </i>
    <i>
      <x v="572"/>
    </i>
    <i>
      <x v="531"/>
    </i>
    <i>
      <x v="30"/>
    </i>
    <i>
      <x v="77"/>
    </i>
    <i>
      <x v="226"/>
    </i>
    <i>
      <x v="652"/>
    </i>
    <i>
      <x v="32"/>
    </i>
    <i>
      <x v="85"/>
    </i>
    <i>
      <x v="15"/>
    </i>
    <i>
      <x v="632"/>
    </i>
    <i>
      <x v="169"/>
    </i>
    <i>
      <x v="75"/>
    </i>
    <i>
      <x v="441"/>
    </i>
    <i>
      <x v="565"/>
    </i>
    <i>
      <x v="28"/>
    </i>
    <i>
      <x v="618"/>
    </i>
    <i>
      <x v="298"/>
    </i>
    <i>
      <x v="174"/>
    </i>
    <i>
      <x v="271"/>
    </i>
    <i>
      <x v="443"/>
    </i>
    <i>
      <x v="56"/>
    </i>
    <i>
      <x v="725"/>
    </i>
    <i>
      <x v="163"/>
    </i>
    <i>
      <x v="624"/>
    </i>
    <i>
      <x v="466"/>
    </i>
    <i>
      <x v="475"/>
    </i>
    <i>
      <x v="600"/>
    </i>
    <i>
      <x v="538"/>
    </i>
    <i>
      <x v="233"/>
    </i>
    <i>
      <x v="235"/>
    </i>
    <i>
      <x v="268"/>
    </i>
    <i>
      <x v="201"/>
    </i>
    <i>
      <x v="207"/>
    </i>
    <i>
      <x v="393"/>
    </i>
    <i>
      <x v="677"/>
    </i>
    <i>
      <x v="229"/>
    </i>
    <i>
      <x v="534"/>
    </i>
    <i>
      <x v="459"/>
    </i>
    <i>
      <x v="83"/>
    </i>
    <i>
      <x v="119"/>
    </i>
    <i>
      <x v="239"/>
    </i>
    <i>
      <x v="693"/>
    </i>
    <i>
      <x v="53"/>
    </i>
    <i>
      <x v="630"/>
    </i>
    <i>
      <x v="549"/>
    </i>
    <i>
      <x v="327"/>
    </i>
    <i>
      <x v="157"/>
    </i>
    <i>
      <x v="71"/>
    </i>
    <i>
      <x v="702"/>
    </i>
    <i>
      <x v="697"/>
    </i>
    <i>
      <x v="460"/>
    </i>
    <i>
      <x v="130"/>
    </i>
    <i>
      <x v="301"/>
    </i>
    <i>
      <x v="367"/>
    </i>
    <i>
      <x v="368"/>
    </i>
    <i>
      <x v="571"/>
    </i>
    <i>
      <x v="505"/>
    </i>
    <i>
      <x v="578"/>
    </i>
    <i>
      <x v="275"/>
    </i>
    <i>
      <x v="260"/>
    </i>
    <i>
      <x v="186"/>
    </i>
    <i>
      <x v="122"/>
    </i>
    <i>
      <x v="556"/>
    </i>
    <i>
      <x v="336"/>
    </i>
    <i>
      <x v="648"/>
    </i>
    <i>
      <x v="78"/>
    </i>
    <i>
      <x v="199"/>
    </i>
    <i>
      <x v="468"/>
    </i>
    <i>
      <x v="380"/>
    </i>
    <i>
      <x v="413"/>
    </i>
    <i>
      <x v="627"/>
    </i>
    <i>
      <x v="162"/>
    </i>
    <i>
      <x v="13"/>
    </i>
    <i>
      <x v="371"/>
    </i>
    <i>
      <x v="567"/>
    </i>
    <i>
      <x v="361"/>
    </i>
    <i>
      <x v="658"/>
    </i>
    <i>
      <x v="521"/>
    </i>
    <i>
      <x v="462"/>
    </i>
    <i>
      <x v="540"/>
    </i>
    <i>
      <x v="651"/>
    </i>
    <i>
      <x v="111"/>
    </i>
    <i>
      <x v="269"/>
    </i>
    <i>
      <x v="240"/>
    </i>
    <i>
      <x v="422"/>
    </i>
    <i>
      <x v="228"/>
    </i>
    <i>
      <x v="629"/>
    </i>
    <i>
      <x v="479"/>
    </i>
    <i>
      <x v="325"/>
    </i>
    <i>
      <x v="647"/>
    </i>
    <i>
      <x v="611"/>
    </i>
    <i>
      <x v="741"/>
    </i>
    <i>
      <x v="230"/>
    </i>
    <i>
      <x v="265"/>
    </i>
    <i>
      <x v="244"/>
    </i>
    <i>
      <x v="266"/>
    </i>
    <i>
      <x v="270"/>
    </i>
    <i>
      <x v="181"/>
    </i>
    <i>
      <x v="566"/>
    </i>
    <i>
      <x v="558"/>
    </i>
    <i>
      <x v="421"/>
    </i>
    <i>
      <x v="487"/>
    </i>
    <i>
      <x v="155"/>
    </i>
    <i>
      <x v="324"/>
    </i>
    <i>
      <x v="542"/>
    </i>
    <i>
      <x v="390"/>
    </i>
    <i>
      <x v="606"/>
    </i>
    <i>
      <x v="173"/>
    </i>
    <i>
      <x v="650"/>
    </i>
    <i>
      <x v="638"/>
    </i>
    <i>
      <x v="492"/>
    </i>
    <i>
      <x v="394"/>
    </i>
    <i>
      <x v="385"/>
    </i>
    <i>
      <x v="6"/>
    </i>
    <i>
      <x v="50"/>
    </i>
    <i>
      <x v="29"/>
    </i>
    <i>
      <x v="142"/>
    </i>
    <i>
      <x v="224"/>
    </i>
    <i>
      <x v="297"/>
    </i>
    <i>
      <x v="20"/>
    </i>
    <i>
      <x v="217"/>
    </i>
    <i>
      <x v="225"/>
    </i>
    <i>
      <x v="428"/>
    </i>
    <i>
      <x v="425"/>
    </i>
    <i>
      <x v="664"/>
    </i>
    <i>
      <x v="3"/>
    </i>
    <i>
      <x v="334"/>
    </i>
    <i>
      <x v="238"/>
    </i>
    <i>
      <x v="150"/>
    </i>
    <i>
      <x v="401"/>
    </i>
    <i>
      <x v="457"/>
    </i>
    <i>
      <x v="671"/>
    </i>
    <i>
      <x v="104"/>
    </i>
    <i>
      <x v="631"/>
    </i>
    <i>
      <x v="561"/>
    </i>
    <i>
      <x v="377"/>
    </i>
    <i>
      <x v="683"/>
    </i>
    <i>
      <x v="563"/>
    </i>
    <i>
      <x v="194"/>
    </i>
    <i>
      <x v="88"/>
    </i>
    <i>
      <x v="219"/>
    </i>
    <i>
      <x v="184"/>
    </i>
    <i>
      <x v="99"/>
    </i>
    <i>
      <x v="503"/>
    </i>
    <i>
      <x v="491"/>
    </i>
    <i>
      <x v="504"/>
    </i>
    <i>
      <x v="525"/>
    </i>
    <i>
      <x v="472"/>
    </i>
    <i>
      <x v="590"/>
    </i>
    <i>
      <x v="138"/>
    </i>
    <i>
      <x v="250"/>
    </i>
    <i>
      <x v="398"/>
    </i>
    <i>
      <x v="596"/>
    </i>
    <i>
      <x v="247"/>
    </i>
    <i>
      <x v="559"/>
    </i>
    <i>
      <x v="25"/>
    </i>
    <i>
      <x v="729"/>
    </i>
    <i>
      <x v="411"/>
    </i>
    <i>
      <x v="429"/>
    </i>
    <i>
      <x v="165"/>
    </i>
    <i>
      <x v="179"/>
    </i>
    <i>
      <x v="49"/>
    </i>
    <i>
      <x v="12"/>
    </i>
    <i>
      <x v="196"/>
    </i>
    <i>
      <x v="674"/>
    </i>
    <i>
      <x v="544"/>
    </i>
    <i>
      <x v="579"/>
    </i>
    <i>
      <x v="688"/>
    </i>
    <i>
      <x v="500"/>
    </i>
    <i>
      <x v="535"/>
    </i>
    <i>
      <x v="576"/>
    </i>
    <i>
      <x v="548"/>
    </i>
    <i>
      <x v="176"/>
    </i>
    <i>
      <x v="110"/>
    </i>
    <i>
      <x v="355"/>
    </i>
    <i>
      <x v="178"/>
    </i>
    <i>
      <x v="581"/>
    </i>
    <i>
      <x v="1"/>
    </i>
    <i>
      <x v="699"/>
    </i>
    <i>
      <x v="148"/>
    </i>
    <i>
      <x v="305"/>
    </i>
    <i>
      <x v="154"/>
    </i>
    <i>
      <x v="308"/>
    </i>
    <i>
      <x v="304"/>
    </i>
    <i>
      <x v="158"/>
    </i>
    <i>
      <x v="221"/>
    </i>
    <i>
      <x v="96"/>
    </i>
    <i>
      <x v="584"/>
    </i>
    <i>
      <x v="177"/>
    </i>
    <i>
      <x v="108"/>
    </i>
    <i>
      <x v="628"/>
    </i>
    <i>
      <x v="738"/>
    </i>
    <i>
      <x v="701"/>
    </i>
    <i>
      <x v="241"/>
    </i>
    <i>
      <x v="45"/>
    </i>
    <i>
      <x v="357"/>
    </i>
    <i>
      <x v="372"/>
    </i>
    <i>
      <x v="717"/>
    </i>
    <i>
      <x v="477"/>
    </i>
    <i>
      <x v="70"/>
    </i>
    <i>
      <x v="79"/>
    </i>
    <i>
      <x v="135"/>
    </i>
    <i>
      <x v="404"/>
    </i>
    <i>
      <x v="603"/>
    </i>
    <i>
      <x v="349"/>
    </i>
    <i>
      <x v="619"/>
    </i>
    <i>
      <x v="350"/>
    </i>
    <i>
      <x v="313"/>
    </i>
    <i>
      <x v="645"/>
    </i>
    <i>
      <x v="384"/>
    </i>
    <i>
      <x v="532"/>
    </i>
    <i>
      <x v="564"/>
    </i>
    <i>
      <x v="598"/>
    </i>
    <i>
      <x v="678"/>
    </i>
    <i>
      <x v="493"/>
    </i>
    <i>
      <x v="483"/>
    </i>
    <i>
      <x v="692"/>
    </i>
    <i>
      <x v="107"/>
    </i>
    <i>
      <x/>
    </i>
    <i>
      <x v="36"/>
    </i>
    <i>
      <x v="35"/>
    </i>
    <i>
      <x v="90"/>
    </i>
    <i>
      <x v="277"/>
    </i>
    <i>
      <x v="112"/>
    </i>
    <i>
      <x v="427"/>
    </i>
    <i>
      <x v="433"/>
    </i>
    <i>
      <x v="396"/>
    </i>
    <i>
      <x v="519"/>
    </i>
    <i>
      <x v="547"/>
    </i>
    <i>
      <x v="358"/>
    </i>
    <i>
      <x v="147"/>
    </i>
    <i>
      <x v="251"/>
    </i>
    <i>
      <x v="383"/>
    </i>
    <i>
      <x v="399"/>
    </i>
    <i>
      <x v="48"/>
    </i>
    <i>
      <x v="283"/>
    </i>
    <i>
      <x v="486"/>
    </i>
    <i>
      <x v="191"/>
    </i>
    <i>
      <x v="26"/>
    </i>
    <i>
      <x v="215"/>
    </i>
    <i t="grand">
      <x/>
    </i>
  </rowItems>
  <colItems count="1">
    <i/>
  </colItems>
  <dataFields count="1">
    <dataField name="Sum of Revenue" fld="15" baseField="2" baseItem="706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EA714-2F05-4E60-A750-0CD6E780E4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24" firstHeaderRow="1" firstDataRow="1" firstDataCol="1"/>
  <pivotFields count="16"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 sortType="descending">
      <items count="23">
        <item x="15"/>
        <item x="5"/>
        <item x="12"/>
        <item x="10"/>
        <item x="8"/>
        <item x="1"/>
        <item x="21"/>
        <item x="3"/>
        <item x="2"/>
        <item x="16"/>
        <item x="6"/>
        <item x="14"/>
        <item x="9"/>
        <item x="13"/>
        <item x="7"/>
        <item x="4"/>
        <item x="19"/>
        <item x="18"/>
        <item x="17"/>
        <item x="0"/>
        <item x="2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4"/>
  </rowFields>
  <rowItems count="23">
    <i>
      <x v="19"/>
    </i>
    <i>
      <x v="5"/>
    </i>
    <i>
      <x v="4"/>
    </i>
    <i>
      <x v="12"/>
    </i>
    <i>
      <x v="7"/>
    </i>
    <i>
      <x v="8"/>
    </i>
    <i>
      <x v="13"/>
    </i>
    <i>
      <x v="17"/>
    </i>
    <i>
      <x v="11"/>
    </i>
    <i>
      <x v="2"/>
    </i>
    <i>
      <x v="1"/>
    </i>
    <i>
      <x v="9"/>
    </i>
    <i>
      <x v="18"/>
    </i>
    <i>
      <x v="16"/>
    </i>
    <i>
      <x v="10"/>
    </i>
    <i>
      <x v="3"/>
    </i>
    <i>
      <x v="14"/>
    </i>
    <i>
      <x v="15"/>
    </i>
    <i>
      <x v="6"/>
    </i>
    <i>
      <x/>
    </i>
    <i>
      <x v="21"/>
    </i>
    <i>
      <x v="20"/>
    </i>
    <i t="grand">
      <x/>
    </i>
  </rowItems>
  <colItems count="1">
    <i/>
  </colItems>
  <dataFields count="1">
    <dataField name="Sum of Revenue" fld="15" baseField="14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43F8-10D9-46F5-9311-D0D2831D9541}">
  <dimension ref="A1:H1021"/>
  <sheetViews>
    <sheetView topLeftCell="A35" workbookViewId="0">
      <selection activeCell="E35" sqref="E1:E1048576"/>
    </sheetView>
  </sheetViews>
  <sheetFormatPr defaultRowHeight="15" x14ac:dyDescent="0.25"/>
  <cols>
    <col min="1" max="1" width="8.140625" bestFit="1" customWidth="1"/>
    <col min="2" max="2" width="10.85546875" bestFit="1" customWidth="1"/>
    <col min="3" max="3" width="41.7109375" bestFit="1" customWidth="1"/>
    <col min="4" max="4" width="8.7109375" bestFit="1" customWidth="1"/>
    <col min="5" max="5" width="18.28515625" bestFit="1" customWidth="1"/>
    <col min="6" max="6" width="6" bestFit="1" customWidth="1"/>
    <col min="7" max="7" width="12.42578125" bestFit="1" customWidth="1"/>
    <col min="8" max="8" width="1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503181</v>
      </c>
      <c r="B2" s="2">
        <v>84792</v>
      </c>
      <c r="C2" s="2" t="s">
        <v>8</v>
      </c>
      <c r="D2" s="2">
        <v>4</v>
      </c>
      <c r="E2" s="3">
        <v>40267.599305555559</v>
      </c>
      <c r="F2" s="2">
        <v>4.6500000000000004</v>
      </c>
      <c r="H2" s="2" t="s">
        <v>9</v>
      </c>
    </row>
    <row r="3" spans="1:8" x14ac:dyDescent="0.25">
      <c r="A3" s="2">
        <v>528386</v>
      </c>
      <c r="B3" s="2">
        <v>22318</v>
      </c>
      <c r="C3" s="2" t="s">
        <v>10</v>
      </c>
      <c r="D3" s="2">
        <v>6</v>
      </c>
      <c r="E3" s="3">
        <v>40472.772222222222</v>
      </c>
      <c r="F3" s="2">
        <v>2.95</v>
      </c>
      <c r="G3" s="2">
        <v>14911</v>
      </c>
      <c r="H3" s="2" t="s">
        <v>11</v>
      </c>
    </row>
    <row r="4" spans="1:8" x14ac:dyDescent="0.25">
      <c r="A4" s="2">
        <v>498594</v>
      </c>
      <c r="B4" s="2">
        <v>21173</v>
      </c>
      <c r="C4" s="2" t="s">
        <v>12</v>
      </c>
      <c r="D4" s="2">
        <v>1</v>
      </c>
      <c r="E4" s="3">
        <v>40230.658333333333</v>
      </c>
      <c r="F4" s="2">
        <v>1.65</v>
      </c>
      <c r="G4" s="2">
        <v>16797</v>
      </c>
      <c r="H4" s="2" t="s">
        <v>9</v>
      </c>
    </row>
    <row r="5" spans="1:8" x14ac:dyDescent="0.25">
      <c r="A5" s="2">
        <v>503245</v>
      </c>
      <c r="B5" s="2" t="s">
        <v>13</v>
      </c>
      <c r="C5" s="2" t="s">
        <v>14</v>
      </c>
      <c r="D5" s="2">
        <v>2</v>
      </c>
      <c r="E5" s="3">
        <v>40268.411111111112</v>
      </c>
      <c r="F5" s="2">
        <v>7.95</v>
      </c>
      <c r="G5" s="2">
        <v>15216</v>
      </c>
      <c r="H5" s="2" t="s">
        <v>9</v>
      </c>
    </row>
    <row r="6" spans="1:8" x14ac:dyDescent="0.25">
      <c r="A6" s="2">
        <v>505756</v>
      </c>
      <c r="B6" s="2">
        <v>84836</v>
      </c>
      <c r="C6" s="2" t="s">
        <v>15</v>
      </c>
      <c r="D6" s="2">
        <v>12</v>
      </c>
      <c r="E6" s="3">
        <v>40294.408333333333</v>
      </c>
      <c r="F6" s="2">
        <v>1.25</v>
      </c>
      <c r="G6" s="2">
        <v>14677</v>
      </c>
      <c r="H6" s="2" t="s">
        <v>9</v>
      </c>
    </row>
    <row r="7" spans="1:8" x14ac:dyDescent="0.25">
      <c r="A7" s="2">
        <v>496975</v>
      </c>
      <c r="B7" s="2">
        <v>21559</v>
      </c>
      <c r="C7" s="2" t="s">
        <v>16</v>
      </c>
      <c r="D7" s="2">
        <v>6</v>
      </c>
      <c r="E7" s="3">
        <v>40214.384722222218</v>
      </c>
      <c r="F7" s="2">
        <v>2.5499999999999998</v>
      </c>
      <c r="G7" s="2">
        <v>12712</v>
      </c>
      <c r="H7" s="2" t="s">
        <v>17</v>
      </c>
    </row>
    <row r="8" spans="1:8" x14ac:dyDescent="0.25">
      <c r="A8" s="2">
        <v>491584</v>
      </c>
      <c r="B8" s="2">
        <v>85107</v>
      </c>
      <c r="C8" s="2" t="s">
        <v>18</v>
      </c>
      <c r="D8" s="2">
        <v>12</v>
      </c>
      <c r="E8" s="3">
        <v>40158.538194444453</v>
      </c>
      <c r="F8" s="2">
        <v>2.5499999999999998</v>
      </c>
      <c r="G8" s="2">
        <v>12854</v>
      </c>
      <c r="H8" s="2" t="s">
        <v>9</v>
      </c>
    </row>
    <row r="9" spans="1:8" x14ac:dyDescent="0.25">
      <c r="A9" s="2">
        <v>516478</v>
      </c>
      <c r="B9" s="2">
        <v>22575</v>
      </c>
      <c r="C9" s="2" t="s">
        <v>19</v>
      </c>
      <c r="D9" s="2">
        <v>1</v>
      </c>
      <c r="E9" s="3">
        <v>40379.722222222219</v>
      </c>
      <c r="F9" s="2">
        <v>1.95</v>
      </c>
      <c r="G9" s="2">
        <v>17576</v>
      </c>
      <c r="H9" s="2" t="s">
        <v>9</v>
      </c>
    </row>
    <row r="10" spans="1:8" x14ac:dyDescent="0.25">
      <c r="A10" s="2">
        <v>502588</v>
      </c>
      <c r="B10" s="2">
        <v>22083</v>
      </c>
      <c r="C10" s="2" t="s">
        <v>20</v>
      </c>
      <c r="D10" s="2">
        <v>2</v>
      </c>
      <c r="E10" s="3">
        <v>40262.529861111107</v>
      </c>
      <c r="F10" s="2">
        <v>2.95</v>
      </c>
      <c r="G10" s="2">
        <v>16550</v>
      </c>
      <c r="H10" s="2" t="s">
        <v>9</v>
      </c>
    </row>
    <row r="11" spans="1:8" x14ac:dyDescent="0.25">
      <c r="A11" s="2">
        <v>515335</v>
      </c>
      <c r="B11" s="2" t="s">
        <v>21</v>
      </c>
      <c r="C11" s="2" t="s">
        <v>22</v>
      </c>
      <c r="D11" s="2">
        <v>1</v>
      </c>
      <c r="E11" s="3">
        <v>40370.59652777778</v>
      </c>
      <c r="F11" s="2">
        <v>5.95</v>
      </c>
      <c r="G11" s="2">
        <v>14606</v>
      </c>
      <c r="H11" s="2" t="s">
        <v>9</v>
      </c>
    </row>
    <row r="12" spans="1:8" x14ac:dyDescent="0.25">
      <c r="A12" s="2">
        <v>525065</v>
      </c>
      <c r="B12" s="2">
        <v>21156</v>
      </c>
      <c r="C12" s="2" t="s">
        <v>23</v>
      </c>
      <c r="D12" s="2">
        <v>1</v>
      </c>
      <c r="E12" s="3">
        <v>40454.602777777778</v>
      </c>
      <c r="F12" s="2">
        <v>1.95</v>
      </c>
      <c r="G12" s="2">
        <v>16799</v>
      </c>
      <c r="H12" s="2" t="s">
        <v>9</v>
      </c>
    </row>
    <row r="13" spans="1:8" x14ac:dyDescent="0.25">
      <c r="A13" s="2">
        <v>535349</v>
      </c>
      <c r="B13" s="2">
        <v>84946</v>
      </c>
      <c r="C13" s="2" t="s">
        <v>24</v>
      </c>
      <c r="D13" s="2">
        <v>24</v>
      </c>
      <c r="E13" s="3">
        <v>40507.702777777777</v>
      </c>
      <c r="F13" s="2">
        <v>1.25</v>
      </c>
      <c r="G13" s="2">
        <v>18245</v>
      </c>
      <c r="H13" s="2" t="s">
        <v>9</v>
      </c>
    </row>
    <row r="14" spans="1:8" x14ac:dyDescent="0.25">
      <c r="A14" s="2">
        <v>521949</v>
      </c>
      <c r="B14" s="2">
        <v>82484</v>
      </c>
      <c r="C14" s="2" t="s">
        <v>25</v>
      </c>
      <c r="D14" s="2">
        <v>3</v>
      </c>
      <c r="E14" s="3">
        <v>40430.719444444447</v>
      </c>
      <c r="F14" s="2">
        <v>6.45</v>
      </c>
      <c r="G14" s="2">
        <v>15150</v>
      </c>
      <c r="H14" s="2" t="s">
        <v>9</v>
      </c>
    </row>
    <row r="15" spans="1:8" x14ac:dyDescent="0.25">
      <c r="A15" s="2">
        <v>514876</v>
      </c>
      <c r="B15" s="2">
        <v>22519</v>
      </c>
      <c r="C15" s="2" t="s">
        <v>26</v>
      </c>
      <c r="D15" s="2">
        <v>36</v>
      </c>
      <c r="E15" s="3">
        <v>40366.439583333333</v>
      </c>
      <c r="F15" s="2">
        <v>1.85</v>
      </c>
      <c r="G15" s="2">
        <v>17511</v>
      </c>
      <c r="H15" s="2" t="s">
        <v>9</v>
      </c>
    </row>
    <row r="16" spans="1:8" x14ac:dyDescent="0.25">
      <c r="A16" s="2">
        <v>521162</v>
      </c>
      <c r="B16" s="2">
        <v>22561</v>
      </c>
      <c r="C16" s="2" t="s">
        <v>27</v>
      </c>
      <c r="D16" s="2">
        <v>12</v>
      </c>
      <c r="E16" s="3">
        <v>40423.598611111112</v>
      </c>
      <c r="F16" s="2">
        <v>1.65</v>
      </c>
      <c r="G16" s="2">
        <v>12598</v>
      </c>
      <c r="H16" s="2" t="s">
        <v>28</v>
      </c>
    </row>
    <row r="17" spans="1:8" x14ac:dyDescent="0.25">
      <c r="A17" s="2">
        <v>506572</v>
      </c>
      <c r="B17" s="2">
        <v>20798</v>
      </c>
      <c r="C17" s="2" t="s">
        <v>29</v>
      </c>
      <c r="D17" s="2">
        <v>4</v>
      </c>
      <c r="E17" s="3">
        <v>40298.548611111109</v>
      </c>
      <c r="F17" s="2">
        <v>2.1</v>
      </c>
      <c r="G17" s="2">
        <v>16374</v>
      </c>
      <c r="H17" s="2" t="s">
        <v>9</v>
      </c>
    </row>
    <row r="18" spans="1:8" x14ac:dyDescent="0.25">
      <c r="A18" s="2">
        <v>505974</v>
      </c>
      <c r="B18" s="2">
        <v>48188</v>
      </c>
      <c r="C18" s="2" t="s">
        <v>30</v>
      </c>
      <c r="D18" s="2">
        <v>1</v>
      </c>
      <c r="E18" s="3">
        <v>40294.754166666673</v>
      </c>
      <c r="F18" s="2">
        <v>7.49</v>
      </c>
      <c r="G18" s="2">
        <v>17449</v>
      </c>
      <c r="H18" s="2" t="s">
        <v>9</v>
      </c>
    </row>
    <row r="19" spans="1:8" x14ac:dyDescent="0.25">
      <c r="A19" s="2">
        <v>491622</v>
      </c>
      <c r="B19" s="2">
        <v>10125</v>
      </c>
      <c r="C19" s="2" t="s">
        <v>31</v>
      </c>
      <c r="D19" s="2">
        <v>1</v>
      </c>
      <c r="E19" s="3">
        <v>40158.597222222219</v>
      </c>
      <c r="F19" s="2">
        <v>0.85</v>
      </c>
      <c r="G19" s="2">
        <v>13415</v>
      </c>
      <c r="H19" s="2" t="s">
        <v>32</v>
      </c>
    </row>
    <row r="20" spans="1:8" x14ac:dyDescent="0.25">
      <c r="A20" s="2">
        <v>509982</v>
      </c>
      <c r="B20" s="2">
        <v>21696</v>
      </c>
      <c r="C20" s="2" t="s">
        <v>33</v>
      </c>
      <c r="D20" s="2">
        <v>6</v>
      </c>
      <c r="E20" s="3">
        <v>40324.602777777778</v>
      </c>
      <c r="F20" s="2">
        <v>2.95</v>
      </c>
      <c r="G20" s="2">
        <v>12924</v>
      </c>
      <c r="H20" s="2" t="s">
        <v>9</v>
      </c>
    </row>
    <row r="21" spans="1:8" x14ac:dyDescent="0.25">
      <c r="A21" s="2">
        <v>524611</v>
      </c>
      <c r="B21" s="2" t="s">
        <v>34</v>
      </c>
      <c r="C21" s="2" t="s">
        <v>35</v>
      </c>
      <c r="D21" s="2">
        <v>6</v>
      </c>
      <c r="E21" s="3">
        <v>40451.400694444441</v>
      </c>
      <c r="F21" s="2">
        <v>1.65</v>
      </c>
      <c r="G21" s="2">
        <v>13078</v>
      </c>
      <c r="H21" s="2" t="s">
        <v>9</v>
      </c>
    </row>
    <row r="22" spans="1:8" x14ac:dyDescent="0.25">
      <c r="A22" s="2">
        <v>501906</v>
      </c>
      <c r="B22" s="2">
        <v>22413</v>
      </c>
      <c r="C22" s="2" t="s">
        <v>36</v>
      </c>
      <c r="D22" s="2">
        <v>12</v>
      </c>
      <c r="E22" s="3">
        <v>40258.668055555558</v>
      </c>
      <c r="F22" s="2">
        <v>2.95</v>
      </c>
      <c r="G22" s="2">
        <v>17340</v>
      </c>
      <c r="H22" s="2" t="s">
        <v>9</v>
      </c>
    </row>
    <row r="23" spans="1:8" x14ac:dyDescent="0.25">
      <c r="A23" s="2">
        <v>505708</v>
      </c>
      <c r="B23" s="2">
        <v>20979</v>
      </c>
      <c r="C23" s="2" t="s">
        <v>37</v>
      </c>
      <c r="D23" s="2">
        <v>1</v>
      </c>
      <c r="E23" s="3">
        <v>40293.510416666657</v>
      </c>
      <c r="F23" s="2">
        <v>1.25</v>
      </c>
      <c r="G23" s="2">
        <v>13782</v>
      </c>
      <c r="H23" s="2" t="s">
        <v>9</v>
      </c>
    </row>
    <row r="24" spans="1:8" x14ac:dyDescent="0.25">
      <c r="A24" s="2">
        <v>497935</v>
      </c>
      <c r="B24" s="2" t="s">
        <v>38</v>
      </c>
      <c r="C24" s="2" t="s">
        <v>39</v>
      </c>
      <c r="D24" s="2">
        <v>24</v>
      </c>
      <c r="E24" s="3">
        <v>40224.449305555558</v>
      </c>
      <c r="F24" s="2">
        <v>5.45</v>
      </c>
      <c r="G24" s="2">
        <v>13408</v>
      </c>
      <c r="H24" s="2" t="s">
        <v>9</v>
      </c>
    </row>
    <row r="25" spans="1:8" x14ac:dyDescent="0.25">
      <c r="A25" s="2">
        <v>502792</v>
      </c>
      <c r="B25" s="2" t="s">
        <v>40</v>
      </c>
      <c r="C25" s="2" t="s">
        <v>41</v>
      </c>
      <c r="D25" s="2">
        <v>6</v>
      </c>
      <c r="E25" s="3">
        <v>40263.630555555559</v>
      </c>
      <c r="F25" s="2">
        <v>2.95</v>
      </c>
      <c r="G25" s="2">
        <v>14253</v>
      </c>
      <c r="H25" s="2" t="s">
        <v>9</v>
      </c>
    </row>
    <row r="26" spans="1:8" x14ac:dyDescent="0.25">
      <c r="A26" s="2">
        <v>521403</v>
      </c>
      <c r="B26" s="2">
        <v>21179</v>
      </c>
      <c r="D26" s="2">
        <v>12</v>
      </c>
      <c r="E26" s="3">
        <v>40427.429861111108</v>
      </c>
      <c r="F26" s="2" t="s">
        <v>42</v>
      </c>
      <c r="G26" s="2">
        <v>12744</v>
      </c>
      <c r="H26" s="2" t="s">
        <v>43</v>
      </c>
    </row>
    <row r="27" spans="1:8" x14ac:dyDescent="0.25">
      <c r="A27" s="2" t="s">
        <v>44</v>
      </c>
      <c r="B27" s="2" t="s">
        <v>45</v>
      </c>
      <c r="C27" s="2" t="s">
        <v>46</v>
      </c>
      <c r="D27" s="2">
        <v>1</v>
      </c>
      <c r="E27" s="3">
        <v>40438.53125</v>
      </c>
      <c r="F27" s="2">
        <v>2.12</v>
      </c>
      <c r="G27" s="2">
        <v>17765</v>
      </c>
      <c r="H27" s="2" t="s">
        <v>9</v>
      </c>
    </row>
    <row r="28" spans="1:8" x14ac:dyDescent="0.25">
      <c r="A28" s="2">
        <v>537810</v>
      </c>
      <c r="B28" s="2">
        <v>22415</v>
      </c>
      <c r="C28" s="2" t="s">
        <v>47</v>
      </c>
      <c r="D28" s="2">
        <v>3</v>
      </c>
      <c r="E28" s="2" t="s">
        <v>48</v>
      </c>
      <c r="F28" s="2">
        <v>7.95</v>
      </c>
      <c r="G28" s="2">
        <v>15032</v>
      </c>
      <c r="H28" s="2" t="s">
        <v>9</v>
      </c>
    </row>
    <row r="29" spans="1:8" x14ac:dyDescent="0.25">
      <c r="A29" s="2">
        <v>520505</v>
      </c>
      <c r="B29" s="2">
        <v>21258</v>
      </c>
      <c r="C29" s="2" t="s">
        <v>49</v>
      </c>
      <c r="D29" s="2">
        <v>1</v>
      </c>
      <c r="E29" s="3">
        <v>40416.535416666673</v>
      </c>
      <c r="F29" s="2">
        <v>12.75</v>
      </c>
      <c r="G29" s="2">
        <v>17663</v>
      </c>
      <c r="H29" s="2" t="s">
        <v>9</v>
      </c>
    </row>
    <row r="30" spans="1:8" x14ac:dyDescent="0.25">
      <c r="A30" s="2" t="s">
        <v>50</v>
      </c>
      <c r="B30" s="2">
        <v>21122</v>
      </c>
      <c r="C30" s="2" t="s">
        <v>51</v>
      </c>
      <c r="D30" s="2">
        <v>24</v>
      </c>
      <c r="E30" s="3">
        <v>40497.718055555553</v>
      </c>
      <c r="F30" s="2">
        <v>1.25</v>
      </c>
      <c r="G30" s="2">
        <v>17284</v>
      </c>
      <c r="H30" s="2" t="s">
        <v>9</v>
      </c>
    </row>
    <row r="31" spans="1:8" x14ac:dyDescent="0.25">
      <c r="A31" s="2">
        <v>523971</v>
      </c>
      <c r="B31" s="2">
        <v>21009</v>
      </c>
      <c r="C31" s="2" t="s">
        <v>52</v>
      </c>
      <c r="D31" s="2">
        <v>6</v>
      </c>
      <c r="E31" s="3">
        <v>40447.578472222223</v>
      </c>
      <c r="F31" s="2">
        <v>1.25</v>
      </c>
      <c r="G31" s="2">
        <v>15967</v>
      </c>
      <c r="H31" s="2" t="s">
        <v>9</v>
      </c>
    </row>
    <row r="32" spans="1:8" x14ac:dyDescent="0.25">
      <c r="A32" s="2">
        <v>499625</v>
      </c>
      <c r="B32" s="2" t="s">
        <v>53</v>
      </c>
      <c r="C32" s="2" t="s">
        <v>54</v>
      </c>
      <c r="D32" s="2">
        <v>2</v>
      </c>
      <c r="E32" s="3">
        <v>40238.551388888889</v>
      </c>
      <c r="F32" s="2">
        <v>5.95</v>
      </c>
      <c r="G32" s="2">
        <v>17965</v>
      </c>
      <c r="H32" s="2" t="s">
        <v>9</v>
      </c>
    </row>
    <row r="33" spans="1:8" x14ac:dyDescent="0.25">
      <c r="A33" s="2">
        <v>500147</v>
      </c>
      <c r="B33" s="2">
        <v>47566</v>
      </c>
      <c r="C33" s="2" t="s">
        <v>55</v>
      </c>
      <c r="D33" s="2">
        <v>8</v>
      </c>
      <c r="E33" s="3">
        <v>40241.723611111112</v>
      </c>
      <c r="F33" s="2">
        <v>4.6500000000000004</v>
      </c>
      <c r="G33" s="2">
        <v>15812</v>
      </c>
      <c r="H33" s="2" t="s">
        <v>9</v>
      </c>
    </row>
    <row r="34" spans="1:8" x14ac:dyDescent="0.25">
      <c r="A34" s="2">
        <v>537421</v>
      </c>
      <c r="B34" s="2">
        <v>22569</v>
      </c>
      <c r="C34" s="2" t="s">
        <v>56</v>
      </c>
      <c r="D34" s="2">
        <v>2</v>
      </c>
      <c r="E34" s="3">
        <v>40518.642361111109</v>
      </c>
      <c r="F34" s="2">
        <v>3.75</v>
      </c>
      <c r="G34" s="2">
        <v>17218</v>
      </c>
      <c r="H34" s="2" t="s">
        <v>57</v>
      </c>
    </row>
    <row r="35" spans="1:8" x14ac:dyDescent="0.25">
      <c r="A35" s="2">
        <v>534526</v>
      </c>
      <c r="B35" s="2">
        <v>21930</v>
      </c>
      <c r="C35" s="2" t="s">
        <v>58</v>
      </c>
      <c r="D35" s="2" t="s">
        <v>59</v>
      </c>
      <c r="E35" s="3">
        <v>40505.50277777778</v>
      </c>
      <c r="F35" s="2">
        <v>1.95</v>
      </c>
      <c r="G35" s="2">
        <v>15384</v>
      </c>
      <c r="H35" s="2" t="s">
        <v>9</v>
      </c>
    </row>
    <row r="36" spans="1:8" x14ac:dyDescent="0.25">
      <c r="A36" s="2">
        <v>503164</v>
      </c>
      <c r="B36" s="2">
        <v>22556</v>
      </c>
      <c r="C36" s="2" t="s">
        <v>60</v>
      </c>
      <c r="D36" s="2">
        <v>1</v>
      </c>
      <c r="E36" s="3">
        <v>40267.552083333343</v>
      </c>
      <c r="F36" s="2">
        <v>1.65</v>
      </c>
      <c r="G36" s="2">
        <v>17464</v>
      </c>
      <c r="H36" s="2" t="s">
        <v>9</v>
      </c>
    </row>
    <row r="37" spans="1:8" x14ac:dyDescent="0.25">
      <c r="A37" s="2">
        <v>528618</v>
      </c>
      <c r="B37" s="2">
        <v>21499</v>
      </c>
      <c r="C37" s="2" t="s">
        <v>61</v>
      </c>
      <c r="D37" s="2">
        <v>25</v>
      </c>
      <c r="E37" s="3">
        <v>40473.713194444441</v>
      </c>
      <c r="F37" s="2">
        <v>0.42</v>
      </c>
      <c r="G37" s="2">
        <v>13263</v>
      </c>
      <c r="H37" s="2" t="s">
        <v>9</v>
      </c>
    </row>
    <row r="38" spans="1:8" x14ac:dyDescent="0.25">
      <c r="A38" s="2">
        <v>505015</v>
      </c>
      <c r="B38" s="2">
        <v>22196</v>
      </c>
      <c r="C38" s="2" t="s">
        <v>62</v>
      </c>
      <c r="D38" s="2">
        <v>12</v>
      </c>
      <c r="E38" s="3">
        <v>40287.5625</v>
      </c>
      <c r="F38" s="2">
        <v>0.85</v>
      </c>
      <c r="G38" s="2">
        <v>14156</v>
      </c>
      <c r="H38" s="2" t="s">
        <v>11</v>
      </c>
    </row>
    <row r="39" spans="1:8" x14ac:dyDescent="0.25">
      <c r="A39" s="2">
        <v>497272</v>
      </c>
      <c r="B39" s="2" t="s">
        <v>63</v>
      </c>
      <c r="C39" s="2" t="s">
        <v>64</v>
      </c>
      <c r="D39" s="2">
        <v>10</v>
      </c>
      <c r="E39" s="3">
        <v>40217.576388888891</v>
      </c>
      <c r="F39" s="2">
        <v>1.25</v>
      </c>
      <c r="G39" s="2">
        <v>17160</v>
      </c>
      <c r="H39" s="2" t="s">
        <v>9</v>
      </c>
    </row>
    <row r="40" spans="1:8" x14ac:dyDescent="0.25">
      <c r="A40" s="2">
        <v>518480</v>
      </c>
      <c r="B40" s="2">
        <v>21890</v>
      </c>
      <c r="C40" s="2" t="s">
        <v>65</v>
      </c>
      <c r="D40" s="2">
        <v>2</v>
      </c>
      <c r="E40" s="3">
        <v>40399.51458333333</v>
      </c>
      <c r="F40" s="2">
        <v>2.95</v>
      </c>
      <c r="G40" s="2">
        <v>16470</v>
      </c>
      <c r="H40" s="2" t="s">
        <v>9</v>
      </c>
    </row>
    <row r="41" spans="1:8" x14ac:dyDescent="0.25">
      <c r="A41" s="2">
        <v>508593</v>
      </c>
      <c r="B41" s="2">
        <v>21900</v>
      </c>
      <c r="C41" s="2" t="s">
        <v>66</v>
      </c>
      <c r="D41" s="2">
        <v>24</v>
      </c>
      <c r="E41" s="3">
        <v>40315.504166666673</v>
      </c>
      <c r="F41" s="2">
        <v>0.65</v>
      </c>
      <c r="G41" s="2">
        <v>13488</v>
      </c>
      <c r="H41" s="2" t="s">
        <v>9</v>
      </c>
    </row>
    <row r="42" spans="1:8" x14ac:dyDescent="0.25">
      <c r="A42" s="2">
        <v>505615</v>
      </c>
      <c r="B42" s="2">
        <v>20712</v>
      </c>
      <c r="C42" s="2" t="s">
        <v>67</v>
      </c>
      <c r="D42" s="2">
        <v>10</v>
      </c>
      <c r="E42" s="3">
        <v>40291.53402777778</v>
      </c>
      <c r="F42" s="2" t="s">
        <v>68</v>
      </c>
      <c r="G42" s="2">
        <v>15288</v>
      </c>
      <c r="H42" s="2" t="s">
        <v>9</v>
      </c>
    </row>
    <row r="43" spans="1:8" x14ac:dyDescent="0.25">
      <c r="A43" s="2">
        <v>523314</v>
      </c>
      <c r="B43" s="2">
        <v>22551</v>
      </c>
      <c r="C43" s="2" t="s">
        <v>69</v>
      </c>
      <c r="D43" s="2">
        <v>1</v>
      </c>
      <c r="E43" s="3">
        <v>40442.558333333327</v>
      </c>
      <c r="F43" s="2">
        <v>1.65</v>
      </c>
      <c r="H43" s="2" t="s">
        <v>9</v>
      </c>
    </row>
    <row r="44" spans="1:8" x14ac:dyDescent="0.25">
      <c r="A44" s="2">
        <v>530538</v>
      </c>
      <c r="B44" s="2">
        <v>21563</v>
      </c>
      <c r="C44" s="2" t="s">
        <v>70</v>
      </c>
      <c r="D44" s="2">
        <v>2</v>
      </c>
      <c r="E44" s="3">
        <v>40485.538194444453</v>
      </c>
      <c r="F44" s="2">
        <v>2.95</v>
      </c>
      <c r="G44" s="2">
        <v>14606</v>
      </c>
      <c r="H44" s="2" t="s">
        <v>9</v>
      </c>
    </row>
    <row r="45" spans="1:8" x14ac:dyDescent="0.25">
      <c r="A45" s="2">
        <v>493706</v>
      </c>
      <c r="B45" s="2">
        <v>84832</v>
      </c>
      <c r="C45" s="2" t="s">
        <v>71</v>
      </c>
      <c r="D45" s="2">
        <v>14</v>
      </c>
      <c r="E45" s="3">
        <v>40183.605555555558</v>
      </c>
      <c r="F45" s="2">
        <v>0.85</v>
      </c>
      <c r="G45" s="2">
        <v>15768</v>
      </c>
      <c r="H45" s="2" t="s">
        <v>9</v>
      </c>
    </row>
    <row r="46" spans="1:8" x14ac:dyDescent="0.25">
      <c r="A46" s="2">
        <v>490823</v>
      </c>
      <c r="B46" s="2">
        <v>21847</v>
      </c>
      <c r="C46" s="2" t="s">
        <v>72</v>
      </c>
      <c r="D46" s="2">
        <v>24</v>
      </c>
      <c r="E46" s="3">
        <v>40155.523611111108</v>
      </c>
      <c r="F46" s="2">
        <v>1.25</v>
      </c>
      <c r="G46" s="2">
        <v>14841</v>
      </c>
      <c r="H46" s="2" t="s">
        <v>9</v>
      </c>
    </row>
    <row r="47" spans="1:8" x14ac:dyDescent="0.25">
      <c r="A47" s="2">
        <v>506091</v>
      </c>
      <c r="B47" s="2">
        <v>21651</v>
      </c>
      <c r="C47" s="2" t="s">
        <v>73</v>
      </c>
      <c r="D47" s="2">
        <v>6</v>
      </c>
      <c r="E47" s="3">
        <v>40295.508333333331</v>
      </c>
      <c r="F47" s="2">
        <v>1.65</v>
      </c>
      <c r="G47" s="2">
        <v>15402</v>
      </c>
      <c r="H47" s="2" t="s">
        <v>9</v>
      </c>
    </row>
    <row r="48" spans="1:8" x14ac:dyDescent="0.25">
      <c r="A48" s="2">
        <v>494866</v>
      </c>
      <c r="B48" s="2">
        <v>22052</v>
      </c>
      <c r="C48" s="2" t="s">
        <v>74</v>
      </c>
      <c r="D48" s="2">
        <v>25</v>
      </c>
      <c r="E48" s="3">
        <v>40197.472222222219</v>
      </c>
      <c r="F48" s="2">
        <v>0.42</v>
      </c>
      <c r="G48" s="2">
        <v>16253</v>
      </c>
      <c r="H48" s="2" t="s">
        <v>9</v>
      </c>
    </row>
    <row r="49" spans="1:8" x14ac:dyDescent="0.25">
      <c r="A49" s="2">
        <v>498923</v>
      </c>
      <c r="B49" s="2">
        <v>84978</v>
      </c>
      <c r="C49" s="2" t="s">
        <v>75</v>
      </c>
      <c r="D49" s="2">
        <v>12</v>
      </c>
      <c r="E49" s="3">
        <v>40233.409722222219</v>
      </c>
      <c r="F49" s="2">
        <v>1.25</v>
      </c>
      <c r="G49" s="2">
        <v>17028</v>
      </c>
      <c r="H49" s="2" t="s">
        <v>9</v>
      </c>
    </row>
    <row r="50" spans="1:8" x14ac:dyDescent="0.25">
      <c r="A50" s="2">
        <v>516157</v>
      </c>
      <c r="B50" s="2">
        <v>21069</v>
      </c>
      <c r="D50" s="2">
        <v>1</v>
      </c>
      <c r="E50" s="3">
        <v>40377.492361111108</v>
      </c>
      <c r="F50" s="2">
        <v>1.25</v>
      </c>
      <c r="G50" s="2">
        <v>17261</v>
      </c>
      <c r="H50" s="2" t="s">
        <v>9</v>
      </c>
    </row>
    <row r="51" spans="1:8" x14ac:dyDescent="0.25">
      <c r="A51" s="2">
        <v>509100</v>
      </c>
      <c r="B51" s="2">
        <v>22511</v>
      </c>
      <c r="C51" s="2" t="s">
        <v>76</v>
      </c>
      <c r="D51" s="2">
        <v>1</v>
      </c>
      <c r="E51" s="3">
        <v>40318.492361111108</v>
      </c>
      <c r="F51" s="2">
        <v>3.75</v>
      </c>
      <c r="G51" s="2">
        <v>17841</v>
      </c>
      <c r="H51" s="2" t="s">
        <v>9</v>
      </c>
    </row>
    <row r="52" spans="1:8" x14ac:dyDescent="0.25">
      <c r="A52" s="2" t="s">
        <v>77</v>
      </c>
      <c r="B52" s="2">
        <v>20914</v>
      </c>
      <c r="C52" s="2" t="s">
        <v>78</v>
      </c>
      <c r="D52" s="2">
        <v>-1</v>
      </c>
      <c r="E52" s="3">
        <v>40338.443749999999</v>
      </c>
      <c r="F52" s="2">
        <v>2.95</v>
      </c>
      <c r="G52" s="2">
        <v>18231</v>
      </c>
      <c r="H52" s="2" t="s">
        <v>9</v>
      </c>
    </row>
    <row r="53" spans="1:8" x14ac:dyDescent="0.25">
      <c r="A53" s="2">
        <v>524746</v>
      </c>
      <c r="B53" s="2">
        <v>22752</v>
      </c>
      <c r="C53" s="2" t="s">
        <v>79</v>
      </c>
      <c r="D53" s="2">
        <v>4</v>
      </c>
      <c r="E53" s="3">
        <v>40451.611805555563</v>
      </c>
      <c r="F53" s="2">
        <v>8.5</v>
      </c>
      <c r="G53" s="2">
        <v>16859</v>
      </c>
      <c r="H53" s="2" t="s">
        <v>9</v>
      </c>
    </row>
    <row r="54" spans="1:8" x14ac:dyDescent="0.25">
      <c r="A54" s="2">
        <v>496821</v>
      </c>
      <c r="B54" s="2">
        <v>22236</v>
      </c>
      <c r="C54" s="2" t="s">
        <v>80</v>
      </c>
      <c r="D54" s="2">
        <v>2</v>
      </c>
      <c r="E54" s="3">
        <v>40213.442361111112</v>
      </c>
      <c r="F54" s="2">
        <v>12.75</v>
      </c>
      <c r="G54" s="2">
        <v>13875</v>
      </c>
      <c r="H54" s="2" t="s">
        <v>9</v>
      </c>
    </row>
    <row r="55" spans="1:8" x14ac:dyDescent="0.25">
      <c r="A55" s="2">
        <v>513964</v>
      </c>
      <c r="B55" s="2">
        <v>22380</v>
      </c>
      <c r="C55" s="2" t="s">
        <v>81</v>
      </c>
      <c r="D55" s="2">
        <v>20</v>
      </c>
      <c r="E55" s="3">
        <v>40358.636805555558</v>
      </c>
      <c r="F55" s="2">
        <v>2.1</v>
      </c>
      <c r="G55" s="2">
        <v>12380</v>
      </c>
      <c r="H55" s="2" t="s">
        <v>82</v>
      </c>
    </row>
    <row r="56" spans="1:8" x14ac:dyDescent="0.25">
      <c r="A56" s="2">
        <v>501291</v>
      </c>
      <c r="B56" s="2">
        <v>84578</v>
      </c>
      <c r="C56" s="2" t="s">
        <v>83</v>
      </c>
      <c r="D56" s="2">
        <v>1</v>
      </c>
      <c r="E56" s="3">
        <v>40252.647916666669</v>
      </c>
      <c r="F56" s="2">
        <v>3.75</v>
      </c>
      <c r="G56" s="2">
        <v>14343</v>
      </c>
      <c r="H56" s="2" t="s">
        <v>9</v>
      </c>
    </row>
    <row r="57" spans="1:8" x14ac:dyDescent="0.25">
      <c r="A57" s="2">
        <v>525944</v>
      </c>
      <c r="B57" s="2">
        <v>71477</v>
      </c>
      <c r="C57" s="2" t="s">
        <v>84</v>
      </c>
      <c r="D57" s="2">
        <v>5</v>
      </c>
      <c r="E57" s="3">
        <v>40458.737500000003</v>
      </c>
      <c r="F57" s="2">
        <v>3.25</v>
      </c>
      <c r="G57" s="2" t="s">
        <v>85</v>
      </c>
      <c r="H57" s="2" t="s">
        <v>9</v>
      </c>
    </row>
    <row r="58" spans="1:8" x14ac:dyDescent="0.25">
      <c r="A58" s="2">
        <v>498577</v>
      </c>
      <c r="B58" s="2">
        <v>21892</v>
      </c>
      <c r="C58" s="2" t="s">
        <v>86</v>
      </c>
      <c r="D58" s="2">
        <v>12</v>
      </c>
      <c r="E58" s="3">
        <v>40230.574999999997</v>
      </c>
      <c r="F58" s="2">
        <v>1.25</v>
      </c>
      <c r="G58" s="2">
        <v>16948</v>
      </c>
      <c r="H58" s="2" t="s">
        <v>87</v>
      </c>
    </row>
    <row r="59" spans="1:8" x14ac:dyDescent="0.25">
      <c r="A59" s="2">
        <v>497958</v>
      </c>
      <c r="B59" s="2">
        <v>21156</v>
      </c>
      <c r="C59" s="2" t="s">
        <v>88</v>
      </c>
      <c r="D59" s="2">
        <v>2</v>
      </c>
      <c r="E59" s="3">
        <v>40224.555555555547</v>
      </c>
      <c r="F59" s="2">
        <v>1.95</v>
      </c>
      <c r="G59" s="2">
        <v>14680</v>
      </c>
      <c r="H59" s="2" t="s">
        <v>9</v>
      </c>
    </row>
    <row r="60" spans="1:8" x14ac:dyDescent="0.25">
      <c r="A60" s="2">
        <v>504152</v>
      </c>
      <c r="B60" s="2">
        <v>21622</v>
      </c>
      <c r="C60" s="2" t="s">
        <v>89</v>
      </c>
      <c r="D60" s="2">
        <v>8</v>
      </c>
      <c r="E60" s="3">
        <v>40279.575694444437</v>
      </c>
      <c r="F60" s="2" t="s">
        <v>90</v>
      </c>
      <c r="G60" s="2">
        <v>17838</v>
      </c>
      <c r="H60" s="2" t="s">
        <v>9</v>
      </c>
    </row>
    <row r="61" spans="1:8" x14ac:dyDescent="0.25">
      <c r="A61" s="2">
        <v>501657</v>
      </c>
      <c r="B61" s="2">
        <v>22328</v>
      </c>
      <c r="C61" s="2" t="s">
        <v>91</v>
      </c>
      <c r="D61" s="2">
        <v>1</v>
      </c>
      <c r="E61" s="3">
        <v>40255.548611111109</v>
      </c>
      <c r="F61" s="2">
        <v>2.95</v>
      </c>
      <c r="G61" s="2">
        <v>13243</v>
      </c>
      <c r="H61" s="2" t="s">
        <v>9</v>
      </c>
    </row>
    <row r="62" spans="1:8" x14ac:dyDescent="0.25">
      <c r="A62" s="2">
        <v>491816</v>
      </c>
      <c r="B62" s="2">
        <v>20862</v>
      </c>
      <c r="C62" s="2" t="s">
        <v>92</v>
      </c>
      <c r="D62" s="2">
        <v>6</v>
      </c>
      <c r="E62" s="3">
        <v>40161.566666666673</v>
      </c>
      <c r="F62" s="2">
        <v>2.1</v>
      </c>
      <c r="G62" s="2">
        <v>14961</v>
      </c>
      <c r="H62" s="2" t="s">
        <v>9</v>
      </c>
    </row>
    <row r="63" spans="1:8" x14ac:dyDescent="0.25">
      <c r="A63" s="2">
        <v>493960</v>
      </c>
      <c r="B63" s="2">
        <v>22024</v>
      </c>
      <c r="C63" s="2" t="s">
        <v>93</v>
      </c>
      <c r="D63" s="2">
        <v>24</v>
      </c>
      <c r="E63" s="3">
        <v>40186.625694444447</v>
      </c>
      <c r="F63" s="2" t="s">
        <v>94</v>
      </c>
      <c r="G63" s="2">
        <v>16556</v>
      </c>
      <c r="H63" s="2" t="s">
        <v>9</v>
      </c>
    </row>
    <row r="64" spans="1:8" x14ac:dyDescent="0.25">
      <c r="A64" s="2">
        <v>531746</v>
      </c>
      <c r="B64" s="2">
        <v>22745</v>
      </c>
      <c r="C64" s="2" t="s">
        <v>95</v>
      </c>
      <c r="D64" s="2">
        <v>1</v>
      </c>
      <c r="E64" s="3">
        <v>40491.541666666657</v>
      </c>
      <c r="F64" s="2">
        <v>2.1</v>
      </c>
      <c r="G64" s="2">
        <v>14527</v>
      </c>
      <c r="H64" s="2" t="s">
        <v>9</v>
      </c>
    </row>
    <row r="65" spans="1:8" x14ac:dyDescent="0.25">
      <c r="A65" s="2">
        <v>512093</v>
      </c>
      <c r="B65" s="2">
        <v>21731</v>
      </c>
      <c r="C65" s="2" t="s">
        <v>96</v>
      </c>
      <c r="D65" s="2">
        <v>24</v>
      </c>
      <c r="E65" s="3">
        <v>40342.54583333333</v>
      </c>
      <c r="F65" s="2">
        <v>1.65</v>
      </c>
      <c r="G65" s="2">
        <v>16954</v>
      </c>
      <c r="H65" s="2" t="s">
        <v>9</v>
      </c>
    </row>
    <row r="66" spans="1:8" x14ac:dyDescent="0.25">
      <c r="A66" s="2">
        <v>495576</v>
      </c>
      <c r="B66" s="2">
        <v>22355</v>
      </c>
      <c r="C66" s="2" t="s">
        <v>97</v>
      </c>
      <c r="D66" s="2">
        <v>10</v>
      </c>
      <c r="E66" s="3">
        <v>40204.40347222222</v>
      </c>
      <c r="F66" s="2">
        <v>0.85</v>
      </c>
      <c r="G66" s="2">
        <v>15259</v>
      </c>
      <c r="H66" s="2" t="s">
        <v>9</v>
      </c>
    </row>
    <row r="67" spans="1:8" x14ac:dyDescent="0.25">
      <c r="A67" s="2">
        <v>506383</v>
      </c>
      <c r="B67" s="2">
        <v>21431</v>
      </c>
      <c r="C67" s="2" t="s">
        <v>98</v>
      </c>
      <c r="D67" s="2">
        <v>8</v>
      </c>
      <c r="E67" s="3">
        <v>40297.520833333343</v>
      </c>
      <c r="F67" s="2">
        <v>1.65</v>
      </c>
      <c r="G67" s="2">
        <v>13824</v>
      </c>
      <c r="H67" s="2" t="s">
        <v>9</v>
      </c>
    </row>
    <row r="68" spans="1:8" x14ac:dyDescent="0.25">
      <c r="A68" s="2">
        <v>523097</v>
      </c>
      <c r="B68" s="2">
        <v>48138</v>
      </c>
      <c r="C68" s="2" t="s">
        <v>99</v>
      </c>
      <c r="D68" s="2">
        <v>3</v>
      </c>
      <c r="E68" s="3">
        <v>40441.51458333333</v>
      </c>
      <c r="F68" s="2">
        <v>7.95</v>
      </c>
      <c r="G68" s="2">
        <v>17055</v>
      </c>
      <c r="H68" s="2" t="s">
        <v>9</v>
      </c>
    </row>
    <row r="69" spans="1:8" x14ac:dyDescent="0.25">
      <c r="A69" s="2">
        <v>534221</v>
      </c>
      <c r="B69" s="2">
        <v>22745</v>
      </c>
      <c r="C69" s="2" t="s">
        <v>95</v>
      </c>
      <c r="D69" s="2">
        <v>1</v>
      </c>
      <c r="E69" s="3">
        <v>40503.677083333343</v>
      </c>
      <c r="F69" s="2">
        <v>2.1</v>
      </c>
      <c r="G69" s="2" t="s">
        <v>100</v>
      </c>
      <c r="H69" s="2" t="s">
        <v>9</v>
      </c>
    </row>
    <row r="70" spans="1:8" x14ac:dyDescent="0.25">
      <c r="A70" s="2">
        <v>529763</v>
      </c>
      <c r="B70" s="2">
        <v>22118</v>
      </c>
      <c r="C70" s="2" t="s">
        <v>101</v>
      </c>
      <c r="D70" s="2">
        <v>1</v>
      </c>
      <c r="E70" s="3">
        <v>40480.625</v>
      </c>
      <c r="F70" s="2">
        <v>4.95</v>
      </c>
      <c r="G70" s="2">
        <v>14081</v>
      </c>
      <c r="H70" s="2" t="s">
        <v>9</v>
      </c>
    </row>
    <row r="71" spans="1:8" x14ac:dyDescent="0.25">
      <c r="A71" s="2">
        <v>528417</v>
      </c>
      <c r="B71" s="2">
        <v>22665</v>
      </c>
      <c r="C71" s="2" t="s">
        <v>102</v>
      </c>
      <c r="D71" s="2">
        <v>6</v>
      </c>
      <c r="E71" s="3">
        <v>40473.4</v>
      </c>
      <c r="F71" s="2">
        <v>2.95</v>
      </c>
      <c r="G71" s="2">
        <v>14156</v>
      </c>
      <c r="H71" s="2" t="s">
        <v>11</v>
      </c>
    </row>
    <row r="72" spans="1:8" x14ac:dyDescent="0.25">
      <c r="A72" s="2">
        <v>510232</v>
      </c>
      <c r="B72" s="2">
        <v>22605</v>
      </c>
      <c r="C72" s="2" t="s">
        <v>103</v>
      </c>
      <c r="D72" s="2">
        <v>3</v>
      </c>
      <c r="E72" s="3">
        <v>40326.402777777781</v>
      </c>
      <c r="F72" s="2">
        <v>12.75</v>
      </c>
      <c r="G72" s="2">
        <v>15674</v>
      </c>
      <c r="H72" s="2" t="s">
        <v>9</v>
      </c>
    </row>
    <row r="73" spans="1:8" x14ac:dyDescent="0.25">
      <c r="A73" s="2">
        <v>528176</v>
      </c>
      <c r="B73" s="2" t="s">
        <v>104</v>
      </c>
      <c r="C73" s="2" t="s">
        <v>105</v>
      </c>
      <c r="D73" s="2">
        <v>4</v>
      </c>
      <c r="E73" s="3">
        <v>40472.436111111107</v>
      </c>
      <c r="F73" s="2">
        <v>4.25</v>
      </c>
      <c r="G73" s="2">
        <v>12725</v>
      </c>
      <c r="H73" s="2" t="s">
        <v>106</v>
      </c>
    </row>
    <row r="74" spans="1:8" x14ac:dyDescent="0.25">
      <c r="A74" s="2">
        <v>528761</v>
      </c>
      <c r="B74" s="2">
        <v>22435</v>
      </c>
      <c r="C74" s="2" t="s">
        <v>107</v>
      </c>
      <c r="D74" s="2">
        <v>12</v>
      </c>
      <c r="E74" s="3">
        <v>40475.654166666667</v>
      </c>
      <c r="F74" s="2">
        <v>1.25</v>
      </c>
      <c r="G74" s="2">
        <v>13898</v>
      </c>
      <c r="H74" s="2" t="s">
        <v>9</v>
      </c>
    </row>
    <row r="75" spans="1:8" x14ac:dyDescent="0.25">
      <c r="A75" s="2">
        <v>501284</v>
      </c>
      <c r="B75" s="2">
        <v>22321</v>
      </c>
      <c r="C75" s="2" t="s">
        <v>108</v>
      </c>
      <c r="D75" s="2">
        <v>24</v>
      </c>
      <c r="E75" s="3">
        <v>40252.59652777778</v>
      </c>
      <c r="F75" s="2" t="s">
        <v>109</v>
      </c>
      <c r="G75" s="2">
        <v>12714</v>
      </c>
      <c r="H75" s="2" t="s">
        <v>28</v>
      </c>
    </row>
    <row r="76" spans="1:8" x14ac:dyDescent="0.25">
      <c r="A76" s="2">
        <v>496703</v>
      </c>
      <c r="B76" s="2">
        <v>22076</v>
      </c>
      <c r="C76" s="2" t="s">
        <v>110</v>
      </c>
      <c r="D76" s="2">
        <v>12</v>
      </c>
      <c r="E76" s="3">
        <v>40212.556944444441</v>
      </c>
      <c r="F76" s="2">
        <v>1.65</v>
      </c>
      <c r="G76" s="2">
        <v>12396</v>
      </c>
      <c r="H76" s="2" t="s">
        <v>111</v>
      </c>
    </row>
    <row r="77" spans="1:8" x14ac:dyDescent="0.25">
      <c r="A77" s="2">
        <v>497946</v>
      </c>
      <c r="B77" s="2">
        <v>85198</v>
      </c>
      <c r="C77" s="2" t="s">
        <v>112</v>
      </c>
      <c r="D77" s="2">
        <v>3312</v>
      </c>
      <c r="E77" s="3">
        <v>40224.497916666667</v>
      </c>
      <c r="F77" s="2">
        <v>0.3</v>
      </c>
      <c r="G77" s="2" t="s">
        <v>113</v>
      </c>
      <c r="H77" s="2" t="s">
        <v>114</v>
      </c>
    </row>
    <row r="78" spans="1:8" x14ac:dyDescent="0.25">
      <c r="A78" s="2">
        <v>507178</v>
      </c>
      <c r="B78" s="2">
        <v>21121</v>
      </c>
      <c r="C78" s="2" t="s">
        <v>115</v>
      </c>
      <c r="D78" s="2">
        <v>288</v>
      </c>
      <c r="E78" s="3">
        <v>40304.636805555558</v>
      </c>
      <c r="F78" s="2">
        <v>1.06</v>
      </c>
      <c r="G78" s="2">
        <v>14646</v>
      </c>
      <c r="H78" s="2" t="s">
        <v>116</v>
      </c>
    </row>
    <row r="79" spans="1:8" x14ac:dyDescent="0.25">
      <c r="A79" s="2">
        <v>516265</v>
      </c>
      <c r="B79" s="2">
        <v>22378</v>
      </c>
      <c r="C79" s="2" t="s">
        <v>117</v>
      </c>
      <c r="D79" s="2">
        <v>1</v>
      </c>
      <c r="E79" s="3">
        <v>40378.504861111112</v>
      </c>
      <c r="F79" s="2">
        <v>2.1</v>
      </c>
      <c r="G79" s="2">
        <v>16782</v>
      </c>
      <c r="H79" s="2" t="s">
        <v>9</v>
      </c>
    </row>
    <row r="80" spans="1:8" x14ac:dyDescent="0.25">
      <c r="A80" s="2">
        <v>505885</v>
      </c>
      <c r="B80" s="2">
        <v>21175</v>
      </c>
      <c r="C80" s="2" t="s">
        <v>118</v>
      </c>
      <c r="D80" s="2">
        <v>12</v>
      </c>
      <c r="E80" s="3">
        <v>40294.586111111108</v>
      </c>
      <c r="F80" s="2">
        <v>2.1</v>
      </c>
      <c r="G80" s="2">
        <v>16623</v>
      </c>
      <c r="H80" s="2" t="s">
        <v>9</v>
      </c>
    </row>
    <row r="81" spans="1:8" x14ac:dyDescent="0.25">
      <c r="A81" s="2">
        <v>510139</v>
      </c>
      <c r="B81" s="2">
        <v>21892</v>
      </c>
      <c r="C81" s="2" t="s">
        <v>86</v>
      </c>
      <c r="D81" s="2">
        <v>2</v>
      </c>
      <c r="E81" s="3">
        <v>40325.51666666667</v>
      </c>
      <c r="F81" s="2">
        <v>1.25</v>
      </c>
      <c r="G81" s="2">
        <v>16695</v>
      </c>
      <c r="H81" s="2" t="s">
        <v>9</v>
      </c>
    </row>
    <row r="82" spans="1:8" x14ac:dyDescent="0.25">
      <c r="A82" s="2">
        <v>502628</v>
      </c>
      <c r="B82" s="2">
        <v>22262</v>
      </c>
      <c r="C82" s="2" t="s">
        <v>119</v>
      </c>
      <c r="D82" s="2" t="s">
        <v>120</v>
      </c>
      <c r="E82" s="3">
        <v>40262.65</v>
      </c>
      <c r="F82" s="2">
        <v>0.85</v>
      </c>
      <c r="G82" s="2">
        <v>16670</v>
      </c>
      <c r="H82" s="2" t="s">
        <v>9</v>
      </c>
    </row>
    <row r="83" spans="1:8" x14ac:dyDescent="0.25">
      <c r="A83" s="2">
        <v>511851</v>
      </c>
      <c r="B83" s="2">
        <v>48184</v>
      </c>
      <c r="C83" s="2" t="s">
        <v>121</v>
      </c>
      <c r="D83" s="2">
        <v>1</v>
      </c>
      <c r="E83" s="3">
        <v>40339.806250000001</v>
      </c>
      <c r="F83" s="2">
        <v>7.49</v>
      </c>
      <c r="G83" s="2">
        <v>13542</v>
      </c>
      <c r="H83" s="2" t="s">
        <v>9</v>
      </c>
    </row>
    <row r="84" spans="1:8" x14ac:dyDescent="0.25">
      <c r="A84" s="2">
        <v>500326</v>
      </c>
      <c r="B84" s="2" t="s">
        <v>122</v>
      </c>
      <c r="C84" s="2" t="s">
        <v>123</v>
      </c>
      <c r="D84" s="2">
        <v>2</v>
      </c>
      <c r="E84" s="3">
        <v>40244.517361111109</v>
      </c>
      <c r="F84" s="2">
        <v>1.65</v>
      </c>
      <c r="G84" s="2">
        <v>14877</v>
      </c>
      <c r="H84" s="2" t="s">
        <v>9</v>
      </c>
    </row>
    <row r="85" spans="1:8" x14ac:dyDescent="0.25">
      <c r="A85" s="2">
        <v>526089</v>
      </c>
      <c r="B85" s="2">
        <v>22294</v>
      </c>
      <c r="C85" s="2" t="s">
        <v>124</v>
      </c>
      <c r="D85" s="2">
        <v>24</v>
      </c>
      <c r="E85" s="3">
        <v>40459.509722222218</v>
      </c>
      <c r="F85" s="2">
        <v>1.25</v>
      </c>
      <c r="G85" s="2">
        <v>15281</v>
      </c>
      <c r="H85" s="2" t="s">
        <v>9</v>
      </c>
    </row>
    <row r="86" spans="1:8" x14ac:dyDescent="0.25">
      <c r="A86" s="2">
        <v>518432</v>
      </c>
      <c r="B86" s="2">
        <v>21212</v>
      </c>
      <c r="C86" s="2" t="s">
        <v>125</v>
      </c>
      <c r="D86" s="2">
        <v>24</v>
      </c>
      <c r="E86" s="3">
        <v>40399.462500000001</v>
      </c>
      <c r="F86" s="2">
        <v>0.55000000000000004</v>
      </c>
      <c r="G86" s="2">
        <v>14625</v>
      </c>
      <c r="H86" s="2" t="s">
        <v>9</v>
      </c>
    </row>
    <row r="87" spans="1:8" x14ac:dyDescent="0.25">
      <c r="A87" s="2">
        <v>533547</v>
      </c>
      <c r="B87" s="2">
        <v>84380</v>
      </c>
      <c r="C87" s="2" t="s">
        <v>126</v>
      </c>
      <c r="D87" s="2">
        <v>12</v>
      </c>
      <c r="E87" s="3">
        <v>40499.699999999997</v>
      </c>
      <c r="F87" s="2">
        <v>1.25</v>
      </c>
      <c r="G87" s="2">
        <v>16409</v>
      </c>
      <c r="H87" s="2" t="s">
        <v>9</v>
      </c>
    </row>
    <row r="88" spans="1:8" x14ac:dyDescent="0.25">
      <c r="A88" s="2">
        <v>527754</v>
      </c>
      <c r="B88" s="2">
        <v>84580</v>
      </c>
      <c r="C88" s="2" t="s">
        <v>127</v>
      </c>
      <c r="D88" s="2">
        <v>2</v>
      </c>
      <c r="E88" s="3">
        <v>40469.711805555547</v>
      </c>
      <c r="F88" s="2">
        <v>3.75</v>
      </c>
      <c r="G88" s="2">
        <v>15710</v>
      </c>
      <c r="H88" s="2" t="s">
        <v>9</v>
      </c>
    </row>
    <row r="89" spans="1:8" x14ac:dyDescent="0.25">
      <c r="A89" s="2">
        <v>496008</v>
      </c>
      <c r="B89" s="2">
        <v>21428</v>
      </c>
      <c r="C89" s="2" t="s">
        <v>128</v>
      </c>
      <c r="D89" s="2">
        <v>4</v>
      </c>
      <c r="E89" s="3">
        <v>40206.525000000001</v>
      </c>
      <c r="F89" s="2" t="s">
        <v>129</v>
      </c>
      <c r="G89" s="2">
        <v>14911</v>
      </c>
      <c r="H89" s="2" t="s">
        <v>11</v>
      </c>
    </row>
    <row r="90" spans="1:8" x14ac:dyDescent="0.25">
      <c r="A90" s="2">
        <v>509071</v>
      </c>
      <c r="B90" s="2">
        <v>84839</v>
      </c>
      <c r="C90" s="2" t="s">
        <v>130</v>
      </c>
      <c r="D90" s="2">
        <v>2</v>
      </c>
      <c r="E90" s="3">
        <v>40318.486805555563</v>
      </c>
      <c r="F90" s="2">
        <v>6.75</v>
      </c>
      <c r="G90" s="2">
        <v>16471</v>
      </c>
      <c r="H90" s="2" t="s">
        <v>9</v>
      </c>
    </row>
    <row r="91" spans="1:8" x14ac:dyDescent="0.25">
      <c r="A91" s="2">
        <v>535656</v>
      </c>
      <c r="B91" s="2">
        <v>21986</v>
      </c>
      <c r="C91" s="2" t="s">
        <v>131</v>
      </c>
      <c r="D91" s="2">
        <v>3</v>
      </c>
      <c r="E91" s="3">
        <v>40510.47152777778</v>
      </c>
      <c r="F91" s="2">
        <v>0.28999999999999998</v>
      </c>
      <c r="G91" s="2">
        <v>16010</v>
      </c>
      <c r="H91" s="2" t="s">
        <v>132</v>
      </c>
    </row>
    <row r="92" spans="1:8" x14ac:dyDescent="0.25">
      <c r="A92" s="2">
        <v>522885</v>
      </c>
      <c r="B92" s="2">
        <v>21535</v>
      </c>
      <c r="C92" s="2" t="s">
        <v>133</v>
      </c>
      <c r="D92" s="2">
        <v>6</v>
      </c>
      <c r="E92" s="3">
        <v>40438.504166666673</v>
      </c>
      <c r="F92" s="2">
        <v>2.5499999999999998</v>
      </c>
      <c r="G92" s="2">
        <v>13952</v>
      </c>
      <c r="H92" s="2" t="s">
        <v>9</v>
      </c>
    </row>
    <row r="93" spans="1:8" x14ac:dyDescent="0.25">
      <c r="A93" s="2">
        <v>502038</v>
      </c>
      <c r="B93" s="2">
        <v>20749</v>
      </c>
      <c r="C93" s="2" t="s">
        <v>134</v>
      </c>
      <c r="D93" s="2">
        <v>2</v>
      </c>
      <c r="E93" s="3">
        <v>40259.575694444437</v>
      </c>
      <c r="F93" s="2">
        <v>7.95</v>
      </c>
      <c r="G93" s="2">
        <v>13206</v>
      </c>
      <c r="H93" s="2" t="s">
        <v>9</v>
      </c>
    </row>
    <row r="94" spans="1:8" x14ac:dyDescent="0.25">
      <c r="A94" s="2">
        <v>516132</v>
      </c>
      <c r="B94" s="2">
        <v>22139</v>
      </c>
      <c r="C94" s="2" t="s">
        <v>135</v>
      </c>
      <c r="D94" s="2">
        <v>12</v>
      </c>
      <c r="E94" s="3">
        <v>40375.643750000003</v>
      </c>
      <c r="F94" s="2">
        <v>4.95</v>
      </c>
      <c r="G94" s="2">
        <v>16767</v>
      </c>
      <c r="H94" s="2" t="s">
        <v>9</v>
      </c>
    </row>
    <row r="95" spans="1:8" x14ac:dyDescent="0.25">
      <c r="A95" s="2">
        <v>511500</v>
      </c>
      <c r="B95" s="2">
        <v>21216</v>
      </c>
      <c r="C95" s="2" t="s">
        <v>136</v>
      </c>
      <c r="D95" s="2">
        <v>4</v>
      </c>
      <c r="E95" s="3">
        <v>40337.613888888889</v>
      </c>
      <c r="F95" s="2">
        <v>4.95</v>
      </c>
      <c r="G95" s="2">
        <v>14210</v>
      </c>
      <c r="H95" s="2" t="s">
        <v>9</v>
      </c>
    </row>
    <row r="96" spans="1:8" x14ac:dyDescent="0.25">
      <c r="A96" s="2">
        <v>518547</v>
      </c>
      <c r="B96" s="2">
        <v>21426</v>
      </c>
      <c r="C96" s="2" t="s">
        <v>137</v>
      </c>
      <c r="D96" s="2">
        <v>96</v>
      </c>
      <c r="E96" s="3">
        <v>40399.770833333343</v>
      </c>
      <c r="F96" s="2">
        <v>1.25</v>
      </c>
      <c r="G96" s="2">
        <v>18102</v>
      </c>
      <c r="H96" s="2" t="s">
        <v>138</v>
      </c>
    </row>
    <row r="97" spans="1:8" x14ac:dyDescent="0.25">
      <c r="A97" s="2">
        <v>501689</v>
      </c>
      <c r="B97" s="2">
        <v>22021</v>
      </c>
      <c r="C97" s="2" t="s">
        <v>139</v>
      </c>
      <c r="D97" s="2">
        <v>12</v>
      </c>
      <c r="E97" s="3">
        <v>40255.711805555547</v>
      </c>
      <c r="F97" s="2">
        <v>1.65</v>
      </c>
      <c r="G97" s="2">
        <v>15738</v>
      </c>
      <c r="H97" s="2" t="s">
        <v>9</v>
      </c>
    </row>
    <row r="98" spans="1:8" x14ac:dyDescent="0.25">
      <c r="A98" s="2">
        <v>489802</v>
      </c>
      <c r="B98" s="2">
        <v>85104</v>
      </c>
      <c r="C98" s="2" t="s">
        <v>140</v>
      </c>
      <c r="D98" s="2">
        <v>4</v>
      </c>
      <c r="E98" s="3">
        <v>40149.522222222222</v>
      </c>
      <c r="F98" s="2">
        <v>2.95</v>
      </c>
      <c r="G98" s="2">
        <v>15581</v>
      </c>
      <c r="H98" s="2" t="s">
        <v>9</v>
      </c>
    </row>
    <row r="99" spans="1:8" x14ac:dyDescent="0.25">
      <c r="A99" s="2">
        <v>497364</v>
      </c>
      <c r="B99" s="2" t="s">
        <v>141</v>
      </c>
      <c r="C99" s="2" t="s">
        <v>142</v>
      </c>
      <c r="D99" s="2">
        <v>6</v>
      </c>
      <c r="E99" s="3">
        <v>40218.407638888893</v>
      </c>
      <c r="F99" s="2">
        <v>3.75</v>
      </c>
      <c r="G99" s="2">
        <v>13131</v>
      </c>
      <c r="H99" s="2" t="s">
        <v>9</v>
      </c>
    </row>
    <row r="100" spans="1:8" x14ac:dyDescent="0.25">
      <c r="A100" s="2">
        <v>535332</v>
      </c>
      <c r="B100" s="2">
        <v>84879</v>
      </c>
      <c r="C100" s="2" t="s">
        <v>143</v>
      </c>
      <c r="D100" s="2">
        <v>8</v>
      </c>
      <c r="E100" s="3">
        <v>40507.663194444453</v>
      </c>
      <c r="F100" s="2">
        <v>1.69</v>
      </c>
      <c r="G100" s="2">
        <v>18161</v>
      </c>
      <c r="H100" s="2" t="s">
        <v>9</v>
      </c>
    </row>
    <row r="101" spans="1:8" x14ac:dyDescent="0.25">
      <c r="A101" s="2">
        <v>513953</v>
      </c>
      <c r="B101" s="2">
        <v>21043</v>
      </c>
      <c r="C101" s="2" t="s">
        <v>144</v>
      </c>
      <c r="D101" s="2">
        <v>3</v>
      </c>
      <c r="E101" s="3">
        <v>40358.593055555553</v>
      </c>
      <c r="F101" s="2">
        <v>5.95</v>
      </c>
      <c r="G101" s="2">
        <v>14426</v>
      </c>
      <c r="H101" s="2" t="s">
        <v>9</v>
      </c>
    </row>
    <row r="102" spans="1:8" x14ac:dyDescent="0.25">
      <c r="A102" s="2">
        <v>494359</v>
      </c>
      <c r="B102" s="2">
        <v>21730</v>
      </c>
      <c r="C102" s="2" t="s">
        <v>145</v>
      </c>
      <c r="D102" s="2">
        <v>2</v>
      </c>
      <c r="E102" s="3">
        <v>40191.64166666667</v>
      </c>
      <c r="F102" s="2">
        <v>4.95</v>
      </c>
      <c r="G102" s="2">
        <v>17962</v>
      </c>
      <c r="H102" s="2" t="s">
        <v>9</v>
      </c>
    </row>
    <row r="103" spans="1:8" x14ac:dyDescent="0.25">
      <c r="A103" s="2">
        <v>533376</v>
      </c>
      <c r="B103" s="2">
        <v>22113</v>
      </c>
      <c r="C103" s="2" t="s">
        <v>146</v>
      </c>
      <c r="D103" s="2">
        <v>12</v>
      </c>
      <c r="E103" s="3">
        <v>40499.443749999999</v>
      </c>
      <c r="F103" s="2" t="s">
        <v>147</v>
      </c>
      <c r="G103" s="2">
        <v>15640</v>
      </c>
      <c r="H103" s="2" t="s">
        <v>9</v>
      </c>
    </row>
    <row r="104" spans="1:8" x14ac:dyDescent="0.25">
      <c r="A104" s="2">
        <v>536975</v>
      </c>
      <c r="B104" s="2" t="s">
        <v>148</v>
      </c>
      <c r="C104" s="2" t="s">
        <v>149</v>
      </c>
      <c r="D104" s="2">
        <v>4</v>
      </c>
      <c r="E104" s="3">
        <v>40515.586111111108</v>
      </c>
      <c r="F104" s="2">
        <v>3.75</v>
      </c>
      <c r="G104" s="2">
        <v>14911</v>
      </c>
      <c r="H104" s="2" t="s">
        <v>11</v>
      </c>
    </row>
    <row r="105" spans="1:8" x14ac:dyDescent="0.25">
      <c r="A105" s="2">
        <v>537346</v>
      </c>
      <c r="B105" s="2">
        <v>22733</v>
      </c>
      <c r="C105" s="2" t="s">
        <v>150</v>
      </c>
      <c r="D105" s="2">
        <v>18</v>
      </c>
      <c r="E105" s="3">
        <v>40518.51458333333</v>
      </c>
      <c r="F105" s="2">
        <v>1.25</v>
      </c>
      <c r="G105" s="2">
        <v>15301</v>
      </c>
      <c r="H105" s="2" t="s">
        <v>9</v>
      </c>
    </row>
    <row r="106" spans="1:8" x14ac:dyDescent="0.25">
      <c r="A106" s="2">
        <v>525577</v>
      </c>
      <c r="B106" s="2">
        <v>22208</v>
      </c>
      <c r="C106" s="2" t="s">
        <v>151</v>
      </c>
      <c r="D106" s="2">
        <v>36</v>
      </c>
      <c r="E106" s="3">
        <v>40457.445138888892</v>
      </c>
      <c r="F106" s="2">
        <v>1.65</v>
      </c>
      <c r="G106" s="2">
        <v>16253</v>
      </c>
      <c r="H106" s="2" t="s">
        <v>9</v>
      </c>
    </row>
    <row r="107" spans="1:8" x14ac:dyDescent="0.25">
      <c r="A107" s="2">
        <v>533064</v>
      </c>
      <c r="B107" s="2">
        <v>22141</v>
      </c>
      <c r="C107" s="2" t="s">
        <v>152</v>
      </c>
      <c r="D107" s="2">
        <v>1</v>
      </c>
      <c r="E107" s="3">
        <v>40497.709027777782</v>
      </c>
      <c r="F107" s="2">
        <v>2.1</v>
      </c>
      <c r="G107" s="2">
        <v>17364</v>
      </c>
      <c r="H107" s="2" t="s">
        <v>9</v>
      </c>
    </row>
    <row r="108" spans="1:8" x14ac:dyDescent="0.25">
      <c r="A108" s="2">
        <v>523648</v>
      </c>
      <c r="B108" s="2" t="s">
        <v>153</v>
      </c>
      <c r="C108" s="2" t="s">
        <v>154</v>
      </c>
      <c r="D108" s="2">
        <v>6</v>
      </c>
      <c r="E108" s="3">
        <v>40444.525694444441</v>
      </c>
      <c r="F108" s="2">
        <v>2.95</v>
      </c>
      <c r="G108" s="2">
        <v>16830</v>
      </c>
      <c r="H108" s="2" t="s">
        <v>9</v>
      </c>
    </row>
    <row r="109" spans="1:8" x14ac:dyDescent="0.25">
      <c r="A109" s="2">
        <v>525974</v>
      </c>
      <c r="B109" s="2">
        <v>22948</v>
      </c>
      <c r="C109" s="2" t="s">
        <v>155</v>
      </c>
      <c r="D109" s="2">
        <v>24</v>
      </c>
      <c r="E109" s="3">
        <v>40459.432638888888</v>
      </c>
      <c r="F109" s="2">
        <v>0.85</v>
      </c>
      <c r="G109" s="2">
        <v>14769</v>
      </c>
      <c r="H109" s="2" t="s">
        <v>9</v>
      </c>
    </row>
    <row r="110" spans="1:8" x14ac:dyDescent="0.25">
      <c r="A110" s="2">
        <v>533841</v>
      </c>
      <c r="B110" s="2">
        <v>20961</v>
      </c>
      <c r="C110" s="2" t="s">
        <v>156</v>
      </c>
      <c r="D110" s="2">
        <v>1</v>
      </c>
      <c r="E110" s="3">
        <v>40501.466666666667</v>
      </c>
      <c r="F110" s="2">
        <v>1.25</v>
      </c>
      <c r="G110" s="2">
        <v>17269</v>
      </c>
      <c r="H110" s="2" t="s">
        <v>9</v>
      </c>
    </row>
    <row r="111" spans="1:8" x14ac:dyDescent="0.25">
      <c r="A111" s="2">
        <v>537762</v>
      </c>
      <c r="B111" s="2">
        <v>22909</v>
      </c>
      <c r="C111" s="2" t="s">
        <v>157</v>
      </c>
      <c r="D111" s="2">
        <v>12</v>
      </c>
      <c r="E111" s="3">
        <v>40520.500694444447</v>
      </c>
      <c r="F111" s="2">
        <v>0.85</v>
      </c>
      <c r="G111" s="2">
        <v>16558</v>
      </c>
      <c r="H111" s="2" t="s">
        <v>9</v>
      </c>
    </row>
    <row r="112" spans="1:8" x14ac:dyDescent="0.25">
      <c r="A112" s="2">
        <v>525898</v>
      </c>
      <c r="B112" s="2">
        <v>35924</v>
      </c>
      <c r="C112" s="2" t="s">
        <v>158</v>
      </c>
      <c r="D112" s="2">
        <v>1</v>
      </c>
      <c r="E112" s="3">
        <v>40458.647916666669</v>
      </c>
      <c r="F112" s="2">
        <v>2.1</v>
      </c>
      <c r="G112" s="2">
        <v>16072</v>
      </c>
      <c r="H112" s="2" t="s">
        <v>9</v>
      </c>
    </row>
    <row r="113" spans="1:8" x14ac:dyDescent="0.25">
      <c r="A113" s="2">
        <v>507880</v>
      </c>
      <c r="B113" s="2">
        <v>47568</v>
      </c>
      <c r="C113" s="2" t="s">
        <v>159</v>
      </c>
      <c r="D113" s="2">
        <v>6</v>
      </c>
      <c r="E113" s="3">
        <v>40309.627083333333</v>
      </c>
      <c r="F113" s="2">
        <v>2.1</v>
      </c>
      <c r="G113" s="2">
        <v>12455</v>
      </c>
      <c r="H113" s="2" t="s">
        <v>160</v>
      </c>
    </row>
    <row r="114" spans="1:8" x14ac:dyDescent="0.25">
      <c r="A114" s="2">
        <v>537065</v>
      </c>
      <c r="B114" s="2" t="s">
        <v>141</v>
      </c>
      <c r="C114" s="2" t="s">
        <v>161</v>
      </c>
      <c r="D114" s="2">
        <v>6</v>
      </c>
      <c r="E114" s="3">
        <v>40517.497916666667</v>
      </c>
      <c r="F114" s="2">
        <v>3.75</v>
      </c>
      <c r="G114" s="2">
        <v>12567</v>
      </c>
      <c r="H114" s="2" t="s">
        <v>28</v>
      </c>
    </row>
    <row r="115" spans="1:8" x14ac:dyDescent="0.25">
      <c r="A115" s="2">
        <v>504413</v>
      </c>
      <c r="B115" s="2">
        <v>22440</v>
      </c>
      <c r="C115" s="2" t="s">
        <v>162</v>
      </c>
      <c r="D115" s="2">
        <v>20</v>
      </c>
      <c r="E115" s="3">
        <v>40281.518750000003</v>
      </c>
      <c r="F115" s="2">
        <v>0.42</v>
      </c>
      <c r="G115" s="2">
        <v>13089</v>
      </c>
      <c r="H115" s="2" t="s">
        <v>9</v>
      </c>
    </row>
    <row r="116" spans="1:8" x14ac:dyDescent="0.25">
      <c r="A116" s="2">
        <v>525286</v>
      </c>
      <c r="B116" s="2">
        <v>20825</v>
      </c>
      <c r="C116" s="2" t="s">
        <v>163</v>
      </c>
      <c r="D116" s="2">
        <v>288</v>
      </c>
      <c r="E116" s="3">
        <v>40456.356944444437</v>
      </c>
      <c r="F116" s="2">
        <v>3.39</v>
      </c>
      <c r="G116" s="2">
        <v>15061</v>
      </c>
      <c r="H116" s="2" t="s">
        <v>9</v>
      </c>
    </row>
    <row r="117" spans="1:8" x14ac:dyDescent="0.25">
      <c r="A117" s="2">
        <v>511081</v>
      </c>
      <c r="B117" s="2">
        <v>22470</v>
      </c>
      <c r="C117" s="2" t="s">
        <v>164</v>
      </c>
      <c r="D117" s="2">
        <v>6</v>
      </c>
      <c r="E117" s="3">
        <v>40335.586805555547</v>
      </c>
      <c r="F117" s="2">
        <v>2.95</v>
      </c>
      <c r="G117" s="2">
        <v>14128</v>
      </c>
      <c r="H117" s="2" t="s">
        <v>9</v>
      </c>
    </row>
    <row r="118" spans="1:8" x14ac:dyDescent="0.25">
      <c r="A118" s="2">
        <v>490957</v>
      </c>
      <c r="B118" s="2">
        <v>22134</v>
      </c>
      <c r="C118" s="2" t="s">
        <v>165</v>
      </c>
      <c r="D118" s="2">
        <v>12</v>
      </c>
      <c r="E118" s="3">
        <v>40155.633333333331</v>
      </c>
      <c r="F118" s="2">
        <v>0.42</v>
      </c>
      <c r="G118" s="2">
        <v>15823</v>
      </c>
      <c r="H118" s="2" t="s">
        <v>9</v>
      </c>
    </row>
    <row r="119" spans="1:8" x14ac:dyDescent="0.25">
      <c r="A119" s="2">
        <v>500336</v>
      </c>
      <c r="B119" s="2">
        <v>21327</v>
      </c>
      <c r="C119" s="2" t="s">
        <v>166</v>
      </c>
      <c r="D119" s="2">
        <v>2</v>
      </c>
      <c r="E119" s="3">
        <v>40244.574999999997</v>
      </c>
      <c r="F119" s="2">
        <v>1.65</v>
      </c>
      <c r="G119" s="2">
        <v>17589</v>
      </c>
      <c r="H119" s="2" t="s">
        <v>132</v>
      </c>
    </row>
    <row r="120" spans="1:8" x14ac:dyDescent="0.25">
      <c r="A120" s="2">
        <v>528470</v>
      </c>
      <c r="B120" s="2">
        <v>22947</v>
      </c>
      <c r="C120" s="2" t="s">
        <v>167</v>
      </c>
      <c r="D120" s="2">
        <v>1</v>
      </c>
      <c r="E120" s="3">
        <v>40473.486111111109</v>
      </c>
      <c r="F120" s="2">
        <v>16.95</v>
      </c>
      <c r="G120" s="2">
        <v>16392</v>
      </c>
      <c r="H120" s="2" t="s">
        <v>9</v>
      </c>
    </row>
    <row r="121" spans="1:8" x14ac:dyDescent="0.25">
      <c r="A121" s="2">
        <v>521406</v>
      </c>
      <c r="B121" s="2">
        <v>22379</v>
      </c>
      <c r="C121" s="2" t="s">
        <v>168</v>
      </c>
      <c r="D121" s="2">
        <v>25</v>
      </c>
      <c r="E121" s="3">
        <v>40427.445833333331</v>
      </c>
      <c r="F121" s="2">
        <v>2.1</v>
      </c>
      <c r="G121" s="2">
        <v>13093</v>
      </c>
      <c r="H121" s="2" t="s">
        <v>9</v>
      </c>
    </row>
    <row r="122" spans="1:8" x14ac:dyDescent="0.25">
      <c r="A122" s="2">
        <v>526945</v>
      </c>
      <c r="B122" s="2">
        <v>22764</v>
      </c>
      <c r="C122" s="2" t="s">
        <v>169</v>
      </c>
      <c r="D122" s="2">
        <v>34</v>
      </c>
      <c r="E122" s="3">
        <v>40465.4375</v>
      </c>
      <c r="F122" s="2">
        <v>16.88</v>
      </c>
      <c r="G122" s="2">
        <v>18102</v>
      </c>
      <c r="H122" s="2" t="s">
        <v>9</v>
      </c>
    </row>
    <row r="123" spans="1:8" x14ac:dyDescent="0.25">
      <c r="A123" s="2">
        <v>502613</v>
      </c>
      <c r="B123" s="2">
        <v>22082</v>
      </c>
      <c r="C123" s="2" t="s">
        <v>170</v>
      </c>
      <c r="D123" s="2">
        <v>5</v>
      </c>
      <c r="E123" s="3">
        <v>40262.598611111112</v>
      </c>
      <c r="F123" s="2">
        <v>1.65</v>
      </c>
      <c r="G123" s="2">
        <v>14535</v>
      </c>
      <c r="H123" s="2" t="s">
        <v>9</v>
      </c>
    </row>
    <row r="124" spans="1:8" x14ac:dyDescent="0.25">
      <c r="A124" s="2">
        <v>498594</v>
      </c>
      <c r="B124" s="2" t="s">
        <v>171</v>
      </c>
      <c r="C124" s="2" t="s">
        <v>172</v>
      </c>
      <c r="D124" s="2">
        <v>1</v>
      </c>
      <c r="E124" s="3">
        <v>40230.658333333333</v>
      </c>
      <c r="F124" s="2">
        <v>1.95</v>
      </c>
      <c r="G124" s="2">
        <v>16797</v>
      </c>
      <c r="H124" s="2" t="s">
        <v>9</v>
      </c>
    </row>
    <row r="125" spans="1:8" x14ac:dyDescent="0.25">
      <c r="A125" s="2">
        <v>528734</v>
      </c>
      <c r="B125" s="2">
        <v>22303</v>
      </c>
      <c r="C125" s="2" t="s">
        <v>173</v>
      </c>
      <c r="D125" s="2">
        <v>6</v>
      </c>
      <c r="E125" s="3">
        <v>40475.579861111109</v>
      </c>
      <c r="F125" s="2">
        <v>2.5499999999999998</v>
      </c>
      <c r="G125" s="2">
        <v>17435</v>
      </c>
      <c r="H125" s="2" t="s">
        <v>9</v>
      </c>
    </row>
    <row r="126" spans="1:8" x14ac:dyDescent="0.25">
      <c r="A126" s="2">
        <v>516485</v>
      </c>
      <c r="B126" s="2">
        <v>22617</v>
      </c>
      <c r="C126" s="2" t="s">
        <v>174</v>
      </c>
      <c r="D126" s="2">
        <v>3</v>
      </c>
      <c r="E126" s="3">
        <v>40380.406944444447</v>
      </c>
      <c r="F126" s="2">
        <v>4.95</v>
      </c>
      <c r="G126" s="2">
        <v>12720</v>
      </c>
      <c r="H126" s="2" t="s">
        <v>17</v>
      </c>
    </row>
    <row r="127" spans="1:8" x14ac:dyDescent="0.25">
      <c r="A127" s="2">
        <v>535266</v>
      </c>
      <c r="B127" s="2">
        <v>22975</v>
      </c>
      <c r="C127" s="2" t="s">
        <v>175</v>
      </c>
      <c r="D127" s="2">
        <v>1</v>
      </c>
      <c r="E127" s="3">
        <v>40507.563888888893</v>
      </c>
      <c r="F127" s="2">
        <v>1.25</v>
      </c>
      <c r="G127" s="2">
        <v>14159</v>
      </c>
      <c r="H127" s="2" t="s">
        <v>9</v>
      </c>
    </row>
    <row r="128" spans="1:8" x14ac:dyDescent="0.25">
      <c r="A128" s="2">
        <v>495010</v>
      </c>
      <c r="B128" s="2" t="s">
        <v>176</v>
      </c>
      <c r="C128" s="2" t="s">
        <v>177</v>
      </c>
      <c r="D128" s="2">
        <v>2</v>
      </c>
      <c r="E128" s="3">
        <v>40198.524305555547</v>
      </c>
      <c r="F128" s="2">
        <v>7.95</v>
      </c>
      <c r="G128" s="2">
        <v>15191</v>
      </c>
      <c r="H128" s="2" t="s">
        <v>9</v>
      </c>
    </row>
    <row r="129" spans="1:8" x14ac:dyDescent="0.25">
      <c r="A129" s="2">
        <v>536557</v>
      </c>
      <c r="B129" s="2">
        <v>22111</v>
      </c>
      <c r="C129" s="2" t="s">
        <v>178</v>
      </c>
      <c r="D129" s="2">
        <v>7</v>
      </c>
      <c r="E129" s="3">
        <v>40513.611805555563</v>
      </c>
      <c r="F129" s="2">
        <v>4.95</v>
      </c>
      <c r="G129" s="2">
        <v>17841</v>
      </c>
      <c r="H129" s="2" t="s">
        <v>9</v>
      </c>
    </row>
    <row r="130" spans="1:8" x14ac:dyDescent="0.25">
      <c r="A130" s="2">
        <v>499377</v>
      </c>
      <c r="B130" s="2">
        <v>20621</v>
      </c>
      <c r="C130" s="2" t="s">
        <v>179</v>
      </c>
      <c r="D130" s="2">
        <v>1</v>
      </c>
      <c r="E130" s="3">
        <v>40235.499305555553</v>
      </c>
      <c r="F130" s="2">
        <v>2.1</v>
      </c>
      <c r="G130" s="2">
        <v>14177</v>
      </c>
      <c r="H130" s="2" t="s">
        <v>9</v>
      </c>
    </row>
    <row r="131" spans="1:8" x14ac:dyDescent="0.25">
      <c r="A131" s="2">
        <v>523867</v>
      </c>
      <c r="B131" s="2">
        <v>21872</v>
      </c>
      <c r="C131" s="2" t="s">
        <v>180</v>
      </c>
      <c r="D131" s="2">
        <v>1</v>
      </c>
      <c r="E131" s="3">
        <v>40445.529861111107</v>
      </c>
      <c r="F131" s="2">
        <v>1.25</v>
      </c>
      <c r="G131" s="2">
        <v>13174</v>
      </c>
      <c r="H131" s="2" t="s">
        <v>9</v>
      </c>
    </row>
    <row r="132" spans="1:8" x14ac:dyDescent="0.25">
      <c r="A132" s="2">
        <v>512527</v>
      </c>
      <c r="B132" s="2">
        <v>22421</v>
      </c>
      <c r="C132" s="2" t="s">
        <v>181</v>
      </c>
      <c r="D132" s="2">
        <v>12</v>
      </c>
      <c r="E132" s="3">
        <v>40345.495138888888</v>
      </c>
      <c r="F132" s="2">
        <v>0.42</v>
      </c>
      <c r="G132" s="2">
        <v>17448</v>
      </c>
      <c r="H132" s="2" t="s">
        <v>9</v>
      </c>
    </row>
    <row r="133" spans="1:8" x14ac:dyDescent="0.25">
      <c r="A133" s="2">
        <v>510331</v>
      </c>
      <c r="B133" s="2">
        <v>22613</v>
      </c>
      <c r="C133" s="2" t="s">
        <v>182</v>
      </c>
      <c r="D133" s="2">
        <v>12</v>
      </c>
      <c r="E133" s="3">
        <v>40326.581250000003</v>
      </c>
      <c r="F133" s="2">
        <v>0.85</v>
      </c>
      <c r="G133" s="2">
        <v>13081</v>
      </c>
      <c r="H133" s="2" t="s">
        <v>9</v>
      </c>
    </row>
    <row r="134" spans="1:8" x14ac:dyDescent="0.25">
      <c r="A134" s="2">
        <v>509985</v>
      </c>
      <c r="B134" s="2">
        <v>48138</v>
      </c>
      <c r="C134" s="2" t="s">
        <v>183</v>
      </c>
      <c r="D134" s="2">
        <v>2</v>
      </c>
      <c r="E134" s="3">
        <v>40324.613194444442</v>
      </c>
      <c r="F134" s="2">
        <v>7.49</v>
      </c>
      <c r="G134" s="2">
        <v>12681</v>
      </c>
      <c r="H134" s="2" t="s">
        <v>28</v>
      </c>
    </row>
    <row r="135" spans="1:8" x14ac:dyDescent="0.25">
      <c r="A135" s="2">
        <v>521363</v>
      </c>
      <c r="B135" s="2">
        <v>22595</v>
      </c>
      <c r="C135" s="2" t="s">
        <v>184</v>
      </c>
      <c r="D135" s="2">
        <v>48</v>
      </c>
      <c r="E135" s="3">
        <v>40426.42083333333</v>
      </c>
      <c r="F135" s="2">
        <v>0.85</v>
      </c>
      <c r="G135" s="2">
        <v>15255</v>
      </c>
      <c r="H135" s="2" t="s">
        <v>9</v>
      </c>
    </row>
    <row r="136" spans="1:8" x14ac:dyDescent="0.25">
      <c r="A136" s="2">
        <v>503837</v>
      </c>
      <c r="B136" s="2" t="s">
        <v>185</v>
      </c>
      <c r="C136" s="2" t="s">
        <v>186</v>
      </c>
      <c r="D136" s="2">
        <v>12</v>
      </c>
      <c r="E136" s="3">
        <v>40275.681250000001</v>
      </c>
      <c r="F136" s="2">
        <v>0.85</v>
      </c>
      <c r="G136" s="2">
        <v>17738</v>
      </c>
      <c r="H136" s="2" t="s">
        <v>9</v>
      </c>
    </row>
    <row r="137" spans="1:8" x14ac:dyDescent="0.25">
      <c r="A137" s="2">
        <v>507122</v>
      </c>
      <c r="B137" s="2">
        <v>21987</v>
      </c>
      <c r="C137" s="2" t="s">
        <v>187</v>
      </c>
      <c r="D137" s="2">
        <v>84</v>
      </c>
      <c r="E137" s="3">
        <v>40304.493055555547</v>
      </c>
      <c r="F137" s="2">
        <v>0.65</v>
      </c>
      <c r="G137" s="2">
        <v>12678</v>
      </c>
      <c r="H137" s="2" t="s">
        <v>28</v>
      </c>
    </row>
    <row r="138" spans="1:8" x14ac:dyDescent="0.25">
      <c r="A138" s="2">
        <v>528329</v>
      </c>
      <c r="B138" s="2">
        <v>21866</v>
      </c>
      <c r="C138" s="2" t="s">
        <v>188</v>
      </c>
      <c r="D138" s="2">
        <v>1</v>
      </c>
      <c r="E138" s="3">
        <v>40472.557638888888</v>
      </c>
      <c r="F138" s="2">
        <v>1.25</v>
      </c>
      <c r="G138" s="2">
        <v>13891</v>
      </c>
      <c r="H138" s="2" t="s">
        <v>9</v>
      </c>
    </row>
    <row r="139" spans="1:8" x14ac:dyDescent="0.25">
      <c r="A139" s="2">
        <v>521973</v>
      </c>
      <c r="B139" s="2">
        <v>20754</v>
      </c>
      <c r="C139" s="2" t="s">
        <v>189</v>
      </c>
      <c r="D139" s="2">
        <v>1</v>
      </c>
      <c r="E139" s="3">
        <v>40430.823611111111</v>
      </c>
      <c r="F139" s="2" t="s">
        <v>190</v>
      </c>
      <c r="G139" s="2">
        <v>17366</v>
      </c>
      <c r="H139" s="2" t="s">
        <v>9</v>
      </c>
    </row>
    <row r="140" spans="1:8" x14ac:dyDescent="0.25">
      <c r="A140" s="2">
        <v>515760</v>
      </c>
      <c r="B140" s="2">
        <v>85150</v>
      </c>
      <c r="C140" s="2" t="s">
        <v>191</v>
      </c>
      <c r="D140" s="2">
        <v>12</v>
      </c>
      <c r="E140" s="3">
        <v>40373.569444444453</v>
      </c>
      <c r="F140" s="2">
        <v>2.5499999999999998</v>
      </c>
      <c r="G140" s="2">
        <v>13012</v>
      </c>
      <c r="H140" s="2" t="s">
        <v>9</v>
      </c>
    </row>
    <row r="141" spans="1:8" x14ac:dyDescent="0.25">
      <c r="A141" s="2">
        <v>508721</v>
      </c>
      <c r="B141" s="2">
        <v>21870</v>
      </c>
      <c r="C141" s="2" t="s">
        <v>192</v>
      </c>
      <c r="D141" s="2">
        <v>2</v>
      </c>
      <c r="E141" s="3">
        <v>40315.724999999999</v>
      </c>
      <c r="F141" s="2">
        <v>1.25</v>
      </c>
      <c r="G141" s="2">
        <v>14606</v>
      </c>
      <c r="H141" s="2" t="s">
        <v>9</v>
      </c>
    </row>
    <row r="142" spans="1:8" x14ac:dyDescent="0.25">
      <c r="A142" s="2">
        <v>500354</v>
      </c>
      <c r="B142" s="2">
        <v>22178</v>
      </c>
      <c r="C142" s="2" t="s">
        <v>193</v>
      </c>
      <c r="D142" s="2">
        <v>12</v>
      </c>
      <c r="E142" s="3">
        <v>40244.643750000003</v>
      </c>
      <c r="F142" s="2">
        <v>1.25</v>
      </c>
      <c r="G142" s="2">
        <v>13026</v>
      </c>
      <c r="H142" s="2" t="s">
        <v>9</v>
      </c>
    </row>
    <row r="143" spans="1:8" x14ac:dyDescent="0.25">
      <c r="A143" s="2">
        <v>495715</v>
      </c>
      <c r="B143" s="2">
        <v>21179</v>
      </c>
      <c r="C143" s="2" t="s">
        <v>194</v>
      </c>
      <c r="D143" s="2">
        <v>2</v>
      </c>
      <c r="E143" s="3">
        <v>40204.586805555547</v>
      </c>
      <c r="F143" s="2">
        <v>1.25</v>
      </c>
      <c r="G143" s="2">
        <v>13610</v>
      </c>
      <c r="H143" s="2" t="s">
        <v>9</v>
      </c>
    </row>
    <row r="144" spans="1:8" x14ac:dyDescent="0.25">
      <c r="A144" s="2">
        <v>493948</v>
      </c>
      <c r="B144" s="2">
        <v>48194</v>
      </c>
      <c r="C144" s="2" t="s">
        <v>195</v>
      </c>
      <c r="D144" s="2">
        <v>3</v>
      </c>
      <c r="E144" s="3">
        <v>40186.526388888888</v>
      </c>
      <c r="F144" s="2">
        <v>6.75</v>
      </c>
      <c r="G144" s="2">
        <v>16772</v>
      </c>
      <c r="H144" s="2" t="s">
        <v>9</v>
      </c>
    </row>
    <row r="145" spans="1:8" x14ac:dyDescent="0.25">
      <c r="A145" s="2">
        <v>513053</v>
      </c>
      <c r="B145" s="2">
        <v>22077</v>
      </c>
      <c r="C145" s="2" t="s">
        <v>196</v>
      </c>
      <c r="D145" s="2">
        <v>12</v>
      </c>
      <c r="E145" s="2" t="s">
        <v>197</v>
      </c>
      <c r="F145" s="2">
        <v>1.65</v>
      </c>
      <c r="G145" s="2">
        <v>16062</v>
      </c>
      <c r="H145" s="2" t="s">
        <v>9</v>
      </c>
    </row>
    <row r="146" spans="1:8" x14ac:dyDescent="0.25">
      <c r="A146" s="2">
        <v>496058</v>
      </c>
      <c r="B146" s="2">
        <v>21710</v>
      </c>
      <c r="C146" s="2" t="s">
        <v>198</v>
      </c>
      <c r="D146" s="2">
        <v>4</v>
      </c>
      <c r="E146" s="3">
        <v>40206.636805555558</v>
      </c>
      <c r="F146" s="2">
        <v>4.95</v>
      </c>
      <c r="G146" s="2">
        <v>17115</v>
      </c>
      <c r="H146" s="2" t="s">
        <v>9</v>
      </c>
    </row>
    <row r="147" spans="1:8" x14ac:dyDescent="0.25">
      <c r="A147" s="2">
        <v>528966</v>
      </c>
      <c r="B147" s="2">
        <v>22112</v>
      </c>
      <c r="C147" s="2" t="s">
        <v>199</v>
      </c>
      <c r="D147" s="2">
        <v>3</v>
      </c>
      <c r="E147" s="3">
        <v>40477.418749999997</v>
      </c>
      <c r="F147" s="2">
        <v>4.95</v>
      </c>
      <c r="G147" s="2">
        <v>16863</v>
      </c>
      <c r="H147" s="2" t="s">
        <v>9</v>
      </c>
    </row>
    <row r="148" spans="1:8" x14ac:dyDescent="0.25">
      <c r="A148" s="2">
        <v>521775</v>
      </c>
      <c r="B148" s="2">
        <v>48111</v>
      </c>
      <c r="C148" s="2" t="s">
        <v>200</v>
      </c>
      <c r="D148" s="2">
        <v>4</v>
      </c>
      <c r="E148" s="3">
        <v>40429.526388888888</v>
      </c>
      <c r="F148" s="2">
        <v>7.95</v>
      </c>
      <c r="G148" s="2">
        <v>13728</v>
      </c>
      <c r="H148" s="2" t="s">
        <v>9</v>
      </c>
    </row>
    <row r="149" spans="1:8" x14ac:dyDescent="0.25">
      <c r="A149" s="2">
        <v>504154</v>
      </c>
      <c r="B149" s="2">
        <v>22528</v>
      </c>
      <c r="C149" s="2" t="s">
        <v>201</v>
      </c>
      <c r="D149" s="2">
        <v>4</v>
      </c>
      <c r="E149" s="3">
        <v>40279.602777777778</v>
      </c>
      <c r="F149" s="2">
        <v>1.25</v>
      </c>
      <c r="G149" s="2">
        <v>15443</v>
      </c>
      <c r="H149" s="2" t="s">
        <v>9</v>
      </c>
    </row>
    <row r="150" spans="1:8" x14ac:dyDescent="0.25">
      <c r="A150" s="2">
        <v>494267</v>
      </c>
      <c r="B150" s="2">
        <v>21260</v>
      </c>
      <c r="C150" s="2" t="s">
        <v>202</v>
      </c>
      <c r="D150" s="2">
        <v>1</v>
      </c>
      <c r="E150" s="3">
        <v>40190.71875</v>
      </c>
      <c r="F150" s="2">
        <v>3.25</v>
      </c>
      <c r="G150" s="2">
        <v>14606</v>
      </c>
      <c r="H150" s="2" t="s">
        <v>9</v>
      </c>
    </row>
    <row r="151" spans="1:8" x14ac:dyDescent="0.25">
      <c r="A151" s="2">
        <v>505479</v>
      </c>
      <c r="B151" s="2">
        <v>22194</v>
      </c>
      <c r="C151" s="2" t="s">
        <v>203</v>
      </c>
      <c r="D151" s="2">
        <v>1</v>
      </c>
      <c r="E151" s="3">
        <v>40290.508333333331</v>
      </c>
      <c r="F151" s="2">
        <v>8.5</v>
      </c>
      <c r="G151" s="2">
        <v>18231</v>
      </c>
      <c r="H151" s="2" t="s">
        <v>9</v>
      </c>
    </row>
    <row r="152" spans="1:8" x14ac:dyDescent="0.25">
      <c r="A152" s="2">
        <v>507597</v>
      </c>
      <c r="B152" s="2">
        <v>22256</v>
      </c>
      <c r="C152" s="2" t="s">
        <v>204</v>
      </c>
      <c r="D152" s="2">
        <v>12</v>
      </c>
      <c r="E152" s="3">
        <v>40308.556250000001</v>
      </c>
      <c r="F152" s="2">
        <v>1.25</v>
      </c>
      <c r="G152" s="2" t="s">
        <v>205</v>
      </c>
      <c r="H152" s="2" t="s">
        <v>9</v>
      </c>
    </row>
    <row r="153" spans="1:8" x14ac:dyDescent="0.25">
      <c r="A153" s="2">
        <v>507996</v>
      </c>
      <c r="B153" s="2">
        <v>22411</v>
      </c>
      <c r="C153" s="2" t="s">
        <v>206</v>
      </c>
      <c r="D153" s="2">
        <v>200</v>
      </c>
      <c r="E153" s="3">
        <v>40310.455555555563</v>
      </c>
      <c r="F153" s="2">
        <v>1.65</v>
      </c>
      <c r="G153" s="2">
        <v>17511</v>
      </c>
      <c r="H153" s="2" t="s">
        <v>9</v>
      </c>
    </row>
    <row r="154" spans="1:8" x14ac:dyDescent="0.25">
      <c r="A154" s="2">
        <v>509441</v>
      </c>
      <c r="B154" s="2">
        <v>22470</v>
      </c>
      <c r="C154" s="2" t="s">
        <v>164</v>
      </c>
      <c r="D154" s="2">
        <v>2</v>
      </c>
      <c r="E154" s="3">
        <v>40321.661111111112</v>
      </c>
      <c r="F154" s="2">
        <v>2.95</v>
      </c>
      <c r="G154" s="2">
        <v>16794</v>
      </c>
      <c r="H154" s="2" t="s">
        <v>9</v>
      </c>
    </row>
    <row r="155" spans="1:8" x14ac:dyDescent="0.25">
      <c r="A155" s="2">
        <v>520700</v>
      </c>
      <c r="B155" s="2">
        <v>22429</v>
      </c>
      <c r="C155" s="2" t="s">
        <v>207</v>
      </c>
      <c r="D155" s="2">
        <v>1</v>
      </c>
      <c r="E155" s="3">
        <v>40419.479861111111</v>
      </c>
      <c r="F155" s="2">
        <v>4.25</v>
      </c>
      <c r="G155" s="2">
        <v>15976</v>
      </c>
      <c r="H155" s="2" t="s">
        <v>9</v>
      </c>
    </row>
    <row r="156" spans="1:8" x14ac:dyDescent="0.25">
      <c r="A156" s="2">
        <v>533761</v>
      </c>
      <c r="B156" s="2">
        <v>22835</v>
      </c>
      <c r="C156" s="2" t="s">
        <v>208</v>
      </c>
      <c r="D156" s="2">
        <v>1</v>
      </c>
      <c r="E156" s="3">
        <v>40500.619444444441</v>
      </c>
      <c r="F156" s="2">
        <v>4.6500000000000004</v>
      </c>
      <c r="G156" s="2">
        <v>17841</v>
      </c>
      <c r="H156" s="2" t="s">
        <v>9</v>
      </c>
    </row>
    <row r="157" spans="1:8" x14ac:dyDescent="0.25">
      <c r="A157" s="2" t="s">
        <v>209</v>
      </c>
      <c r="B157" s="2">
        <v>21658</v>
      </c>
      <c r="C157" s="2" t="s">
        <v>210</v>
      </c>
      <c r="D157" s="2">
        <v>-10</v>
      </c>
      <c r="E157" s="3">
        <v>40259.701388888891</v>
      </c>
      <c r="F157" s="2">
        <v>3.95</v>
      </c>
      <c r="G157" s="2">
        <v>17539</v>
      </c>
      <c r="H157" s="2" t="s">
        <v>9</v>
      </c>
    </row>
    <row r="158" spans="1:8" x14ac:dyDescent="0.25">
      <c r="A158" s="2">
        <v>520904</v>
      </c>
      <c r="B158" s="2">
        <v>22759</v>
      </c>
      <c r="C158" s="2" t="s">
        <v>211</v>
      </c>
      <c r="D158" s="2">
        <v>12</v>
      </c>
      <c r="E158" s="3">
        <v>40422.427083333343</v>
      </c>
      <c r="F158" s="2" t="s">
        <v>212</v>
      </c>
      <c r="G158" s="2">
        <v>16607</v>
      </c>
      <c r="H158" s="2" t="s">
        <v>9</v>
      </c>
    </row>
    <row r="159" spans="1:8" x14ac:dyDescent="0.25">
      <c r="A159" s="2">
        <v>534656</v>
      </c>
      <c r="B159" s="2">
        <v>22759</v>
      </c>
      <c r="C159" s="2" t="s">
        <v>211</v>
      </c>
      <c r="D159" s="2">
        <v>3</v>
      </c>
      <c r="E159" s="3">
        <v>40505.566666666673</v>
      </c>
      <c r="F159" s="2">
        <v>1.65</v>
      </c>
      <c r="G159" s="2">
        <v>13869</v>
      </c>
      <c r="H159" s="2" t="s">
        <v>9</v>
      </c>
    </row>
    <row r="160" spans="1:8" x14ac:dyDescent="0.25">
      <c r="A160" s="2">
        <v>511059</v>
      </c>
      <c r="B160" s="2">
        <v>21652</v>
      </c>
      <c r="C160" s="2" t="s">
        <v>213</v>
      </c>
      <c r="D160" s="2">
        <v>6</v>
      </c>
      <c r="E160" s="3">
        <v>40335.518750000003</v>
      </c>
      <c r="F160" s="2">
        <v>1.95</v>
      </c>
      <c r="G160" s="2">
        <v>16466</v>
      </c>
      <c r="H160" s="2" t="s">
        <v>9</v>
      </c>
    </row>
    <row r="161" spans="1:8" x14ac:dyDescent="0.25">
      <c r="A161" s="2">
        <v>523013</v>
      </c>
      <c r="B161" s="2">
        <v>21135</v>
      </c>
      <c r="C161" s="2" t="s">
        <v>214</v>
      </c>
      <c r="D161" s="2">
        <v>16</v>
      </c>
      <c r="E161" s="3">
        <v>40441.427083333343</v>
      </c>
      <c r="F161" s="2">
        <v>1.69</v>
      </c>
      <c r="G161" s="2">
        <v>15599</v>
      </c>
      <c r="H161" s="2" t="s">
        <v>9</v>
      </c>
    </row>
    <row r="162" spans="1:8" x14ac:dyDescent="0.25">
      <c r="A162" s="2">
        <v>499942</v>
      </c>
      <c r="B162" s="2">
        <v>21304</v>
      </c>
      <c r="C162" s="2" t="s">
        <v>215</v>
      </c>
      <c r="D162" s="2">
        <v>6</v>
      </c>
      <c r="E162" s="3">
        <v>40240.521527777782</v>
      </c>
      <c r="F162" s="2">
        <v>4.95</v>
      </c>
      <c r="G162" s="2">
        <v>13873</v>
      </c>
      <c r="H162" s="2" t="s">
        <v>9</v>
      </c>
    </row>
    <row r="163" spans="1:8" x14ac:dyDescent="0.25">
      <c r="A163" s="2">
        <v>495294</v>
      </c>
      <c r="B163" s="2">
        <v>21212</v>
      </c>
      <c r="C163" s="2" t="s">
        <v>125</v>
      </c>
      <c r="D163" s="2">
        <v>24</v>
      </c>
      <c r="E163" s="3">
        <v>40200.559027777781</v>
      </c>
      <c r="F163" s="2">
        <v>0.55000000000000004</v>
      </c>
      <c r="G163" s="2">
        <v>17460</v>
      </c>
      <c r="H163" s="2" t="s">
        <v>9</v>
      </c>
    </row>
    <row r="164" spans="1:8" x14ac:dyDescent="0.25">
      <c r="A164" s="2">
        <v>520722</v>
      </c>
      <c r="B164" s="2" t="s">
        <v>153</v>
      </c>
      <c r="C164" s="2" t="s">
        <v>154</v>
      </c>
      <c r="D164" s="2">
        <v>10</v>
      </c>
      <c r="E164" s="3">
        <v>40419.613888888889</v>
      </c>
      <c r="F164" s="2">
        <v>2.95</v>
      </c>
      <c r="G164" s="2">
        <v>18149</v>
      </c>
      <c r="H164" s="2" t="s">
        <v>9</v>
      </c>
    </row>
    <row r="165" spans="1:8" x14ac:dyDescent="0.25">
      <c r="A165" s="2">
        <v>532985</v>
      </c>
      <c r="B165" s="2">
        <v>22904</v>
      </c>
      <c r="C165" s="2" t="s">
        <v>216</v>
      </c>
      <c r="D165" s="2">
        <v>4</v>
      </c>
      <c r="E165" s="3">
        <v>40497.580555555563</v>
      </c>
      <c r="F165" s="2">
        <v>2.95</v>
      </c>
      <c r="G165" s="2">
        <v>12733</v>
      </c>
      <c r="H165" s="2" t="s">
        <v>217</v>
      </c>
    </row>
    <row r="166" spans="1:8" x14ac:dyDescent="0.25">
      <c r="A166" s="2">
        <v>514682</v>
      </c>
      <c r="B166" s="2">
        <v>37447</v>
      </c>
      <c r="C166" s="2" t="s">
        <v>218</v>
      </c>
      <c r="D166" s="2">
        <v>12</v>
      </c>
      <c r="E166" s="3">
        <v>40364.580555555563</v>
      </c>
      <c r="F166" s="2">
        <v>1.49</v>
      </c>
      <c r="G166" s="2">
        <v>12693</v>
      </c>
      <c r="H166" s="2" t="s">
        <v>17</v>
      </c>
    </row>
    <row r="167" spans="1:8" x14ac:dyDescent="0.25">
      <c r="A167" s="2">
        <v>522248</v>
      </c>
      <c r="B167" s="2">
        <v>84946</v>
      </c>
      <c r="C167" s="2" t="s">
        <v>24</v>
      </c>
      <c r="D167" s="2">
        <v>6</v>
      </c>
      <c r="E167" s="3">
        <v>40434.513194444437</v>
      </c>
      <c r="F167" s="2">
        <v>1.25</v>
      </c>
      <c r="G167" s="2">
        <v>13593</v>
      </c>
      <c r="H167" s="2" t="s">
        <v>9</v>
      </c>
    </row>
    <row r="168" spans="1:8" x14ac:dyDescent="0.25">
      <c r="A168" s="2">
        <v>497383</v>
      </c>
      <c r="B168" s="2">
        <v>85216</v>
      </c>
      <c r="C168" s="2" t="s">
        <v>219</v>
      </c>
      <c r="D168" s="2">
        <v>12</v>
      </c>
      <c r="E168" s="3">
        <v>40218.500694444447</v>
      </c>
      <c r="F168" s="2">
        <v>0.65</v>
      </c>
      <c r="G168" s="2">
        <v>12621</v>
      </c>
      <c r="H168" s="2" t="s">
        <v>220</v>
      </c>
    </row>
    <row r="169" spans="1:8" x14ac:dyDescent="0.25">
      <c r="A169" s="2">
        <v>501614</v>
      </c>
      <c r="B169" s="2">
        <v>21378</v>
      </c>
      <c r="C169" s="2" t="s">
        <v>221</v>
      </c>
      <c r="D169" s="2">
        <v>144</v>
      </c>
      <c r="E169" s="3">
        <v>40255.456944444442</v>
      </c>
      <c r="F169" s="2">
        <v>0.65</v>
      </c>
      <c r="G169" s="2">
        <v>13694</v>
      </c>
      <c r="H169" s="2" t="s">
        <v>9</v>
      </c>
    </row>
    <row r="170" spans="1:8" x14ac:dyDescent="0.25">
      <c r="A170" s="2">
        <v>508652</v>
      </c>
      <c r="B170" s="2">
        <v>37448</v>
      </c>
      <c r="C170" s="2" t="s">
        <v>222</v>
      </c>
      <c r="D170" s="2">
        <v>1</v>
      </c>
      <c r="E170" s="3">
        <v>40315.658333333333</v>
      </c>
      <c r="F170" s="2">
        <v>1.49</v>
      </c>
      <c r="G170" s="2">
        <v>16400</v>
      </c>
      <c r="H170" s="2" t="s">
        <v>9</v>
      </c>
    </row>
    <row r="171" spans="1:8" x14ac:dyDescent="0.25">
      <c r="A171" s="2">
        <v>533038</v>
      </c>
      <c r="B171" s="2" t="s">
        <v>223</v>
      </c>
      <c r="C171" s="2" t="s">
        <v>224</v>
      </c>
      <c r="D171" s="2">
        <v>2</v>
      </c>
      <c r="E171" s="3">
        <v>40497.675694444442</v>
      </c>
      <c r="F171" s="2">
        <v>7.95</v>
      </c>
      <c r="G171" s="2">
        <v>14065</v>
      </c>
      <c r="H171" s="2" t="s">
        <v>9</v>
      </c>
    </row>
    <row r="172" spans="1:8" x14ac:dyDescent="0.25">
      <c r="A172" s="2">
        <v>497909</v>
      </c>
      <c r="B172" s="2">
        <v>22058</v>
      </c>
      <c r="C172" s="2" t="s">
        <v>225</v>
      </c>
      <c r="D172" s="2">
        <v>1</v>
      </c>
      <c r="E172" s="3">
        <v>40223.568749999999</v>
      </c>
      <c r="F172" s="2">
        <v>1.49</v>
      </c>
      <c r="G172" s="2">
        <v>15272</v>
      </c>
      <c r="H172" s="2" t="s">
        <v>9</v>
      </c>
    </row>
    <row r="173" spans="1:8" x14ac:dyDescent="0.25">
      <c r="A173" s="2">
        <v>501267</v>
      </c>
      <c r="B173" s="2">
        <v>22292</v>
      </c>
      <c r="C173" s="2" t="s">
        <v>226</v>
      </c>
      <c r="D173" s="2">
        <v>4</v>
      </c>
      <c r="E173" s="3">
        <v>40252.537499999999</v>
      </c>
      <c r="F173" s="2">
        <v>1.45</v>
      </c>
      <c r="G173" s="2">
        <v>17085</v>
      </c>
      <c r="H173" s="2" t="s">
        <v>9</v>
      </c>
    </row>
    <row r="174" spans="1:8" x14ac:dyDescent="0.25">
      <c r="A174" s="2">
        <v>501710</v>
      </c>
      <c r="B174" s="2">
        <v>22151</v>
      </c>
      <c r="C174" s="2" t="s">
        <v>227</v>
      </c>
      <c r="D174" s="2">
        <v>24</v>
      </c>
      <c r="E174" s="3">
        <v>40256.421527777777</v>
      </c>
      <c r="F174" s="2">
        <v>0.42</v>
      </c>
      <c r="G174" s="2">
        <v>17738</v>
      </c>
      <c r="H174" s="2" t="s">
        <v>9</v>
      </c>
    </row>
    <row r="175" spans="1:8" x14ac:dyDescent="0.25">
      <c r="A175" s="2">
        <v>513559</v>
      </c>
      <c r="B175" s="2">
        <v>84789</v>
      </c>
      <c r="C175" s="2" t="s">
        <v>228</v>
      </c>
      <c r="D175" s="2">
        <v>2</v>
      </c>
      <c r="E175" s="3">
        <v>40354.565972222219</v>
      </c>
      <c r="F175" s="2">
        <v>3.75</v>
      </c>
      <c r="G175" s="2">
        <v>17804</v>
      </c>
      <c r="H175" s="2" t="s">
        <v>9</v>
      </c>
    </row>
    <row r="176" spans="1:8" x14ac:dyDescent="0.25">
      <c r="A176" s="2">
        <v>509759</v>
      </c>
      <c r="B176" s="2">
        <v>20726</v>
      </c>
      <c r="C176" s="2" t="s">
        <v>229</v>
      </c>
      <c r="D176" s="2">
        <v>10</v>
      </c>
      <c r="E176" s="3">
        <v>40323.63958333333</v>
      </c>
      <c r="F176" s="2">
        <v>1.65</v>
      </c>
      <c r="G176" s="2">
        <v>14930</v>
      </c>
      <c r="H176" s="2" t="s">
        <v>230</v>
      </c>
    </row>
    <row r="177" spans="1:8" x14ac:dyDescent="0.25">
      <c r="A177" s="2">
        <v>532681</v>
      </c>
      <c r="B177" s="2">
        <v>22132</v>
      </c>
      <c r="C177" s="2" t="s">
        <v>231</v>
      </c>
      <c r="D177" s="2">
        <v>1</v>
      </c>
      <c r="E177" s="3">
        <v>40496.525000000001</v>
      </c>
      <c r="F177" s="2">
        <v>0.85</v>
      </c>
      <c r="G177" s="2">
        <v>17561</v>
      </c>
      <c r="H177" s="2" t="s">
        <v>9</v>
      </c>
    </row>
    <row r="178" spans="1:8" x14ac:dyDescent="0.25">
      <c r="A178" s="2">
        <v>500362</v>
      </c>
      <c r="B178" s="2" t="s">
        <v>232</v>
      </c>
      <c r="C178" s="2" t="s">
        <v>233</v>
      </c>
      <c r="D178" s="2">
        <v>4</v>
      </c>
      <c r="E178" s="3">
        <v>40244.675000000003</v>
      </c>
      <c r="F178" s="2">
        <v>2.95</v>
      </c>
      <c r="G178" s="2">
        <v>17449</v>
      </c>
      <c r="H178" s="2" t="s">
        <v>9</v>
      </c>
    </row>
    <row r="179" spans="1:8" x14ac:dyDescent="0.25">
      <c r="A179" s="2">
        <v>531735</v>
      </c>
      <c r="B179" s="2">
        <v>22833</v>
      </c>
      <c r="C179" s="2" t="s">
        <v>234</v>
      </c>
      <c r="D179" s="2">
        <v>1</v>
      </c>
      <c r="E179" s="3">
        <v>40491.519444444442</v>
      </c>
      <c r="F179" s="2">
        <v>49.95</v>
      </c>
      <c r="G179" s="2">
        <v>17428</v>
      </c>
      <c r="H179" s="2" t="s">
        <v>9</v>
      </c>
    </row>
    <row r="180" spans="1:8" x14ac:dyDescent="0.25">
      <c r="A180" s="2">
        <v>521989</v>
      </c>
      <c r="B180" s="2">
        <v>22940</v>
      </c>
      <c r="C180" s="2" t="s">
        <v>235</v>
      </c>
      <c r="D180" s="2">
        <v>4</v>
      </c>
      <c r="E180" s="3">
        <v>40431.449305555558</v>
      </c>
      <c r="F180" s="2">
        <v>4.25</v>
      </c>
      <c r="G180" s="2">
        <v>12921</v>
      </c>
      <c r="H180" s="2" t="s">
        <v>9</v>
      </c>
    </row>
    <row r="181" spans="1:8" x14ac:dyDescent="0.25">
      <c r="A181" s="2">
        <v>534516</v>
      </c>
      <c r="B181" s="2">
        <v>22703</v>
      </c>
      <c r="C181" s="2" t="s">
        <v>236</v>
      </c>
      <c r="D181" s="2">
        <v>6</v>
      </c>
      <c r="E181" s="3">
        <v>40505.5</v>
      </c>
      <c r="F181" s="2">
        <v>2.1</v>
      </c>
      <c r="G181" s="2">
        <v>15235</v>
      </c>
      <c r="H181" s="2" t="s">
        <v>9</v>
      </c>
    </row>
    <row r="182" spans="1:8" x14ac:dyDescent="0.25">
      <c r="A182" s="2">
        <v>512280</v>
      </c>
      <c r="B182" s="2" t="s">
        <v>237</v>
      </c>
      <c r="C182" s="2" t="s">
        <v>238</v>
      </c>
      <c r="D182" s="2">
        <v>12</v>
      </c>
      <c r="E182" s="3">
        <v>40343.585416666669</v>
      </c>
      <c r="F182" s="2">
        <v>1.25</v>
      </c>
      <c r="G182" s="2">
        <v>14911</v>
      </c>
      <c r="H182" s="2" t="s">
        <v>11</v>
      </c>
    </row>
    <row r="183" spans="1:8" x14ac:dyDescent="0.25">
      <c r="A183" s="2">
        <v>500125</v>
      </c>
      <c r="B183" s="2">
        <v>21586</v>
      </c>
      <c r="C183" s="2" t="s">
        <v>239</v>
      </c>
      <c r="D183" s="2">
        <v>12</v>
      </c>
      <c r="E183" s="3">
        <v>40241.60833333333</v>
      </c>
      <c r="F183" s="2">
        <v>2.5499999999999998</v>
      </c>
      <c r="G183" s="2">
        <v>14426</v>
      </c>
      <c r="H183" s="2" t="s">
        <v>9</v>
      </c>
    </row>
    <row r="184" spans="1:8" x14ac:dyDescent="0.25">
      <c r="A184" s="2">
        <v>493436</v>
      </c>
      <c r="B184" s="2">
        <v>20869</v>
      </c>
      <c r="C184" s="2" t="s">
        <v>240</v>
      </c>
      <c r="D184" s="2">
        <v>240</v>
      </c>
      <c r="E184" s="3">
        <v>40182.543749999997</v>
      </c>
      <c r="F184" s="2">
        <v>0.38</v>
      </c>
      <c r="G184" s="2">
        <v>13694</v>
      </c>
      <c r="H184" s="2" t="s">
        <v>9</v>
      </c>
    </row>
    <row r="185" spans="1:8" x14ac:dyDescent="0.25">
      <c r="A185" s="2" t="s">
        <v>241</v>
      </c>
      <c r="B185" s="2">
        <v>37500</v>
      </c>
      <c r="C185" s="2" t="s">
        <v>242</v>
      </c>
      <c r="D185" s="2">
        <v>-4</v>
      </c>
      <c r="E185" s="3">
        <v>40385.570833333331</v>
      </c>
      <c r="F185" s="2">
        <v>9.9499999999999993</v>
      </c>
      <c r="G185" s="2">
        <v>16555</v>
      </c>
      <c r="H185" s="2" t="s">
        <v>9</v>
      </c>
    </row>
    <row r="186" spans="1:8" x14ac:dyDescent="0.25">
      <c r="A186" s="2">
        <v>497341</v>
      </c>
      <c r="B186" s="2">
        <v>21213</v>
      </c>
      <c r="C186" s="2" t="s">
        <v>243</v>
      </c>
      <c r="D186" s="2">
        <v>24</v>
      </c>
      <c r="E186" s="3">
        <v>40217.645833333343</v>
      </c>
      <c r="F186" s="2">
        <v>0.55000000000000004</v>
      </c>
      <c r="G186" s="2">
        <v>13819</v>
      </c>
      <c r="H186" s="2" t="s">
        <v>9</v>
      </c>
    </row>
    <row r="187" spans="1:8" x14ac:dyDescent="0.25">
      <c r="A187" s="2">
        <v>532305</v>
      </c>
      <c r="B187" s="2">
        <v>22956</v>
      </c>
      <c r="C187" s="2" t="s">
        <v>244</v>
      </c>
      <c r="D187" s="2">
        <v>48</v>
      </c>
      <c r="E187" s="3">
        <v>40493.599305555559</v>
      </c>
      <c r="F187" s="2">
        <v>1.85</v>
      </c>
      <c r="G187" s="2">
        <v>12356</v>
      </c>
      <c r="H187" s="2" t="s">
        <v>245</v>
      </c>
    </row>
    <row r="188" spans="1:8" x14ac:dyDescent="0.25">
      <c r="A188" s="2">
        <v>530163</v>
      </c>
      <c r="B188" s="2">
        <v>22665</v>
      </c>
      <c r="C188" s="2" t="s">
        <v>102</v>
      </c>
      <c r="D188" s="2">
        <v>12</v>
      </c>
      <c r="E188" s="2" t="s">
        <v>246</v>
      </c>
      <c r="F188" s="2">
        <v>2.95</v>
      </c>
      <c r="G188" s="2">
        <v>17739</v>
      </c>
      <c r="H188" s="2" t="s">
        <v>9</v>
      </c>
    </row>
    <row r="189" spans="1:8" x14ac:dyDescent="0.25">
      <c r="A189" s="2">
        <v>525860</v>
      </c>
      <c r="B189" s="2">
        <v>22633</v>
      </c>
      <c r="C189" s="2" t="s">
        <v>247</v>
      </c>
      <c r="D189" s="2">
        <v>12</v>
      </c>
      <c r="E189" s="3">
        <v>40458.554861111108</v>
      </c>
      <c r="F189" s="2">
        <v>2.1</v>
      </c>
      <c r="G189" s="2">
        <v>13089</v>
      </c>
      <c r="H189" s="2" t="s">
        <v>9</v>
      </c>
    </row>
    <row r="190" spans="1:8" x14ac:dyDescent="0.25">
      <c r="A190" s="2">
        <v>525002</v>
      </c>
      <c r="B190" s="2">
        <v>21564</v>
      </c>
      <c r="C190" s="2" t="s">
        <v>248</v>
      </c>
      <c r="D190" s="2">
        <v>6</v>
      </c>
      <c r="E190" s="3">
        <v>40454.435416666667</v>
      </c>
      <c r="F190" s="2">
        <v>2.95</v>
      </c>
      <c r="G190" s="2">
        <v>17022</v>
      </c>
      <c r="H190" s="2" t="s">
        <v>9</v>
      </c>
    </row>
    <row r="191" spans="1:8" x14ac:dyDescent="0.25">
      <c r="A191" s="2">
        <v>507691</v>
      </c>
      <c r="B191" s="2">
        <v>20992</v>
      </c>
      <c r="C191" s="2" t="s">
        <v>249</v>
      </c>
      <c r="D191" s="2">
        <v>4</v>
      </c>
      <c r="E191" s="3">
        <v>40309.429861111108</v>
      </c>
      <c r="F191" s="2">
        <v>0.85</v>
      </c>
      <c r="G191" s="2">
        <v>14395</v>
      </c>
      <c r="H191" s="2" t="s">
        <v>138</v>
      </c>
    </row>
    <row r="192" spans="1:8" x14ac:dyDescent="0.25">
      <c r="A192" s="2">
        <v>512400</v>
      </c>
      <c r="B192" s="2">
        <v>22605</v>
      </c>
      <c r="C192" s="2" t="s">
        <v>103</v>
      </c>
      <c r="E192" s="3">
        <v>40344.524305555547</v>
      </c>
      <c r="F192" s="2">
        <v>12.75</v>
      </c>
      <c r="G192" s="2">
        <v>13297</v>
      </c>
      <c r="H192" s="2" t="s">
        <v>9</v>
      </c>
    </row>
    <row r="193" spans="1:8" x14ac:dyDescent="0.25">
      <c r="A193" s="2">
        <v>525172</v>
      </c>
      <c r="B193" s="2">
        <v>22501</v>
      </c>
      <c r="C193" s="2" t="s">
        <v>250</v>
      </c>
      <c r="D193" s="2">
        <v>2</v>
      </c>
      <c r="E193" s="3">
        <v>40455.515277777777</v>
      </c>
      <c r="F193" s="2">
        <v>9.9499999999999993</v>
      </c>
      <c r="G193" s="2">
        <v>15596</v>
      </c>
      <c r="H193" s="2" t="s">
        <v>9</v>
      </c>
    </row>
    <row r="194" spans="1:8" x14ac:dyDescent="0.25">
      <c r="A194" s="2">
        <v>492216</v>
      </c>
      <c r="B194" s="2">
        <v>84869</v>
      </c>
      <c r="C194" s="2" t="s">
        <v>251</v>
      </c>
      <c r="D194" s="2">
        <v>12</v>
      </c>
      <c r="E194" s="3">
        <v>40162.725694444453</v>
      </c>
      <c r="F194" s="2">
        <v>1.95</v>
      </c>
      <c r="G194" s="2">
        <v>15641</v>
      </c>
      <c r="H194" s="2" t="s">
        <v>9</v>
      </c>
    </row>
    <row r="195" spans="1:8" x14ac:dyDescent="0.25">
      <c r="A195" s="2">
        <v>490008</v>
      </c>
      <c r="B195" s="2">
        <v>22151</v>
      </c>
      <c r="C195" s="2" t="s">
        <v>227</v>
      </c>
      <c r="D195" s="2">
        <v>2</v>
      </c>
      <c r="E195" s="3">
        <v>40150.506944444453</v>
      </c>
      <c r="F195" s="2">
        <v>0.42</v>
      </c>
      <c r="G195" s="2">
        <v>15768</v>
      </c>
      <c r="H195" s="2" t="s">
        <v>9</v>
      </c>
    </row>
    <row r="196" spans="1:8" x14ac:dyDescent="0.25">
      <c r="A196" s="2" t="s">
        <v>252</v>
      </c>
      <c r="B196" s="2">
        <v>37448</v>
      </c>
      <c r="C196" s="2" t="s">
        <v>222</v>
      </c>
      <c r="D196" s="2">
        <v>24</v>
      </c>
      <c r="E196" s="3">
        <v>40150.663888888892</v>
      </c>
      <c r="F196" s="2">
        <v>1.49</v>
      </c>
      <c r="G196" s="2">
        <v>12949</v>
      </c>
      <c r="H196" s="2" t="s">
        <v>9</v>
      </c>
    </row>
    <row r="197" spans="1:8" x14ac:dyDescent="0.25">
      <c r="A197" s="2">
        <v>497346</v>
      </c>
      <c r="B197" s="2">
        <v>21843</v>
      </c>
      <c r="C197" s="2" t="s">
        <v>253</v>
      </c>
      <c r="D197" s="2">
        <v>3</v>
      </c>
      <c r="E197" s="3">
        <v>40217.658333333333</v>
      </c>
      <c r="F197" s="2">
        <v>10.95</v>
      </c>
      <c r="G197" s="2">
        <v>16551</v>
      </c>
      <c r="H197" s="2" t="s">
        <v>9</v>
      </c>
    </row>
    <row r="198" spans="1:8" x14ac:dyDescent="0.25">
      <c r="A198" s="2">
        <v>506718</v>
      </c>
      <c r="B198" s="2">
        <v>22607</v>
      </c>
      <c r="C198" s="2" t="s">
        <v>254</v>
      </c>
      <c r="D198" s="2">
        <v>2</v>
      </c>
      <c r="E198" s="3">
        <v>40302.375694444447</v>
      </c>
      <c r="F198" s="2">
        <v>8.5</v>
      </c>
      <c r="G198" s="2">
        <v>17091</v>
      </c>
      <c r="H198" s="2" t="s">
        <v>9</v>
      </c>
    </row>
    <row r="199" spans="1:8" x14ac:dyDescent="0.25">
      <c r="A199" s="2">
        <v>526462</v>
      </c>
      <c r="B199" s="2">
        <v>22441</v>
      </c>
      <c r="C199" s="2" t="s">
        <v>255</v>
      </c>
      <c r="D199" s="2">
        <v>3</v>
      </c>
      <c r="E199" s="3">
        <v>40462.676388888889</v>
      </c>
      <c r="F199" s="2">
        <v>2.1</v>
      </c>
      <c r="G199" s="2">
        <v>15024</v>
      </c>
      <c r="H199" s="2" t="s">
        <v>9</v>
      </c>
    </row>
    <row r="200" spans="1:8" x14ac:dyDescent="0.25">
      <c r="A200" s="2">
        <v>499900</v>
      </c>
      <c r="B200" s="2">
        <v>85200</v>
      </c>
      <c r="C200" s="2" t="s">
        <v>256</v>
      </c>
      <c r="D200" s="2">
        <v>12</v>
      </c>
      <c r="E200" s="3">
        <v>40240.501388888893</v>
      </c>
      <c r="F200" s="2">
        <v>1.25</v>
      </c>
      <c r="G200" s="2">
        <v>14194</v>
      </c>
      <c r="H200" s="2" t="s">
        <v>9</v>
      </c>
    </row>
    <row r="201" spans="1:8" x14ac:dyDescent="0.25">
      <c r="A201" s="2">
        <v>495029</v>
      </c>
      <c r="B201" s="2">
        <v>21790</v>
      </c>
      <c r="C201" s="2" t="s">
        <v>257</v>
      </c>
      <c r="D201" s="2">
        <v>3</v>
      </c>
      <c r="E201" s="3">
        <v>40198.585416666669</v>
      </c>
      <c r="F201" s="2">
        <v>0.85</v>
      </c>
      <c r="G201" s="2">
        <v>16085</v>
      </c>
      <c r="H201" s="2" t="s">
        <v>132</v>
      </c>
    </row>
    <row r="202" spans="1:8" x14ac:dyDescent="0.25">
      <c r="A202" s="2">
        <v>534656</v>
      </c>
      <c r="B202" s="2">
        <v>22576</v>
      </c>
      <c r="C202" s="2" t="s">
        <v>258</v>
      </c>
      <c r="D202" s="2">
        <v>4</v>
      </c>
      <c r="E202" s="3">
        <v>40505.566666666673</v>
      </c>
      <c r="F202" s="2">
        <v>0.85</v>
      </c>
      <c r="G202" s="2">
        <v>13869</v>
      </c>
      <c r="H202" s="2" t="s">
        <v>9</v>
      </c>
    </row>
    <row r="203" spans="1:8" x14ac:dyDescent="0.25">
      <c r="A203" s="2">
        <v>514355</v>
      </c>
      <c r="B203" s="2">
        <v>22553</v>
      </c>
      <c r="C203" s="2" t="s">
        <v>259</v>
      </c>
      <c r="D203" s="2">
        <v>10</v>
      </c>
      <c r="E203" s="3">
        <v>40360.699999999997</v>
      </c>
      <c r="F203" s="2">
        <v>1.65</v>
      </c>
      <c r="G203" s="2">
        <v>17589</v>
      </c>
      <c r="H203" s="2" t="s">
        <v>9</v>
      </c>
    </row>
    <row r="204" spans="1:8" x14ac:dyDescent="0.25">
      <c r="A204" s="2">
        <v>532076</v>
      </c>
      <c r="B204" s="2">
        <v>22396</v>
      </c>
      <c r="C204" s="2" t="s">
        <v>260</v>
      </c>
      <c r="D204" s="2">
        <v>1</v>
      </c>
      <c r="E204" s="3">
        <v>40492.625</v>
      </c>
      <c r="F204" s="2">
        <v>1.25</v>
      </c>
      <c r="G204" s="2">
        <v>17338</v>
      </c>
      <c r="H204" s="2" t="s">
        <v>9</v>
      </c>
    </row>
    <row r="205" spans="1:8" x14ac:dyDescent="0.25">
      <c r="A205" s="2">
        <v>490382</v>
      </c>
      <c r="B205" s="2">
        <v>20819</v>
      </c>
      <c r="C205" s="2" t="s">
        <v>261</v>
      </c>
      <c r="D205" s="2">
        <v>4</v>
      </c>
      <c r="E205" s="3">
        <v>40152.563888888893</v>
      </c>
      <c r="F205" s="2">
        <v>3.75</v>
      </c>
      <c r="G205" s="2">
        <v>12359</v>
      </c>
      <c r="H205" s="2" t="s">
        <v>160</v>
      </c>
    </row>
    <row r="206" spans="1:8" x14ac:dyDescent="0.25">
      <c r="A206" s="2">
        <v>518426</v>
      </c>
      <c r="B206" s="2">
        <v>85016</v>
      </c>
      <c r="C206" s="2" t="s">
        <v>262</v>
      </c>
      <c r="D206" s="2">
        <v>6</v>
      </c>
      <c r="E206" s="3">
        <v>40399.40625</v>
      </c>
      <c r="F206" s="2" t="s">
        <v>263</v>
      </c>
      <c r="G206" s="2">
        <v>16170</v>
      </c>
      <c r="H206" s="2" t="s">
        <v>87</v>
      </c>
    </row>
    <row r="207" spans="1:8" x14ac:dyDescent="0.25">
      <c r="A207" s="2">
        <v>525928</v>
      </c>
      <c r="B207" s="2">
        <v>22909</v>
      </c>
      <c r="C207" s="2" t="s">
        <v>157</v>
      </c>
      <c r="D207" s="2">
        <v>8</v>
      </c>
      <c r="E207" s="3">
        <v>40458.699999999997</v>
      </c>
      <c r="F207" s="2">
        <v>0.85</v>
      </c>
      <c r="G207" s="2">
        <v>16072</v>
      </c>
      <c r="H207" s="2" t="s">
        <v>9</v>
      </c>
    </row>
    <row r="208" spans="1:8" x14ac:dyDescent="0.25">
      <c r="A208" s="2">
        <v>530753</v>
      </c>
      <c r="B208" s="2" t="s">
        <v>264</v>
      </c>
      <c r="C208" s="2" t="s">
        <v>265</v>
      </c>
      <c r="D208" s="2">
        <v>8</v>
      </c>
      <c r="E208" s="3">
        <v>40486.49722222222</v>
      </c>
      <c r="F208" s="2">
        <v>3.25</v>
      </c>
      <c r="G208" s="2">
        <v>12949</v>
      </c>
      <c r="H208" s="2" t="s">
        <v>9</v>
      </c>
    </row>
    <row r="209" spans="1:8" x14ac:dyDescent="0.25">
      <c r="A209" s="2">
        <v>530785</v>
      </c>
      <c r="B209" s="2" t="s">
        <v>266</v>
      </c>
      <c r="C209" s="2" t="s">
        <v>267</v>
      </c>
      <c r="D209" s="2">
        <v>6</v>
      </c>
      <c r="E209" s="3">
        <v>40486.506249999999</v>
      </c>
      <c r="F209" s="2">
        <v>2.5499999999999998</v>
      </c>
      <c r="G209" s="2">
        <v>17702</v>
      </c>
      <c r="H209" s="2" t="s">
        <v>9</v>
      </c>
    </row>
    <row r="210" spans="1:8" x14ac:dyDescent="0.25">
      <c r="A210" s="2">
        <v>517111</v>
      </c>
      <c r="B210" s="2">
        <v>82600</v>
      </c>
      <c r="C210" s="2" t="s">
        <v>268</v>
      </c>
      <c r="D210" s="2">
        <v>12</v>
      </c>
      <c r="E210" s="3">
        <v>40385.65347222222</v>
      </c>
      <c r="F210" s="2">
        <v>2.1</v>
      </c>
      <c r="G210" s="2" t="s">
        <v>269</v>
      </c>
      <c r="H210" s="2" t="s">
        <v>9</v>
      </c>
    </row>
    <row r="211" spans="1:8" x14ac:dyDescent="0.25">
      <c r="A211" s="2">
        <v>521195</v>
      </c>
      <c r="B211" s="2" t="s">
        <v>270</v>
      </c>
      <c r="C211" s="2" t="s">
        <v>271</v>
      </c>
      <c r="D211" s="2">
        <v>25</v>
      </c>
      <c r="E211" s="3">
        <v>40423.720138888893</v>
      </c>
      <c r="F211" s="2">
        <v>0.42</v>
      </c>
      <c r="G211" s="2">
        <v>15424</v>
      </c>
      <c r="H211" s="2" t="s">
        <v>9</v>
      </c>
    </row>
    <row r="212" spans="1:8" x14ac:dyDescent="0.25">
      <c r="A212" s="2">
        <v>502922</v>
      </c>
      <c r="B212" s="2">
        <v>85119</v>
      </c>
      <c r="C212" s="2" t="s">
        <v>272</v>
      </c>
      <c r="D212" s="2">
        <v>1</v>
      </c>
      <c r="E212" s="3">
        <v>40266.586111111108</v>
      </c>
      <c r="F212" s="2">
        <v>1.69</v>
      </c>
      <c r="G212" s="2">
        <v>18041</v>
      </c>
      <c r="H212" s="2" t="s">
        <v>9</v>
      </c>
    </row>
    <row r="213" spans="1:8" x14ac:dyDescent="0.25">
      <c r="A213" s="2">
        <v>526749</v>
      </c>
      <c r="B213" s="2">
        <v>22406</v>
      </c>
      <c r="D213" s="2">
        <v>12</v>
      </c>
      <c r="E213" s="3">
        <v>40464.407638888893</v>
      </c>
      <c r="F213" s="2">
        <v>1.25</v>
      </c>
      <c r="G213" s="2">
        <v>16643</v>
      </c>
      <c r="H213" s="2" t="s">
        <v>9</v>
      </c>
    </row>
    <row r="214" spans="1:8" x14ac:dyDescent="0.25">
      <c r="A214" s="2">
        <v>527053</v>
      </c>
      <c r="B214" s="2">
        <v>22588</v>
      </c>
      <c r="C214" s="2" t="s">
        <v>273</v>
      </c>
      <c r="D214" s="2">
        <v>3</v>
      </c>
      <c r="E214" s="3">
        <v>40465.545138888891</v>
      </c>
      <c r="F214" s="2">
        <v>2.5499999999999998</v>
      </c>
      <c r="G214" s="2">
        <v>14343</v>
      </c>
      <c r="H214" s="2" t="s">
        <v>132</v>
      </c>
    </row>
    <row r="215" spans="1:8" x14ac:dyDescent="0.25">
      <c r="A215" s="2">
        <v>537153</v>
      </c>
      <c r="B215" s="2" t="s">
        <v>274</v>
      </c>
      <c r="C215" s="2" t="s">
        <v>275</v>
      </c>
      <c r="D215" s="2">
        <v>3</v>
      </c>
      <c r="E215" s="3">
        <v>40517.543749999997</v>
      </c>
      <c r="F215" s="2">
        <v>7.95</v>
      </c>
      <c r="G215" s="2">
        <v>16718</v>
      </c>
      <c r="H215" s="2" t="s">
        <v>9</v>
      </c>
    </row>
    <row r="216" spans="1:8" x14ac:dyDescent="0.25">
      <c r="A216" s="2">
        <v>495158</v>
      </c>
      <c r="B216" s="2">
        <v>21908</v>
      </c>
      <c r="C216" s="2" t="s">
        <v>276</v>
      </c>
      <c r="D216" s="2">
        <v>1</v>
      </c>
      <c r="E216" s="3">
        <v>40199.525694444441</v>
      </c>
      <c r="F216" s="2">
        <v>2.1</v>
      </c>
      <c r="G216" s="2">
        <v>13527</v>
      </c>
      <c r="H216" s="2" t="s">
        <v>9</v>
      </c>
    </row>
    <row r="217" spans="1:8" x14ac:dyDescent="0.25">
      <c r="A217" s="2">
        <v>530085</v>
      </c>
      <c r="B217" s="2" t="s">
        <v>277</v>
      </c>
      <c r="C217" s="2" t="s">
        <v>278</v>
      </c>
      <c r="D217" s="2">
        <v>1</v>
      </c>
      <c r="E217" s="3">
        <v>40483.55972222222</v>
      </c>
      <c r="F217" s="2">
        <v>1.95</v>
      </c>
      <c r="G217" s="2">
        <v>17315</v>
      </c>
      <c r="H217" s="2" t="s">
        <v>9</v>
      </c>
    </row>
    <row r="218" spans="1:8" x14ac:dyDescent="0.25">
      <c r="A218" s="2">
        <v>537871</v>
      </c>
      <c r="B218" s="2">
        <v>22561</v>
      </c>
      <c r="C218" s="2" t="s">
        <v>27</v>
      </c>
      <c r="D218" s="2">
        <v>2</v>
      </c>
      <c r="E218" s="3">
        <v>40520.722222222219</v>
      </c>
      <c r="F218" s="2">
        <v>1.65</v>
      </c>
      <c r="G218" s="2">
        <v>12748</v>
      </c>
      <c r="H218" s="2" t="s">
        <v>9</v>
      </c>
    </row>
    <row r="219" spans="1:8" x14ac:dyDescent="0.25">
      <c r="A219" s="2">
        <v>521642</v>
      </c>
      <c r="B219" s="2">
        <v>21976</v>
      </c>
      <c r="C219" s="2" t="s">
        <v>279</v>
      </c>
      <c r="D219" s="2">
        <v>24</v>
      </c>
      <c r="E219" s="3">
        <v>40428.544444444437</v>
      </c>
      <c r="F219" s="2">
        <v>0.55000000000000004</v>
      </c>
      <c r="G219" s="2">
        <v>14911</v>
      </c>
      <c r="H219" s="2" t="s">
        <v>11</v>
      </c>
    </row>
    <row r="220" spans="1:8" x14ac:dyDescent="0.25">
      <c r="A220" s="2">
        <v>502724</v>
      </c>
      <c r="B220" s="2">
        <v>20685</v>
      </c>
      <c r="C220" s="2" t="s">
        <v>280</v>
      </c>
      <c r="D220" s="2">
        <v>2</v>
      </c>
      <c r="E220" s="3">
        <v>40263.476388888892</v>
      </c>
      <c r="F220" s="2">
        <v>7.49</v>
      </c>
      <c r="G220" s="2">
        <v>14110</v>
      </c>
      <c r="H220" s="2" t="s">
        <v>57</v>
      </c>
    </row>
    <row r="221" spans="1:8" x14ac:dyDescent="0.25">
      <c r="A221" s="2">
        <v>529156</v>
      </c>
      <c r="B221" s="2">
        <v>22143</v>
      </c>
      <c r="C221" s="2" t="s">
        <v>281</v>
      </c>
      <c r="D221" s="2">
        <v>2</v>
      </c>
      <c r="E221" s="3">
        <v>40477.699305555558</v>
      </c>
      <c r="F221" s="2">
        <v>2.1</v>
      </c>
      <c r="G221" s="2">
        <v>16549</v>
      </c>
      <c r="H221" s="2" t="s">
        <v>9</v>
      </c>
    </row>
    <row r="222" spans="1:8" x14ac:dyDescent="0.25">
      <c r="A222" s="2">
        <v>526906</v>
      </c>
      <c r="B222" s="2">
        <v>84199</v>
      </c>
      <c r="C222" s="2" t="s">
        <v>282</v>
      </c>
      <c r="D222" s="2">
        <v>1</v>
      </c>
      <c r="E222" s="3">
        <v>40464.640277777777</v>
      </c>
      <c r="F222" s="2">
        <v>0.21</v>
      </c>
      <c r="G222" s="2">
        <v>16120</v>
      </c>
      <c r="H222" s="2" t="s">
        <v>9</v>
      </c>
    </row>
    <row r="223" spans="1:8" x14ac:dyDescent="0.25">
      <c r="A223" s="2">
        <v>519610</v>
      </c>
      <c r="B223" s="2">
        <v>84077</v>
      </c>
      <c r="C223" s="2" t="s">
        <v>283</v>
      </c>
      <c r="D223" s="2" t="s">
        <v>284</v>
      </c>
      <c r="E223" s="3">
        <v>40408.70416666667</v>
      </c>
      <c r="F223" s="2">
        <v>0.21</v>
      </c>
      <c r="G223" s="2">
        <v>15494</v>
      </c>
      <c r="H223" s="2" t="s">
        <v>9</v>
      </c>
    </row>
    <row r="224" spans="1:8" x14ac:dyDescent="0.25">
      <c r="A224" s="2">
        <v>529842</v>
      </c>
      <c r="B224" s="2">
        <v>21169</v>
      </c>
      <c r="C224" s="2" t="s">
        <v>285</v>
      </c>
      <c r="D224" s="2">
        <v>1</v>
      </c>
      <c r="E224" s="3">
        <v>40482.536111111112</v>
      </c>
      <c r="F224" s="2">
        <v>1.69</v>
      </c>
      <c r="G224" s="2">
        <v>15038</v>
      </c>
      <c r="H224" s="2" t="s">
        <v>9</v>
      </c>
    </row>
    <row r="225" spans="1:8" x14ac:dyDescent="0.25">
      <c r="A225" s="2">
        <v>489916</v>
      </c>
      <c r="B225" s="2" t="s">
        <v>286</v>
      </c>
      <c r="C225" s="2" t="s">
        <v>287</v>
      </c>
      <c r="D225" s="2">
        <v>25</v>
      </c>
      <c r="E225" s="3">
        <v>40150.442361111112</v>
      </c>
      <c r="F225" s="2">
        <v>0.42</v>
      </c>
      <c r="G225" s="2">
        <v>15194</v>
      </c>
      <c r="H225" s="2" t="s">
        <v>9</v>
      </c>
    </row>
    <row r="226" spans="1:8" x14ac:dyDescent="0.25">
      <c r="A226" s="2">
        <v>490142</v>
      </c>
      <c r="B226" s="2">
        <v>37503</v>
      </c>
      <c r="C226" s="2" t="s">
        <v>288</v>
      </c>
      <c r="D226" s="2">
        <v>6</v>
      </c>
      <c r="E226" s="3">
        <v>40151.35833333333</v>
      </c>
      <c r="F226" s="2">
        <v>10.75</v>
      </c>
      <c r="G226" s="2">
        <v>14258</v>
      </c>
      <c r="H226" s="2" t="s">
        <v>9</v>
      </c>
    </row>
    <row r="227" spans="1:8" x14ac:dyDescent="0.25">
      <c r="A227" s="2">
        <v>525009</v>
      </c>
      <c r="B227" s="2">
        <v>22578</v>
      </c>
      <c r="C227" s="2" t="s">
        <v>289</v>
      </c>
      <c r="D227" s="2">
        <v>3</v>
      </c>
      <c r="E227" s="3">
        <v>40454.451388888891</v>
      </c>
      <c r="F227" s="2">
        <v>0.85</v>
      </c>
      <c r="G227" s="2">
        <v>15164</v>
      </c>
      <c r="H227" s="2" t="s">
        <v>9</v>
      </c>
    </row>
    <row r="228" spans="1:8" x14ac:dyDescent="0.25">
      <c r="A228" s="2">
        <v>531359</v>
      </c>
      <c r="B228" s="2">
        <v>22905</v>
      </c>
      <c r="C228" s="2" t="s">
        <v>290</v>
      </c>
      <c r="D228" s="2">
        <v>2</v>
      </c>
      <c r="E228" s="3">
        <v>40489.595138888893</v>
      </c>
      <c r="F228" s="2">
        <v>2.95</v>
      </c>
      <c r="G228" s="2">
        <v>13276</v>
      </c>
      <c r="H228" s="2" t="s">
        <v>9</v>
      </c>
    </row>
    <row r="229" spans="1:8" x14ac:dyDescent="0.25">
      <c r="A229" s="2">
        <v>508864</v>
      </c>
      <c r="B229" s="2">
        <v>22139</v>
      </c>
      <c r="C229" s="2" t="s">
        <v>135</v>
      </c>
      <c r="D229" s="2">
        <v>15</v>
      </c>
      <c r="E229" s="3">
        <v>40316.67291666667</v>
      </c>
      <c r="F229" s="2">
        <v>4.95</v>
      </c>
      <c r="G229" s="2">
        <v>17589</v>
      </c>
      <c r="H229" s="2" t="s">
        <v>9</v>
      </c>
    </row>
    <row r="230" spans="1:8" x14ac:dyDescent="0.25">
      <c r="A230" s="2">
        <v>504200</v>
      </c>
      <c r="B230" s="2" t="s">
        <v>291</v>
      </c>
      <c r="C230" s="2" t="s">
        <v>292</v>
      </c>
      <c r="D230" s="2">
        <v>3</v>
      </c>
      <c r="E230" s="3">
        <v>40280.463194444441</v>
      </c>
      <c r="F230" s="2">
        <v>5.95</v>
      </c>
      <c r="G230" s="2">
        <v>14114</v>
      </c>
      <c r="H230" s="2" t="s">
        <v>9</v>
      </c>
    </row>
    <row r="231" spans="1:8" x14ac:dyDescent="0.25">
      <c r="A231" s="2">
        <v>521839</v>
      </c>
      <c r="B231" s="2">
        <v>21244</v>
      </c>
      <c r="C231" s="2" t="s">
        <v>293</v>
      </c>
      <c r="D231" s="2">
        <v>8</v>
      </c>
      <c r="E231" s="3">
        <v>40430.451388888891</v>
      </c>
      <c r="F231" s="2">
        <v>1.69</v>
      </c>
      <c r="G231" s="2">
        <v>12635</v>
      </c>
    </row>
    <row r="232" spans="1:8" x14ac:dyDescent="0.25">
      <c r="A232" s="2">
        <v>535412</v>
      </c>
      <c r="B232" s="2">
        <v>21888</v>
      </c>
      <c r="C232" s="2" t="s">
        <v>149</v>
      </c>
      <c r="D232" s="2">
        <v>3</v>
      </c>
      <c r="E232" s="3">
        <v>40508.477777777778</v>
      </c>
      <c r="F232" s="2">
        <v>3.75</v>
      </c>
      <c r="G232" s="2">
        <v>16899</v>
      </c>
      <c r="H232" s="2" t="s">
        <v>9</v>
      </c>
    </row>
    <row r="233" spans="1:8" x14ac:dyDescent="0.25">
      <c r="A233" s="2">
        <v>492817</v>
      </c>
      <c r="B233" s="2">
        <v>22060</v>
      </c>
      <c r="C233" s="2" t="s">
        <v>294</v>
      </c>
      <c r="D233" s="2">
        <v>6</v>
      </c>
      <c r="E233" s="3">
        <v>40167.567361111112</v>
      </c>
      <c r="F233" s="2">
        <v>9.9499999999999993</v>
      </c>
      <c r="G233" s="2">
        <v>16593</v>
      </c>
      <c r="H233" s="2" t="s">
        <v>9</v>
      </c>
    </row>
    <row r="234" spans="1:8" x14ac:dyDescent="0.25">
      <c r="A234" s="2">
        <v>536573</v>
      </c>
      <c r="B234" s="2">
        <v>22178</v>
      </c>
      <c r="C234" s="2" t="s">
        <v>193</v>
      </c>
      <c r="D234" s="2">
        <v>36</v>
      </c>
      <c r="E234" s="3">
        <v>40513.65625</v>
      </c>
      <c r="F234" s="2">
        <v>1.25</v>
      </c>
      <c r="G234" s="2">
        <v>17025</v>
      </c>
      <c r="H234" s="2" t="s">
        <v>9</v>
      </c>
    </row>
    <row r="235" spans="1:8" x14ac:dyDescent="0.25">
      <c r="A235" s="2">
        <v>496303</v>
      </c>
      <c r="B235" s="2">
        <v>85202</v>
      </c>
      <c r="C235" s="2" t="s">
        <v>295</v>
      </c>
      <c r="D235" s="2">
        <v>3</v>
      </c>
      <c r="E235" s="3">
        <v>40209.468055555553</v>
      </c>
      <c r="F235" s="2">
        <v>0.42</v>
      </c>
      <c r="G235" s="2">
        <v>16923</v>
      </c>
      <c r="H235" s="2" t="s">
        <v>9</v>
      </c>
    </row>
    <row r="236" spans="1:8" x14ac:dyDescent="0.25">
      <c r="A236" s="2">
        <v>517853</v>
      </c>
      <c r="B236" s="2">
        <v>22367</v>
      </c>
      <c r="C236" s="2" t="s">
        <v>296</v>
      </c>
      <c r="D236" s="2">
        <v>16</v>
      </c>
      <c r="E236" s="3">
        <v>40392.572916666657</v>
      </c>
      <c r="F236" s="2">
        <v>1.95</v>
      </c>
      <c r="G236" s="2">
        <v>16843</v>
      </c>
      <c r="H236" s="2" t="s">
        <v>9</v>
      </c>
    </row>
    <row r="237" spans="1:8" x14ac:dyDescent="0.25">
      <c r="A237" s="2">
        <v>516536</v>
      </c>
      <c r="B237" s="2">
        <v>17003</v>
      </c>
      <c r="C237" s="2" t="s">
        <v>297</v>
      </c>
      <c r="D237" s="2" t="s">
        <v>298</v>
      </c>
      <c r="E237" s="3">
        <v>40380.48333333333</v>
      </c>
      <c r="F237" s="2">
        <v>0.16</v>
      </c>
      <c r="G237" s="2">
        <v>16422</v>
      </c>
      <c r="H237" s="2" t="s">
        <v>9</v>
      </c>
    </row>
    <row r="238" spans="1:8" x14ac:dyDescent="0.25">
      <c r="A238" s="2">
        <v>503355</v>
      </c>
      <c r="B238" s="2">
        <v>21741</v>
      </c>
      <c r="C238" s="2" t="s">
        <v>299</v>
      </c>
      <c r="D238" s="2">
        <v>12</v>
      </c>
      <c r="E238" s="3">
        <v>40268.569444444453</v>
      </c>
      <c r="F238" s="2">
        <v>2.95</v>
      </c>
      <c r="G238" s="2">
        <v>12913</v>
      </c>
      <c r="H238" s="2" t="s">
        <v>9</v>
      </c>
    </row>
    <row r="239" spans="1:8" x14ac:dyDescent="0.25">
      <c r="A239" s="2">
        <v>512564</v>
      </c>
      <c r="B239" s="2">
        <v>22080</v>
      </c>
      <c r="C239" s="2" t="s">
        <v>300</v>
      </c>
      <c r="D239" s="2">
        <v>1</v>
      </c>
      <c r="E239" s="3">
        <v>40345.606944444437</v>
      </c>
      <c r="G239" s="2">
        <v>14375</v>
      </c>
      <c r="H239" s="2" t="s">
        <v>9</v>
      </c>
    </row>
    <row r="240" spans="1:8" x14ac:dyDescent="0.25">
      <c r="A240" s="2">
        <v>515533</v>
      </c>
      <c r="B240" s="2">
        <v>21624</v>
      </c>
      <c r="C240" s="2" t="s">
        <v>301</v>
      </c>
      <c r="D240" s="2">
        <v>1</v>
      </c>
      <c r="E240" s="3">
        <v>40372.505555555559</v>
      </c>
      <c r="F240" s="2">
        <v>5.95</v>
      </c>
      <c r="G240" s="2">
        <v>15719</v>
      </c>
      <c r="H240" s="2" t="s">
        <v>9</v>
      </c>
    </row>
    <row r="241" spans="1:8" x14ac:dyDescent="0.25">
      <c r="A241" s="2">
        <v>490063</v>
      </c>
      <c r="B241" s="2">
        <v>84937</v>
      </c>
      <c r="C241" s="2" t="s">
        <v>302</v>
      </c>
      <c r="D241" s="2">
        <v>6</v>
      </c>
      <c r="E241" s="3">
        <v>40150.575694444437</v>
      </c>
      <c r="F241" s="2">
        <v>2.1</v>
      </c>
      <c r="G241" s="2">
        <v>17271</v>
      </c>
      <c r="H241" s="2" t="s">
        <v>9</v>
      </c>
    </row>
    <row r="242" spans="1:8" x14ac:dyDescent="0.25">
      <c r="A242" s="2">
        <v>526905</v>
      </c>
      <c r="B242" s="2">
        <v>22583</v>
      </c>
      <c r="C242" s="2" t="s">
        <v>303</v>
      </c>
      <c r="D242" s="2">
        <v>6</v>
      </c>
      <c r="E242" s="3">
        <v>40464.636805555558</v>
      </c>
      <c r="F242" s="2">
        <v>2.5499999999999998</v>
      </c>
      <c r="G242" s="2" t="s">
        <v>304</v>
      </c>
      <c r="H242" s="2" t="s">
        <v>9</v>
      </c>
    </row>
    <row r="243" spans="1:8" x14ac:dyDescent="0.25">
      <c r="A243" s="2">
        <v>523122</v>
      </c>
      <c r="B243" s="2">
        <v>22384</v>
      </c>
      <c r="C243" s="2" t="s">
        <v>305</v>
      </c>
      <c r="D243" s="2">
        <v>10</v>
      </c>
      <c r="E243" s="3">
        <v>40441.54791666667</v>
      </c>
      <c r="F243" s="2">
        <v>1.65</v>
      </c>
      <c r="G243" s="2">
        <v>12993</v>
      </c>
      <c r="H243" s="2" t="s">
        <v>9</v>
      </c>
    </row>
    <row r="244" spans="1:8" x14ac:dyDescent="0.25">
      <c r="A244" s="2">
        <v>525857</v>
      </c>
      <c r="B244" s="2">
        <v>20770</v>
      </c>
      <c r="C244" s="2" t="s">
        <v>306</v>
      </c>
      <c r="D244" s="2">
        <v>1</v>
      </c>
      <c r="E244" s="3">
        <v>40458.54791666667</v>
      </c>
      <c r="F244" s="2">
        <v>2.5499999999999998</v>
      </c>
      <c r="G244" s="2">
        <v>17860</v>
      </c>
      <c r="H244" s="2" t="s">
        <v>9</v>
      </c>
    </row>
    <row r="245" spans="1:8" x14ac:dyDescent="0.25">
      <c r="A245" s="2">
        <v>528919</v>
      </c>
      <c r="B245" s="2">
        <v>22669</v>
      </c>
      <c r="C245" s="2" t="s">
        <v>307</v>
      </c>
      <c r="D245" s="2">
        <v>2</v>
      </c>
      <c r="E245" s="3">
        <v>40476.602083333331</v>
      </c>
      <c r="F245" s="2">
        <v>2.95</v>
      </c>
      <c r="G245" s="2">
        <v>16259</v>
      </c>
      <c r="H245" s="2" t="s">
        <v>9</v>
      </c>
    </row>
    <row r="246" spans="1:8" x14ac:dyDescent="0.25">
      <c r="A246" s="2">
        <v>510058</v>
      </c>
      <c r="B246" s="2">
        <v>22356</v>
      </c>
      <c r="C246" s="2" t="s">
        <v>308</v>
      </c>
      <c r="D246" s="2">
        <v>4</v>
      </c>
      <c r="E246" s="3">
        <v>40325.425694444442</v>
      </c>
      <c r="F246" s="2">
        <v>0.85</v>
      </c>
      <c r="G246" s="2">
        <v>14754</v>
      </c>
      <c r="H246" s="2" t="s">
        <v>9</v>
      </c>
    </row>
    <row r="247" spans="1:8" x14ac:dyDescent="0.25">
      <c r="A247" s="2">
        <v>523313</v>
      </c>
      <c r="B247" s="2">
        <v>22553</v>
      </c>
      <c r="C247" s="2" t="s">
        <v>259</v>
      </c>
      <c r="D247" s="2">
        <v>12</v>
      </c>
      <c r="E247" s="3">
        <v>40442.556250000001</v>
      </c>
      <c r="F247" s="2">
        <v>1.65</v>
      </c>
      <c r="G247" s="2">
        <v>14936</v>
      </c>
      <c r="H247" s="2" t="s">
        <v>230</v>
      </c>
    </row>
    <row r="248" spans="1:8" x14ac:dyDescent="0.25">
      <c r="A248" s="2">
        <v>515929</v>
      </c>
      <c r="B248" s="2">
        <v>22331</v>
      </c>
      <c r="C248" s="2" t="s">
        <v>309</v>
      </c>
      <c r="D248" s="2">
        <v>8</v>
      </c>
      <c r="E248" s="3">
        <v>40374.60833333333</v>
      </c>
      <c r="F248" s="2">
        <v>1.65</v>
      </c>
      <c r="G248" s="2">
        <v>14084</v>
      </c>
      <c r="H248" s="2" t="s">
        <v>9</v>
      </c>
    </row>
    <row r="249" spans="1:8" x14ac:dyDescent="0.25">
      <c r="A249" s="2">
        <v>509634</v>
      </c>
      <c r="B249" s="2">
        <v>22482</v>
      </c>
      <c r="C249" s="2" t="s">
        <v>310</v>
      </c>
      <c r="D249" s="2">
        <v>1</v>
      </c>
      <c r="E249" s="3">
        <v>40323.432638888888</v>
      </c>
      <c r="F249" s="2">
        <v>1.25</v>
      </c>
      <c r="G249" s="2">
        <v>13324</v>
      </c>
      <c r="H249" s="2" t="s">
        <v>9</v>
      </c>
    </row>
    <row r="250" spans="1:8" x14ac:dyDescent="0.25">
      <c r="A250" s="2">
        <v>529342</v>
      </c>
      <c r="B250" s="2">
        <v>22948</v>
      </c>
      <c r="C250" s="2" t="s">
        <v>155</v>
      </c>
      <c r="D250" s="2">
        <v>24</v>
      </c>
      <c r="E250" s="3">
        <v>40478.695138888892</v>
      </c>
      <c r="F250" s="2">
        <v>0.85</v>
      </c>
      <c r="G250" s="2">
        <v>18060</v>
      </c>
      <c r="H250" s="2" t="s">
        <v>9</v>
      </c>
    </row>
    <row r="251" spans="1:8" x14ac:dyDescent="0.25">
      <c r="A251" s="2">
        <v>513555</v>
      </c>
      <c r="B251" s="2">
        <v>22173</v>
      </c>
      <c r="C251" s="2" t="s">
        <v>311</v>
      </c>
      <c r="D251" s="2">
        <v>2</v>
      </c>
      <c r="E251" s="3">
        <v>40354.553472222222</v>
      </c>
      <c r="F251" s="2">
        <v>2.95</v>
      </c>
      <c r="G251" s="2">
        <v>13291</v>
      </c>
      <c r="H251" s="2" t="s">
        <v>9</v>
      </c>
    </row>
    <row r="252" spans="1:8" x14ac:dyDescent="0.25">
      <c r="A252" s="2">
        <v>510173</v>
      </c>
      <c r="B252" s="2">
        <v>22474</v>
      </c>
      <c r="C252" s="2" t="s">
        <v>312</v>
      </c>
      <c r="D252" s="2">
        <v>4</v>
      </c>
      <c r="E252" s="3">
        <v>40325.611111111109</v>
      </c>
      <c r="F252" s="2">
        <v>4.95</v>
      </c>
      <c r="G252" s="2">
        <v>18257</v>
      </c>
      <c r="H252" s="2" t="s">
        <v>9</v>
      </c>
    </row>
    <row r="253" spans="1:8" x14ac:dyDescent="0.25">
      <c r="A253" s="2">
        <v>521888</v>
      </c>
      <c r="B253" s="2">
        <v>21937</v>
      </c>
      <c r="C253" s="2" t="s">
        <v>313</v>
      </c>
      <c r="D253" s="2">
        <v>50</v>
      </c>
      <c r="E253" s="3">
        <v>40430.488194444442</v>
      </c>
      <c r="F253" s="2">
        <v>2.5499999999999998</v>
      </c>
      <c r="G253" s="2">
        <v>12770</v>
      </c>
      <c r="H253" s="2" t="s">
        <v>314</v>
      </c>
    </row>
    <row r="254" spans="1:8" x14ac:dyDescent="0.25">
      <c r="A254" s="2">
        <v>511251</v>
      </c>
      <c r="B254" s="2">
        <v>21126</v>
      </c>
      <c r="C254" s="2" t="s">
        <v>315</v>
      </c>
      <c r="D254" s="2">
        <v>1</v>
      </c>
      <c r="E254" s="3">
        <v>40336.525694444441</v>
      </c>
      <c r="F254" s="2">
        <v>1.25</v>
      </c>
      <c r="G254" s="2">
        <v>14515</v>
      </c>
      <c r="H254" s="2" t="s">
        <v>9</v>
      </c>
    </row>
    <row r="255" spans="1:8" x14ac:dyDescent="0.25">
      <c r="A255" s="2">
        <v>518219</v>
      </c>
      <c r="B255" s="2">
        <v>37370</v>
      </c>
      <c r="C255" s="2" t="s">
        <v>316</v>
      </c>
      <c r="D255" s="2">
        <v>12</v>
      </c>
      <c r="E255" s="3">
        <v>40395.556250000001</v>
      </c>
      <c r="F255" s="2">
        <v>1.25</v>
      </c>
      <c r="G255" s="2">
        <v>16105</v>
      </c>
      <c r="H255" s="2" t="s">
        <v>9</v>
      </c>
    </row>
    <row r="256" spans="1:8" x14ac:dyDescent="0.25">
      <c r="A256" s="2">
        <v>531804</v>
      </c>
      <c r="B256" s="2">
        <v>82605</v>
      </c>
      <c r="C256" s="2" t="s">
        <v>317</v>
      </c>
      <c r="D256" s="2">
        <v>2</v>
      </c>
      <c r="E256" s="3">
        <v>40491.668749999997</v>
      </c>
      <c r="F256" s="2">
        <v>2.1</v>
      </c>
      <c r="G256" s="2">
        <v>14535</v>
      </c>
      <c r="H256" s="2" t="s">
        <v>9</v>
      </c>
    </row>
    <row r="257" spans="1:8" x14ac:dyDescent="0.25">
      <c r="A257" s="2">
        <v>534471</v>
      </c>
      <c r="B257" s="2" t="s">
        <v>318</v>
      </c>
      <c r="C257" s="2" t="s">
        <v>319</v>
      </c>
      <c r="D257" s="2">
        <v>24</v>
      </c>
      <c r="E257" s="3">
        <v>40505.433333333327</v>
      </c>
      <c r="F257" s="2">
        <v>0.08</v>
      </c>
      <c r="G257" s="2">
        <v>17422</v>
      </c>
      <c r="H257" s="2" t="s">
        <v>9</v>
      </c>
    </row>
    <row r="258" spans="1:8" x14ac:dyDescent="0.25">
      <c r="A258" s="2">
        <v>499659</v>
      </c>
      <c r="B258" s="2">
        <v>21897</v>
      </c>
      <c r="C258" s="2" t="s">
        <v>320</v>
      </c>
      <c r="D258" s="2">
        <v>1</v>
      </c>
      <c r="E258" s="3">
        <v>40238.628472222219</v>
      </c>
      <c r="F258" s="2">
        <v>2.95</v>
      </c>
      <c r="G258" s="2">
        <v>16731</v>
      </c>
      <c r="H258" s="2" t="s">
        <v>9</v>
      </c>
    </row>
    <row r="259" spans="1:8" x14ac:dyDescent="0.25">
      <c r="A259" s="2">
        <v>494451</v>
      </c>
      <c r="B259" s="2">
        <v>21532</v>
      </c>
      <c r="C259" s="2" t="s">
        <v>321</v>
      </c>
      <c r="E259" s="3">
        <v>40192.576388888891</v>
      </c>
      <c r="F259" s="2">
        <v>2.1</v>
      </c>
      <c r="G259" s="2">
        <v>14527</v>
      </c>
      <c r="H259" s="2" t="s">
        <v>9</v>
      </c>
    </row>
    <row r="260" spans="1:8" x14ac:dyDescent="0.25">
      <c r="A260" s="2" t="s">
        <v>322</v>
      </c>
      <c r="B260" s="2">
        <v>84676</v>
      </c>
      <c r="C260" s="2" t="s">
        <v>323</v>
      </c>
      <c r="D260" s="2">
        <v>-3</v>
      </c>
      <c r="E260" s="3">
        <v>40282.57916666667</v>
      </c>
      <c r="F260" s="2">
        <v>2.95</v>
      </c>
      <c r="G260" s="2">
        <v>13407</v>
      </c>
      <c r="H260" s="2" t="s">
        <v>9</v>
      </c>
    </row>
    <row r="261" spans="1:8" x14ac:dyDescent="0.25">
      <c r="A261" s="2">
        <v>525020</v>
      </c>
      <c r="B261" s="2">
        <v>22663</v>
      </c>
      <c r="C261" s="2" t="s">
        <v>324</v>
      </c>
      <c r="D261" s="2">
        <v>3</v>
      </c>
      <c r="E261" s="3">
        <v>40454.495138888888</v>
      </c>
      <c r="F261" s="2">
        <v>1.95</v>
      </c>
      <c r="G261" s="2">
        <v>13590</v>
      </c>
      <c r="H261" s="2" t="s">
        <v>9</v>
      </c>
    </row>
    <row r="262" spans="1:8" x14ac:dyDescent="0.25">
      <c r="A262" s="2">
        <v>528705</v>
      </c>
      <c r="B262" s="2">
        <v>21891</v>
      </c>
      <c r="C262" s="2" t="s">
        <v>325</v>
      </c>
      <c r="D262" s="2">
        <v>2</v>
      </c>
      <c r="E262" s="3">
        <v>40475.546527777777</v>
      </c>
      <c r="F262" s="2">
        <v>1.25</v>
      </c>
      <c r="G262" s="2">
        <v>13137</v>
      </c>
      <c r="H262" s="2" t="s">
        <v>9</v>
      </c>
    </row>
    <row r="263" spans="1:8" x14ac:dyDescent="0.25">
      <c r="A263" s="2">
        <v>529611</v>
      </c>
      <c r="B263" s="2">
        <v>22986</v>
      </c>
      <c r="C263" s="2" t="s">
        <v>326</v>
      </c>
      <c r="D263" s="2">
        <v>25</v>
      </c>
      <c r="E263" s="3">
        <v>40480.443749999999</v>
      </c>
      <c r="F263" s="2">
        <v>0.42</v>
      </c>
      <c r="G263" s="2">
        <v>17690</v>
      </c>
      <c r="H263" s="2" t="s">
        <v>9</v>
      </c>
    </row>
    <row r="264" spans="1:8" x14ac:dyDescent="0.25">
      <c r="A264" s="2">
        <v>522773</v>
      </c>
      <c r="B264" s="2">
        <v>22334</v>
      </c>
      <c r="C264" s="2" t="s">
        <v>327</v>
      </c>
      <c r="D264" s="2">
        <v>8</v>
      </c>
      <c r="E264" s="3">
        <v>40437.606944444437</v>
      </c>
      <c r="F264" s="2">
        <v>1.65</v>
      </c>
      <c r="G264" s="2">
        <v>12369</v>
      </c>
      <c r="H264" s="2" t="s">
        <v>328</v>
      </c>
    </row>
    <row r="265" spans="1:8" x14ac:dyDescent="0.25">
      <c r="A265" s="2">
        <v>503241</v>
      </c>
      <c r="B265" s="2">
        <v>22139</v>
      </c>
      <c r="C265" s="2" t="s">
        <v>135</v>
      </c>
      <c r="D265" s="2">
        <v>3</v>
      </c>
      <c r="E265" s="3">
        <v>40268.402777777781</v>
      </c>
      <c r="F265" s="2">
        <v>4.95</v>
      </c>
      <c r="G265" s="2">
        <v>14890</v>
      </c>
      <c r="H265" s="2" t="s">
        <v>9</v>
      </c>
    </row>
    <row r="266" spans="1:8" x14ac:dyDescent="0.25">
      <c r="A266" s="2">
        <v>496944</v>
      </c>
      <c r="B266" s="2">
        <v>20966</v>
      </c>
      <c r="C266" s="2" t="s">
        <v>329</v>
      </c>
      <c r="D266" s="2" t="s">
        <v>330</v>
      </c>
      <c r="E266" s="3">
        <v>40213.728472222218</v>
      </c>
      <c r="F266" s="2">
        <v>1.25</v>
      </c>
      <c r="G266" s="2">
        <v>14606</v>
      </c>
      <c r="H266" s="2" t="s">
        <v>9</v>
      </c>
    </row>
    <row r="267" spans="1:8" x14ac:dyDescent="0.25">
      <c r="A267" s="2">
        <v>511638</v>
      </c>
      <c r="B267" s="2">
        <v>21213</v>
      </c>
      <c r="C267" s="2" t="s">
        <v>243</v>
      </c>
      <c r="D267" s="2">
        <v>2</v>
      </c>
      <c r="E267" s="3">
        <v>40338.547222222223</v>
      </c>
      <c r="F267" s="2">
        <v>0.55000000000000004</v>
      </c>
      <c r="G267" s="2">
        <v>17346</v>
      </c>
      <c r="H267" s="2" t="s">
        <v>132</v>
      </c>
    </row>
    <row r="268" spans="1:8" x14ac:dyDescent="0.25">
      <c r="A268" s="2">
        <v>505725</v>
      </c>
      <c r="B268" s="2">
        <v>22539</v>
      </c>
      <c r="C268" s="2" t="s">
        <v>331</v>
      </c>
      <c r="D268" s="2">
        <v>1</v>
      </c>
      <c r="E268" s="3">
        <v>40293.579861111109</v>
      </c>
      <c r="F268" s="2">
        <v>0.42</v>
      </c>
      <c r="G268" s="2">
        <v>14606</v>
      </c>
      <c r="H268" s="2" t="s">
        <v>9</v>
      </c>
    </row>
    <row r="269" spans="1:8" x14ac:dyDescent="0.25">
      <c r="A269" s="2">
        <v>530020</v>
      </c>
      <c r="B269" s="2">
        <v>35400</v>
      </c>
      <c r="C269" s="2" t="s">
        <v>332</v>
      </c>
      <c r="D269" s="2">
        <v>1</v>
      </c>
      <c r="E269" s="3">
        <v>40483.452777777777</v>
      </c>
      <c r="F269" s="2">
        <v>8.9499999999999993</v>
      </c>
      <c r="G269" s="2">
        <v>17975</v>
      </c>
      <c r="H269" s="2" t="s">
        <v>9</v>
      </c>
    </row>
    <row r="270" spans="1:8" x14ac:dyDescent="0.25">
      <c r="A270" s="2">
        <v>502795</v>
      </c>
      <c r="B270" s="2">
        <v>85146</v>
      </c>
      <c r="C270" s="2" t="s">
        <v>333</v>
      </c>
      <c r="D270" s="2">
        <v>4</v>
      </c>
      <c r="E270" s="3">
        <v>40263.647222222222</v>
      </c>
      <c r="F270" s="2">
        <v>5.95</v>
      </c>
      <c r="G270" s="2">
        <v>16510</v>
      </c>
    </row>
    <row r="271" spans="1:8" x14ac:dyDescent="0.25">
      <c r="A271" s="2">
        <v>518663</v>
      </c>
      <c r="B271" s="2">
        <v>22667</v>
      </c>
      <c r="C271" s="2" t="s">
        <v>334</v>
      </c>
      <c r="D271" s="2" t="s">
        <v>330</v>
      </c>
      <c r="E271" s="3">
        <v>40400.602083333331</v>
      </c>
      <c r="F271" s="2">
        <v>2.95</v>
      </c>
      <c r="G271" s="2">
        <v>14044</v>
      </c>
      <c r="H271" s="2" t="s">
        <v>9</v>
      </c>
    </row>
    <row r="272" spans="1:8" x14ac:dyDescent="0.25">
      <c r="A272" s="2">
        <v>490101</v>
      </c>
      <c r="B272" s="2" t="s">
        <v>335</v>
      </c>
      <c r="C272" s="2" t="s">
        <v>336</v>
      </c>
      <c r="D272" s="2">
        <v>6</v>
      </c>
      <c r="E272" s="3">
        <v>40150.683333333327</v>
      </c>
      <c r="F272" s="2">
        <v>6.35</v>
      </c>
      <c r="G272" s="2">
        <v>14644</v>
      </c>
      <c r="H272" s="2" t="s">
        <v>9</v>
      </c>
    </row>
    <row r="273" spans="1:8" x14ac:dyDescent="0.25">
      <c r="A273" s="2">
        <v>531271</v>
      </c>
      <c r="B273" s="2">
        <v>22034</v>
      </c>
      <c r="C273" s="2" t="s">
        <v>337</v>
      </c>
      <c r="D273" s="2">
        <v>12</v>
      </c>
      <c r="E273" s="3">
        <v>40489.494444444441</v>
      </c>
      <c r="F273" s="2">
        <v>0.42</v>
      </c>
      <c r="G273" s="2">
        <v>16401</v>
      </c>
      <c r="H273" s="2" t="s">
        <v>9</v>
      </c>
    </row>
    <row r="274" spans="1:8" x14ac:dyDescent="0.25">
      <c r="A274" s="2">
        <v>525764</v>
      </c>
      <c r="B274" s="2">
        <v>22660</v>
      </c>
      <c r="C274" s="2" t="s">
        <v>338</v>
      </c>
      <c r="D274" s="2">
        <v>2</v>
      </c>
      <c r="E274" s="3">
        <v>40458.443749999999</v>
      </c>
      <c r="F274" s="2">
        <v>7.95</v>
      </c>
      <c r="G274" s="2">
        <v>12511</v>
      </c>
      <c r="H274" s="2" t="s">
        <v>339</v>
      </c>
    </row>
    <row r="275" spans="1:8" x14ac:dyDescent="0.25">
      <c r="A275" s="2">
        <v>494795</v>
      </c>
      <c r="B275" s="2">
        <v>21314</v>
      </c>
      <c r="C275" s="2" t="s">
        <v>340</v>
      </c>
      <c r="D275" s="2">
        <v>4</v>
      </c>
      <c r="E275" s="3">
        <v>40196.593055555553</v>
      </c>
      <c r="F275" s="2">
        <v>2.1</v>
      </c>
      <c r="G275" s="2">
        <v>13110</v>
      </c>
      <c r="H275" s="2" t="s">
        <v>9</v>
      </c>
    </row>
    <row r="276" spans="1:8" x14ac:dyDescent="0.25">
      <c r="A276" s="2">
        <v>518428</v>
      </c>
      <c r="B276" s="2">
        <v>20973</v>
      </c>
      <c r="C276" s="2" t="s">
        <v>341</v>
      </c>
      <c r="D276" s="2" t="s">
        <v>342</v>
      </c>
      <c r="E276" s="3">
        <v>40399.439583333333</v>
      </c>
      <c r="F276" s="2">
        <v>0.65</v>
      </c>
      <c r="G276" s="2">
        <v>12458</v>
      </c>
      <c r="H276" s="2" t="s">
        <v>343</v>
      </c>
    </row>
    <row r="277" spans="1:8" x14ac:dyDescent="0.25">
      <c r="A277" s="2">
        <v>505056</v>
      </c>
      <c r="B277" s="2">
        <v>21754</v>
      </c>
      <c r="C277" s="2" t="s">
        <v>344</v>
      </c>
      <c r="D277" s="2">
        <v>8</v>
      </c>
      <c r="E277" s="3">
        <v>40287.624305555553</v>
      </c>
      <c r="F277" s="2">
        <v>5.95</v>
      </c>
      <c r="G277" s="2">
        <v>14667</v>
      </c>
      <c r="H277" s="2" t="s">
        <v>9</v>
      </c>
    </row>
    <row r="278" spans="1:8" x14ac:dyDescent="0.25">
      <c r="A278" s="2">
        <v>503251</v>
      </c>
      <c r="B278" s="2">
        <v>21590</v>
      </c>
      <c r="C278" s="2" t="s">
        <v>345</v>
      </c>
      <c r="D278" s="2">
        <v>24</v>
      </c>
      <c r="E278" s="3">
        <v>40268.438888888893</v>
      </c>
      <c r="F278" s="2">
        <v>1.25</v>
      </c>
      <c r="G278" s="2">
        <v>15754</v>
      </c>
      <c r="H278" s="2" t="s">
        <v>9</v>
      </c>
    </row>
    <row r="279" spans="1:8" x14ac:dyDescent="0.25">
      <c r="A279" s="2">
        <v>530799</v>
      </c>
      <c r="B279" s="2">
        <v>21889</v>
      </c>
      <c r="C279" s="2" t="s">
        <v>346</v>
      </c>
      <c r="D279" s="2">
        <v>144</v>
      </c>
      <c r="E279" s="3">
        <v>40486.521527777782</v>
      </c>
      <c r="F279" s="2">
        <v>1.06</v>
      </c>
      <c r="G279" s="2">
        <v>12497</v>
      </c>
      <c r="H279" s="2" t="s">
        <v>17</v>
      </c>
    </row>
    <row r="280" spans="1:8" x14ac:dyDescent="0.25">
      <c r="A280" s="2">
        <v>508621</v>
      </c>
      <c r="B280" s="2">
        <v>21915</v>
      </c>
      <c r="C280" s="2" t="s">
        <v>347</v>
      </c>
      <c r="D280" s="2">
        <v>12</v>
      </c>
      <c r="E280" s="3">
        <v>40315.572916666657</v>
      </c>
      <c r="F280" s="2">
        <v>1.25</v>
      </c>
      <c r="G280" s="2">
        <v>17442</v>
      </c>
      <c r="H280" s="2" t="s">
        <v>57</v>
      </c>
    </row>
    <row r="281" spans="1:8" x14ac:dyDescent="0.25">
      <c r="A281" s="2">
        <v>528167</v>
      </c>
      <c r="B281" s="2">
        <v>21754</v>
      </c>
      <c r="C281" s="2" t="s">
        <v>344</v>
      </c>
      <c r="D281" s="2">
        <v>3</v>
      </c>
      <c r="E281" s="3">
        <v>40472.40902777778</v>
      </c>
      <c r="F281" s="2">
        <v>5.95</v>
      </c>
      <c r="G281" s="2">
        <v>18247</v>
      </c>
      <c r="H281" s="2" t="s">
        <v>9</v>
      </c>
    </row>
    <row r="282" spans="1:8" x14ac:dyDescent="0.25">
      <c r="A282" s="2">
        <v>512943</v>
      </c>
      <c r="B282" s="2" t="s">
        <v>348</v>
      </c>
      <c r="C282" s="2" t="s">
        <v>349</v>
      </c>
      <c r="D282" s="2">
        <v>12</v>
      </c>
      <c r="E282" s="3">
        <v>40349.609722222223</v>
      </c>
      <c r="F282" s="2">
        <v>0.95</v>
      </c>
      <c r="G282" s="2">
        <v>17623</v>
      </c>
      <c r="H282" s="2" t="s">
        <v>9</v>
      </c>
    </row>
    <row r="283" spans="1:8" x14ac:dyDescent="0.25">
      <c r="A283" s="2">
        <v>528102</v>
      </c>
      <c r="B283" s="2" t="s">
        <v>277</v>
      </c>
      <c r="C283" s="2" t="s">
        <v>278</v>
      </c>
      <c r="D283" s="2">
        <v>2</v>
      </c>
      <c r="E283" s="3">
        <v>40471.569444444453</v>
      </c>
      <c r="F283" s="2">
        <v>1.95</v>
      </c>
      <c r="G283" s="2">
        <v>15572</v>
      </c>
      <c r="H283" s="2" t="s">
        <v>9</v>
      </c>
    </row>
    <row r="284" spans="1:8" x14ac:dyDescent="0.25">
      <c r="A284" s="2">
        <v>526845</v>
      </c>
      <c r="B284" s="2">
        <v>82484</v>
      </c>
      <c r="C284" s="2" t="s">
        <v>25</v>
      </c>
      <c r="D284" s="2">
        <v>24</v>
      </c>
      <c r="E284" s="3">
        <v>40464.512499999997</v>
      </c>
      <c r="F284" s="2">
        <v>5.55</v>
      </c>
      <c r="G284" s="2">
        <v>17511</v>
      </c>
      <c r="H284" s="2" t="s">
        <v>9</v>
      </c>
    </row>
    <row r="285" spans="1:8" x14ac:dyDescent="0.25">
      <c r="A285" s="2">
        <v>529156</v>
      </c>
      <c r="B285" s="2">
        <v>21899</v>
      </c>
      <c r="C285" s="2" t="s">
        <v>350</v>
      </c>
      <c r="D285" s="2">
        <v>2</v>
      </c>
      <c r="E285" s="3">
        <v>40477.699305555558</v>
      </c>
      <c r="F285" s="2">
        <v>0.65</v>
      </c>
      <c r="G285" s="2">
        <v>16549</v>
      </c>
      <c r="H285" s="2" t="s">
        <v>9</v>
      </c>
    </row>
    <row r="286" spans="1:8" x14ac:dyDescent="0.25">
      <c r="A286" s="2">
        <v>491967</v>
      </c>
      <c r="B286" s="2">
        <v>22162</v>
      </c>
      <c r="C286" s="2" t="s">
        <v>351</v>
      </c>
      <c r="D286" s="2">
        <v>8</v>
      </c>
      <c r="E286" s="3">
        <v>40161.731944444437</v>
      </c>
      <c r="F286" s="2">
        <v>2.95</v>
      </c>
      <c r="G286" s="2">
        <v>17012</v>
      </c>
      <c r="H286" s="2" t="s">
        <v>9</v>
      </c>
    </row>
    <row r="287" spans="1:8" x14ac:dyDescent="0.25">
      <c r="A287" s="2">
        <v>495367</v>
      </c>
      <c r="B287" s="2">
        <v>22173</v>
      </c>
      <c r="C287" s="2" t="s">
        <v>311</v>
      </c>
      <c r="D287" s="2">
        <v>3</v>
      </c>
      <c r="E287" s="3">
        <v>40202.518750000003</v>
      </c>
      <c r="F287" s="2">
        <v>2.95</v>
      </c>
      <c r="G287" s="2">
        <v>14070</v>
      </c>
      <c r="H287" s="2" t="s">
        <v>9</v>
      </c>
    </row>
    <row r="288" spans="1:8" x14ac:dyDescent="0.25">
      <c r="A288" s="2">
        <v>535409</v>
      </c>
      <c r="B288" s="2">
        <v>22694</v>
      </c>
      <c r="C288" s="2" t="s">
        <v>352</v>
      </c>
      <c r="D288" s="2">
        <v>6</v>
      </c>
      <c r="E288" s="3">
        <v>40508.474999999999</v>
      </c>
      <c r="F288" s="2">
        <v>2.1</v>
      </c>
      <c r="G288" s="2">
        <v>14507</v>
      </c>
      <c r="H288" s="2" t="s">
        <v>9</v>
      </c>
    </row>
    <row r="289" spans="1:8" x14ac:dyDescent="0.25">
      <c r="A289" s="2">
        <v>517392</v>
      </c>
      <c r="B289" s="2" t="s">
        <v>353</v>
      </c>
      <c r="C289" s="2" t="s">
        <v>354</v>
      </c>
      <c r="D289" s="2">
        <v>24</v>
      </c>
      <c r="E289" s="3">
        <v>40388.40902777778</v>
      </c>
      <c r="F289" s="2">
        <v>0.85</v>
      </c>
      <c r="G289" s="2">
        <v>16510</v>
      </c>
      <c r="H289" s="2" t="s">
        <v>9</v>
      </c>
    </row>
    <row r="290" spans="1:8" x14ac:dyDescent="0.25">
      <c r="A290" s="2">
        <v>513763</v>
      </c>
      <c r="B290" s="2">
        <v>22524</v>
      </c>
      <c r="C290" s="2" t="s">
        <v>355</v>
      </c>
      <c r="D290" s="2">
        <v>10</v>
      </c>
      <c r="E290" s="3">
        <v>40357.54583333333</v>
      </c>
      <c r="F290" s="2">
        <v>1.25</v>
      </c>
      <c r="G290" s="2">
        <v>12784</v>
      </c>
      <c r="H290" s="2" t="s">
        <v>245</v>
      </c>
    </row>
    <row r="291" spans="1:8" x14ac:dyDescent="0.25">
      <c r="A291" s="2">
        <v>526504</v>
      </c>
      <c r="B291" s="2" t="s">
        <v>356</v>
      </c>
      <c r="C291" s="2" t="s">
        <v>357</v>
      </c>
      <c r="D291" s="2">
        <v>6</v>
      </c>
      <c r="E291" s="3">
        <v>40463.443055555559</v>
      </c>
      <c r="F291" s="2">
        <v>2.95</v>
      </c>
      <c r="G291" s="2">
        <v>15062</v>
      </c>
      <c r="H291" s="2" t="s">
        <v>9</v>
      </c>
    </row>
    <row r="292" spans="1:8" x14ac:dyDescent="0.25">
      <c r="A292" s="2">
        <v>504373</v>
      </c>
      <c r="B292" s="2" t="s">
        <v>153</v>
      </c>
      <c r="C292" s="2" t="s">
        <v>154</v>
      </c>
      <c r="D292" s="2" t="s">
        <v>358</v>
      </c>
      <c r="E292" s="3">
        <v>40281.461111111108</v>
      </c>
      <c r="F292" s="2">
        <v>2.95</v>
      </c>
      <c r="G292" s="2">
        <v>13468</v>
      </c>
      <c r="H292" s="2" t="s">
        <v>9</v>
      </c>
    </row>
    <row r="293" spans="1:8" x14ac:dyDescent="0.25">
      <c r="A293" s="2">
        <v>519241</v>
      </c>
      <c r="B293" s="2">
        <v>22201</v>
      </c>
      <c r="C293" s="2" t="s">
        <v>359</v>
      </c>
      <c r="D293" s="2">
        <v>1</v>
      </c>
      <c r="E293" s="3">
        <v>40405.584027777782</v>
      </c>
      <c r="F293" s="2">
        <v>4.25</v>
      </c>
      <c r="G293" s="2">
        <v>14415</v>
      </c>
      <c r="H293" s="2" t="s">
        <v>9</v>
      </c>
    </row>
    <row r="294" spans="1:8" x14ac:dyDescent="0.25">
      <c r="A294" s="2">
        <v>513594</v>
      </c>
      <c r="B294" s="2">
        <v>21755</v>
      </c>
      <c r="C294" s="2" t="s">
        <v>360</v>
      </c>
      <c r="D294" s="2">
        <v>1</v>
      </c>
      <c r="E294" s="3">
        <v>40356.45416666667</v>
      </c>
      <c r="F294" s="2">
        <v>5.95</v>
      </c>
      <c r="G294" s="2">
        <v>16782</v>
      </c>
      <c r="H294" s="2" t="s">
        <v>9</v>
      </c>
    </row>
    <row r="295" spans="1:8" x14ac:dyDescent="0.25">
      <c r="A295" s="2">
        <v>511654</v>
      </c>
      <c r="B295" s="2">
        <v>22302</v>
      </c>
      <c r="C295" s="2" t="s">
        <v>361</v>
      </c>
      <c r="D295" s="2">
        <v>6</v>
      </c>
      <c r="E295" s="3">
        <v>40338.586111111108</v>
      </c>
      <c r="F295" s="2">
        <v>2.5499999999999998</v>
      </c>
      <c r="G295" s="2">
        <v>17971</v>
      </c>
      <c r="H295" s="2" t="s">
        <v>9</v>
      </c>
    </row>
    <row r="296" spans="1:8" x14ac:dyDescent="0.25">
      <c r="A296" s="2">
        <v>521369</v>
      </c>
      <c r="B296" s="2" t="s">
        <v>45</v>
      </c>
      <c r="C296" s="2" t="s">
        <v>46</v>
      </c>
      <c r="D296" s="2">
        <v>6</v>
      </c>
      <c r="E296" s="3">
        <v>40426.468055555553</v>
      </c>
      <c r="F296" s="2">
        <v>2.12</v>
      </c>
      <c r="G296" s="2">
        <v>16085</v>
      </c>
      <c r="H296" s="2" t="s">
        <v>9</v>
      </c>
    </row>
    <row r="297" spans="1:8" x14ac:dyDescent="0.25">
      <c r="A297" s="2">
        <v>491800</v>
      </c>
      <c r="B297" s="2">
        <v>22197</v>
      </c>
      <c r="C297" s="2" t="s">
        <v>362</v>
      </c>
      <c r="E297" s="3">
        <v>40161.540277777778</v>
      </c>
      <c r="F297" s="2">
        <v>0.72</v>
      </c>
      <c r="G297" s="2">
        <v>17511</v>
      </c>
      <c r="H297" s="2" t="s">
        <v>9</v>
      </c>
    </row>
    <row r="298" spans="1:8" x14ac:dyDescent="0.25">
      <c r="A298" s="2">
        <v>490106</v>
      </c>
      <c r="B298" s="2" t="s">
        <v>363</v>
      </c>
      <c r="C298" s="2" t="s">
        <v>364</v>
      </c>
      <c r="D298" s="2">
        <v>2</v>
      </c>
      <c r="E298" s="3">
        <v>40150.694444444453</v>
      </c>
      <c r="F298" s="2">
        <v>9.9499999999999993</v>
      </c>
      <c r="G298" s="2">
        <v>14898</v>
      </c>
      <c r="H298" s="2" t="s">
        <v>9</v>
      </c>
    </row>
    <row r="299" spans="1:8" x14ac:dyDescent="0.25">
      <c r="A299" s="2">
        <v>535423</v>
      </c>
      <c r="B299" s="2">
        <v>22600</v>
      </c>
      <c r="C299" s="2" t="s">
        <v>365</v>
      </c>
      <c r="D299" s="2">
        <v>20</v>
      </c>
      <c r="E299" s="3">
        <v>40508.495138888888</v>
      </c>
      <c r="F299" s="2">
        <v>0.85</v>
      </c>
      <c r="G299" s="2">
        <v>17283</v>
      </c>
      <c r="H299" s="2" t="s">
        <v>9</v>
      </c>
    </row>
    <row r="300" spans="1:8" x14ac:dyDescent="0.25">
      <c r="A300" s="2">
        <v>493964</v>
      </c>
      <c r="B300" s="2">
        <v>22073</v>
      </c>
      <c r="C300" s="2" t="s">
        <v>366</v>
      </c>
      <c r="D300" s="2">
        <v>4</v>
      </c>
      <c r="E300" s="3">
        <v>40186.686805555553</v>
      </c>
      <c r="F300" s="2">
        <v>3.75</v>
      </c>
      <c r="G300" s="2">
        <v>12714</v>
      </c>
      <c r="H300" s="2" t="s">
        <v>28</v>
      </c>
    </row>
    <row r="301" spans="1:8" x14ac:dyDescent="0.25">
      <c r="A301" s="2">
        <v>527423</v>
      </c>
      <c r="B301" s="2">
        <v>22863</v>
      </c>
      <c r="C301" s="2" t="s">
        <v>367</v>
      </c>
      <c r="D301" s="2">
        <v>6</v>
      </c>
      <c r="E301" s="3">
        <v>40468.67083333333</v>
      </c>
      <c r="F301" s="2">
        <v>2.95</v>
      </c>
      <c r="G301" s="2">
        <v>14755</v>
      </c>
      <c r="H301" s="2" t="s">
        <v>9</v>
      </c>
    </row>
    <row r="302" spans="1:8" x14ac:dyDescent="0.25">
      <c r="A302" s="2">
        <v>534765</v>
      </c>
      <c r="B302" s="2">
        <v>22144</v>
      </c>
      <c r="C302" s="2" t="s">
        <v>368</v>
      </c>
      <c r="D302" s="2">
        <v>3</v>
      </c>
      <c r="E302" s="3">
        <v>40506.434027777781</v>
      </c>
      <c r="F302" s="2">
        <v>2.1</v>
      </c>
      <c r="G302" s="2">
        <v>15555</v>
      </c>
      <c r="H302" s="2" t="s">
        <v>9</v>
      </c>
    </row>
    <row r="303" spans="1:8" x14ac:dyDescent="0.25">
      <c r="A303" s="2">
        <v>501793</v>
      </c>
      <c r="B303" s="2">
        <v>22111</v>
      </c>
      <c r="C303" s="2" t="s">
        <v>178</v>
      </c>
      <c r="D303" s="2">
        <v>3</v>
      </c>
      <c r="E303" s="3">
        <v>40256.563888888893</v>
      </c>
      <c r="F303" s="2">
        <v>4.95</v>
      </c>
      <c r="G303" s="2">
        <v>15329</v>
      </c>
      <c r="H303" s="2" t="s">
        <v>9</v>
      </c>
    </row>
    <row r="304" spans="1:8" x14ac:dyDescent="0.25">
      <c r="A304" s="2">
        <v>496990</v>
      </c>
      <c r="B304" s="2">
        <v>22411</v>
      </c>
      <c r="C304" s="2" t="s">
        <v>369</v>
      </c>
      <c r="D304" s="2">
        <v>100</v>
      </c>
      <c r="E304" s="3">
        <v>40214.473611111112</v>
      </c>
      <c r="F304" s="2">
        <v>1.65</v>
      </c>
      <c r="G304" s="2">
        <v>14607</v>
      </c>
      <c r="H304" s="2" t="s">
        <v>9</v>
      </c>
    </row>
    <row r="305" spans="1:8" x14ac:dyDescent="0.25">
      <c r="A305" s="2">
        <v>500030</v>
      </c>
      <c r="B305" s="2" t="s">
        <v>370</v>
      </c>
      <c r="C305" s="2" t="s">
        <v>371</v>
      </c>
      <c r="D305" s="2">
        <v>1</v>
      </c>
      <c r="E305" s="3">
        <v>40241.478472222218</v>
      </c>
      <c r="F305" s="2">
        <v>10.65</v>
      </c>
      <c r="G305" s="2">
        <v>14527</v>
      </c>
      <c r="H305" s="2" t="s">
        <v>9</v>
      </c>
    </row>
    <row r="306" spans="1:8" x14ac:dyDescent="0.25">
      <c r="A306" s="2" t="s">
        <v>372</v>
      </c>
      <c r="B306" s="2">
        <v>21346</v>
      </c>
      <c r="C306" s="2" t="s">
        <v>373</v>
      </c>
      <c r="D306" s="2">
        <v>-1</v>
      </c>
      <c r="E306" s="3">
        <v>40200.594444444447</v>
      </c>
      <c r="F306" s="2">
        <v>5.95</v>
      </c>
      <c r="G306" s="2">
        <v>17243</v>
      </c>
      <c r="H306" s="2" t="s">
        <v>9</v>
      </c>
    </row>
    <row r="307" spans="1:8" x14ac:dyDescent="0.25">
      <c r="A307" s="2">
        <v>529093</v>
      </c>
      <c r="B307" s="2">
        <v>82484</v>
      </c>
      <c r="C307" s="2" t="s">
        <v>25</v>
      </c>
      <c r="D307" s="2">
        <v>6</v>
      </c>
      <c r="E307" s="3">
        <v>40477.568749999999</v>
      </c>
      <c r="F307" s="2">
        <v>6.45</v>
      </c>
      <c r="G307" s="2">
        <v>14911</v>
      </c>
      <c r="H307" s="2" t="s">
        <v>11</v>
      </c>
    </row>
    <row r="308" spans="1:8" x14ac:dyDescent="0.25">
      <c r="A308" s="2">
        <v>524726</v>
      </c>
      <c r="B308" s="2">
        <v>85047</v>
      </c>
      <c r="C308" s="2" t="s">
        <v>374</v>
      </c>
      <c r="D308" s="2">
        <v>3</v>
      </c>
      <c r="E308" s="3">
        <v>40451.59652777778</v>
      </c>
      <c r="F308" s="2">
        <v>6.35</v>
      </c>
      <c r="G308" s="2">
        <v>15736</v>
      </c>
      <c r="H308" s="2" t="s">
        <v>9</v>
      </c>
    </row>
    <row r="309" spans="1:8" x14ac:dyDescent="0.25">
      <c r="A309" s="2">
        <v>492729</v>
      </c>
      <c r="B309" s="2">
        <v>21552</v>
      </c>
      <c r="C309" s="2" t="s">
        <v>375</v>
      </c>
      <c r="D309" s="2">
        <v>1</v>
      </c>
      <c r="E309" s="3">
        <v>40165.480555555558</v>
      </c>
      <c r="F309" s="2">
        <v>5.95</v>
      </c>
      <c r="G309" s="2">
        <v>15911</v>
      </c>
      <c r="H309" s="2" t="s">
        <v>9</v>
      </c>
    </row>
    <row r="310" spans="1:8" x14ac:dyDescent="0.25">
      <c r="A310" s="2">
        <v>525761</v>
      </c>
      <c r="B310" s="2">
        <v>22145</v>
      </c>
      <c r="C310" s="2" t="s">
        <v>376</v>
      </c>
      <c r="D310" s="2">
        <v>12</v>
      </c>
      <c r="E310" s="3">
        <v>40458.442361111112</v>
      </c>
      <c r="F310" s="2">
        <v>2.1</v>
      </c>
      <c r="G310" s="2">
        <v>16325</v>
      </c>
      <c r="H310" s="2" t="s">
        <v>9</v>
      </c>
    </row>
    <row r="311" spans="1:8" x14ac:dyDescent="0.25">
      <c r="A311" s="2">
        <v>528743</v>
      </c>
      <c r="B311" s="2">
        <v>82483</v>
      </c>
      <c r="C311" s="2" t="s">
        <v>377</v>
      </c>
      <c r="D311" s="2">
        <v>4</v>
      </c>
      <c r="E311" s="3">
        <v>40475.594444444447</v>
      </c>
      <c r="F311" s="2">
        <v>5.95</v>
      </c>
      <c r="G311" s="2">
        <v>17858</v>
      </c>
      <c r="H311" s="2" t="s">
        <v>9</v>
      </c>
    </row>
    <row r="312" spans="1:8" x14ac:dyDescent="0.25">
      <c r="A312" s="2">
        <v>511041</v>
      </c>
      <c r="B312" s="2">
        <v>20685</v>
      </c>
      <c r="C312" s="2" t="s">
        <v>280</v>
      </c>
      <c r="D312" s="2">
        <v>2</v>
      </c>
      <c r="E312" s="3">
        <v>40335.472916666673</v>
      </c>
      <c r="F312" s="2">
        <v>7.49</v>
      </c>
      <c r="G312" s="2">
        <v>12932</v>
      </c>
      <c r="H312" s="2" t="s">
        <v>9</v>
      </c>
    </row>
    <row r="313" spans="1:8" x14ac:dyDescent="0.25">
      <c r="A313" s="2">
        <v>518509</v>
      </c>
      <c r="B313" s="2" t="s">
        <v>378</v>
      </c>
      <c r="C313" s="2" t="s">
        <v>379</v>
      </c>
      <c r="D313" s="2">
        <v>16</v>
      </c>
      <c r="E313" s="3">
        <v>40399.61041666667</v>
      </c>
      <c r="F313" s="2">
        <v>0.42</v>
      </c>
      <c r="G313" s="2">
        <v>14498</v>
      </c>
      <c r="H313" s="2" t="s">
        <v>9</v>
      </c>
    </row>
    <row r="314" spans="1:8" x14ac:dyDescent="0.25">
      <c r="A314" s="2">
        <v>489866</v>
      </c>
      <c r="B314" s="2" t="s">
        <v>380</v>
      </c>
      <c r="C314" s="2" t="s">
        <v>381</v>
      </c>
      <c r="D314" s="2" t="s">
        <v>120</v>
      </c>
      <c r="E314" s="3">
        <v>40149.62777777778</v>
      </c>
      <c r="F314" s="2">
        <v>1.95</v>
      </c>
      <c r="G314" s="2">
        <v>16200</v>
      </c>
      <c r="H314" s="2" t="s">
        <v>9</v>
      </c>
    </row>
    <row r="315" spans="1:8" x14ac:dyDescent="0.25">
      <c r="A315" s="2">
        <v>534083</v>
      </c>
      <c r="B315" s="2">
        <v>22582</v>
      </c>
      <c r="C315" s="2" t="s">
        <v>382</v>
      </c>
      <c r="D315" s="2">
        <v>4</v>
      </c>
      <c r="E315" s="3">
        <v>40503.494444444441</v>
      </c>
      <c r="F315" s="2">
        <v>2.5499999999999998</v>
      </c>
      <c r="G315" s="2">
        <v>13668</v>
      </c>
      <c r="H315" s="2" t="s">
        <v>9</v>
      </c>
    </row>
    <row r="316" spans="1:8" x14ac:dyDescent="0.25">
      <c r="A316" s="2">
        <v>525856</v>
      </c>
      <c r="B316" s="2">
        <v>22726</v>
      </c>
      <c r="C316" s="2" t="s">
        <v>383</v>
      </c>
      <c r="D316" s="2">
        <v>1</v>
      </c>
      <c r="E316" s="3">
        <v>40458.545138888891</v>
      </c>
      <c r="F316" s="2">
        <v>3.75</v>
      </c>
      <c r="G316" s="2">
        <v>13569</v>
      </c>
      <c r="H316" s="2" t="s">
        <v>9</v>
      </c>
    </row>
    <row r="317" spans="1:8" x14ac:dyDescent="0.25">
      <c r="A317" s="2">
        <v>512177</v>
      </c>
      <c r="B317" s="2">
        <v>22492</v>
      </c>
      <c r="C317" s="2" t="s">
        <v>384</v>
      </c>
      <c r="D317" s="2">
        <v>36</v>
      </c>
      <c r="E317" s="3">
        <v>40343.500694444447</v>
      </c>
      <c r="F317" s="2">
        <v>0.65</v>
      </c>
      <c r="G317" s="2">
        <v>15150</v>
      </c>
      <c r="H317" s="2" t="s">
        <v>9</v>
      </c>
    </row>
    <row r="318" spans="1:8" x14ac:dyDescent="0.25">
      <c r="A318" s="2">
        <v>504340</v>
      </c>
      <c r="B318" s="2">
        <v>22217</v>
      </c>
      <c r="C318" s="2" t="s">
        <v>385</v>
      </c>
      <c r="D318" s="2">
        <v>12</v>
      </c>
      <c r="E318" s="3">
        <v>40280.701388888891</v>
      </c>
      <c r="F318" s="2">
        <v>1.25</v>
      </c>
      <c r="G318" s="2">
        <v>13564</v>
      </c>
      <c r="H318" s="2" t="s">
        <v>9</v>
      </c>
    </row>
    <row r="319" spans="1:8" x14ac:dyDescent="0.25">
      <c r="A319" s="2">
        <v>507390</v>
      </c>
      <c r="B319" s="2">
        <v>22358</v>
      </c>
      <c r="C319" s="2" t="s">
        <v>386</v>
      </c>
      <c r="D319" s="2">
        <v>6</v>
      </c>
      <c r="E319" s="3">
        <v>40307.512499999997</v>
      </c>
      <c r="F319" s="2">
        <v>2.95</v>
      </c>
      <c r="G319" s="2">
        <v>15498</v>
      </c>
      <c r="H319" s="2" t="s">
        <v>9</v>
      </c>
    </row>
    <row r="320" spans="1:8" x14ac:dyDescent="0.25">
      <c r="A320" s="2">
        <v>498705</v>
      </c>
      <c r="B320" s="2">
        <v>21843</v>
      </c>
      <c r="C320" s="2" t="s">
        <v>253</v>
      </c>
      <c r="D320" s="2">
        <v>4</v>
      </c>
      <c r="E320" s="3">
        <v>40231.530555555553</v>
      </c>
      <c r="F320" s="2">
        <v>10.95</v>
      </c>
      <c r="G320" s="2">
        <v>14680</v>
      </c>
      <c r="H320" s="2" t="s">
        <v>9</v>
      </c>
    </row>
    <row r="321" spans="1:8" x14ac:dyDescent="0.25">
      <c r="A321" s="2">
        <v>503543</v>
      </c>
      <c r="B321" s="2">
        <v>22147</v>
      </c>
      <c r="C321" s="2" t="s">
        <v>387</v>
      </c>
      <c r="D321" s="2">
        <v>1</v>
      </c>
      <c r="E321" s="3">
        <v>40269.599305555559</v>
      </c>
      <c r="F321" s="2">
        <v>1.45</v>
      </c>
      <c r="G321" s="2">
        <v>17993</v>
      </c>
      <c r="H321" s="2" t="s">
        <v>9</v>
      </c>
    </row>
    <row r="322" spans="1:8" x14ac:dyDescent="0.25">
      <c r="A322" s="2">
        <v>536088</v>
      </c>
      <c r="B322" s="2">
        <v>22602</v>
      </c>
      <c r="C322" s="2" t="s">
        <v>388</v>
      </c>
      <c r="D322" s="2">
        <v>9</v>
      </c>
      <c r="E322" s="2" t="s">
        <v>389</v>
      </c>
      <c r="F322" s="2">
        <v>0.85</v>
      </c>
      <c r="G322" s="2">
        <v>16782</v>
      </c>
      <c r="H322" s="2" t="s">
        <v>9</v>
      </c>
    </row>
    <row r="323" spans="1:8" x14ac:dyDescent="0.25">
      <c r="A323" s="2">
        <v>530165</v>
      </c>
      <c r="B323" s="2">
        <v>21790</v>
      </c>
      <c r="C323" s="2" t="s">
        <v>257</v>
      </c>
      <c r="D323" s="2">
        <v>12</v>
      </c>
      <c r="E323" s="3">
        <v>40484.367361111108</v>
      </c>
      <c r="F323" s="2">
        <v>0.85</v>
      </c>
      <c r="G323" s="2">
        <v>16612</v>
      </c>
      <c r="H323" s="2" t="s">
        <v>9</v>
      </c>
    </row>
    <row r="324" spans="1:8" x14ac:dyDescent="0.25">
      <c r="A324" s="2">
        <v>522826</v>
      </c>
      <c r="B324" s="2">
        <v>22457</v>
      </c>
      <c r="C324" s="2" t="s">
        <v>390</v>
      </c>
      <c r="D324" s="2">
        <v>6</v>
      </c>
      <c r="E324" s="3">
        <v>40438.427777777782</v>
      </c>
      <c r="F324" s="2">
        <v>2.95</v>
      </c>
      <c r="G324" s="2">
        <v>13564</v>
      </c>
      <c r="H324" s="2" t="s">
        <v>9</v>
      </c>
    </row>
    <row r="325" spans="1:8" x14ac:dyDescent="0.25">
      <c r="A325" s="2">
        <v>498596</v>
      </c>
      <c r="B325" s="2">
        <v>22080</v>
      </c>
      <c r="C325" s="2" t="s">
        <v>391</v>
      </c>
      <c r="D325" s="2">
        <v>10</v>
      </c>
      <c r="E325" s="3">
        <v>40230.665277777778</v>
      </c>
      <c r="F325" s="2">
        <v>1.65</v>
      </c>
      <c r="G325" s="2">
        <v>13152</v>
      </c>
      <c r="H325" s="2" t="s">
        <v>9</v>
      </c>
    </row>
    <row r="326" spans="1:8" x14ac:dyDescent="0.25">
      <c r="A326" s="2">
        <v>510737</v>
      </c>
      <c r="B326" s="2">
        <v>22150</v>
      </c>
      <c r="C326" s="2" t="s">
        <v>392</v>
      </c>
      <c r="D326" s="2">
        <v>6</v>
      </c>
      <c r="E326" s="3">
        <v>40332.488888888889</v>
      </c>
      <c r="F326" s="2">
        <v>1.95</v>
      </c>
      <c r="G326" s="2">
        <v>16279</v>
      </c>
      <c r="H326" s="2" t="s">
        <v>9</v>
      </c>
    </row>
    <row r="327" spans="1:8" x14ac:dyDescent="0.25">
      <c r="A327" s="2">
        <v>496773</v>
      </c>
      <c r="B327" s="2" t="s">
        <v>393</v>
      </c>
      <c r="C327" s="2" t="s">
        <v>394</v>
      </c>
      <c r="D327" s="2">
        <v>2</v>
      </c>
      <c r="E327" s="3">
        <v>40212.65625</v>
      </c>
      <c r="F327" s="2">
        <v>1.65</v>
      </c>
      <c r="G327" s="2">
        <v>15023</v>
      </c>
      <c r="H327" s="2" t="s">
        <v>9</v>
      </c>
    </row>
    <row r="328" spans="1:8" x14ac:dyDescent="0.25">
      <c r="A328" s="2">
        <v>535274</v>
      </c>
      <c r="B328" s="2">
        <v>22576</v>
      </c>
      <c r="C328" s="2" t="s">
        <v>258</v>
      </c>
      <c r="D328" s="2">
        <v>14</v>
      </c>
      <c r="E328" s="3">
        <v>40507.57708333333</v>
      </c>
      <c r="F328" s="2">
        <v>0.85</v>
      </c>
      <c r="G328" s="2">
        <v>14415</v>
      </c>
      <c r="H328" s="2" t="s">
        <v>9</v>
      </c>
    </row>
    <row r="329" spans="1:8" x14ac:dyDescent="0.25">
      <c r="A329" s="2">
        <v>532004</v>
      </c>
      <c r="B329" s="2" t="s">
        <v>395</v>
      </c>
      <c r="C329" s="2" t="s">
        <v>396</v>
      </c>
      <c r="D329" s="2">
        <v>2</v>
      </c>
      <c r="E329" s="3">
        <v>40492.526388888888</v>
      </c>
      <c r="F329" s="2">
        <v>3.75</v>
      </c>
      <c r="G329" s="2">
        <v>14177</v>
      </c>
      <c r="H329" s="2" t="s">
        <v>9</v>
      </c>
    </row>
    <row r="330" spans="1:8" x14ac:dyDescent="0.25">
      <c r="A330" s="2">
        <v>529156</v>
      </c>
      <c r="B330" s="2">
        <v>22575</v>
      </c>
      <c r="C330" s="2" t="s">
        <v>19</v>
      </c>
      <c r="D330" s="2">
        <v>1</v>
      </c>
      <c r="E330" s="3">
        <v>40477.699305555558</v>
      </c>
      <c r="F330" s="2">
        <v>1.95</v>
      </c>
      <c r="G330" s="2">
        <v>16549</v>
      </c>
      <c r="H330" s="2" t="s">
        <v>9</v>
      </c>
    </row>
    <row r="331" spans="1:8" x14ac:dyDescent="0.25">
      <c r="A331" s="2">
        <v>529213</v>
      </c>
      <c r="B331" s="2">
        <v>72741</v>
      </c>
      <c r="C331" s="2" t="s">
        <v>397</v>
      </c>
      <c r="D331" s="2">
        <v>9</v>
      </c>
      <c r="E331" s="3">
        <v>40478.438888888893</v>
      </c>
      <c r="F331" s="2">
        <v>1.45</v>
      </c>
      <c r="G331" s="2">
        <v>15198</v>
      </c>
      <c r="H331" s="2" t="s">
        <v>9</v>
      </c>
    </row>
    <row r="332" spans="1:8" x14ac:dyDescent="0.25">
      <c r="A332" s="2">
        <v>499236</v>
      </c>
      <c r="B332" s="2">
        <v>21742</v>
      </c>
      <c r="C332" s="2" t="s">
        <v>398</v>
      </c>
      <c r="D332" s="2">
        <v>1</v>
      </c>
      <c r="E332" s="3">
        <v>40234.553472222222</v>
      </c>
      <c r="F332" s="2">
        <v>5.95</v>
      </c>
      <c r="G332" s="2">
        <v>13240</v>
      </c>
      <c r="H332" s="2" t="s">
        <v>9</v>
      </c>
    </row>
    <row r="333" spans="1:8" x14ac:dyDescent="0.25">
      <c r="A333" s="2" t="s">
        <v>399</v>
      </c>
      <c r="B333" s="2">
        <v>84992</v>
      </c>
      <c r="C333" s="2" t="s">
        <v>400</v>
      </c>
      <c r="D333" s="2">
        <v>24</v>
      </c>
      <c r="E333" s="3">
        <v>40207.42083333333</v>
      </c>
      <c r="F333" s="2">
        <v>0.55000000000000004</v>
      </c>
      <c r="G333" s="2">
        <v>13085</v>
      </c>
      <c r="H333" s="2" t="s">
        <v>9</v>
      </c>
    </row>
    <row r="334" spans="1:8" x14ac:dyDescent="0.25">
      <c r="A334" s="2">
        <v>508653</v>
      </c>
      <c r="B334" s="2" t="s">
        <v>395</v>
      </c>
      <c r="C334" s="2" t="s">
        <v>401</v>
      </c>
      <c r="D334" s="2">
        <v>4</v>
      </c>
      <c r="E334" s="3">
        <v>40315.662499999999</v>
      </c>
      <c r="F334" s="2">
        <v>3.75</v>
      </c>
      <c r="G334" s="2">
        <v>17228</v>
      </c>
      <c r="H334" s="2" t="s">
        <v>9</v>
      </c>
    </row>
    <row r="335" spans="1:8" x14ac:dyDescent="0.25">
      <c r="A335" s="2" t="s">
        <v>402</v>
      </c>
      <c r="B335" s="2">
        <v>22352</v>
      </c>
      <c r="C335" s="2" t="s">
        <v>403</v>
      </c>
      <c r="D335" s="2">
        <v>-12</v>
      </c>
      <c r="E335" s="3">
        <v>40155.493750000001</v>
      </c>
      <c r="F335" s="2">
        <v>2.5499999999999998</v>
      </c>
      <c r="G335" s="2">
        <v>14277</v>
      </c>
      <c r="H335" s="2" t="s">
        <v>404</v>
      </c>
    </row>
    <row r="336" spans="1:8" x14ac:dyDescent="0.25">
      <c r="A336" s="2">
        <v>490636</v>
      </c>
      <c r="B336" s="2">
        <v>82585</v>
      </c>
      <c r="C336" s="2" t="s">
        <v>405</v>
      </c>
      <c r="D336" s="2">
        <v>4</v>
      </c>
      <c r="E336" s="3">
        <v>40154.505555555559</v>
      </c>
      <c r="F336" s="2">
        <v>1.25</v>
      </c>
      <c r="G336" s="2">
        <v>13564</v>
      </c>
      <c r="H336" s="2" t="s">
        <v>9</v>
      </c>
    </row>
    <row r="337" spans="1:8" x14ac:dyDescent="0.25">
      <c r="A337" s="2">
        <v>510781</v>
      </c>
      <c r="B337" s="2">
        <v>21796</v>
      </c>
      <c r="C337" s="2" t="s">
        <v>406</v>
      </c>
      <c r="D337" s="2">
        <v>1</v>
      </c>
      <c r="E337" s="3">
        <v>40332.636805555558</v>
      </c>
      <c r="F337" s="2">
        <v>12.75</v>
      </c>
      <c r="G337" s="2">
        <v>16892</v>
      </c>
      <c r="H337" s="2" t="s">
        <v>9</v>
      </c>
    </row>
    <row r="338" spans="1:8" x14ac:dyDescent="0.25">
      <c r="A338" s="2">
        <v>525286</v>
      </c>
      <c r="B338" s="2">
        <v>20825</v>
      </c>
      <c r="C338" s="2" t="s">
        <v>163</v>
      </c>
      <c r="D338" s="2">
        <v>288</v>
      </c>
      <c r="E338" s="3">
        <v>40456.356944444437</v>
      </c>
      <c r="F338" s="2">
        <v>3.39</v>
      </c>
      <c r="G338" s="2">
        <v>15061</v>
      </c>
      <c r="H338" s="2" t="s">
        <v>9</v>
      </c>
    </row>
    <row r="339" spans="1:8" x14ac:dyDescent="0.25">
      <c r="A339" s="2">
        <v>521223</v>
      </c>
      <c r="B339" s="2">
        <v>22411</v>
      </c>
      <c r="C339" s="2" t="s">
        <v>206</v>
      </c>
      <c r="D339" s="2">
        <v>10</v>
      </c>
      <c r="E339" s="3">
        <v>40424.446527777778</v>
      </c>
      <c r="F339" s="2">
        <v>1.95</v>
      </c>
      <c r="G339" s="2">
        <v>17454</v>
      </c>
      <c r="H339" s="2" t="s">
        <v>9</v>
      </c>
    </row>
    <row r="340" spans="1:8" x14ac:dyDescent="0.25">
      <c r="A340" s="2">
        <v>505443</v>
      </c>
      <c r="B340" s="2">
        <v>21313</v>
      </c>
      <c r="C340" s="2" t="s">
        <v>407</v>
      </c>
      <c r="D340" s="2">
        <v>12</v>
      </c>
      <c r="E340" s="3">
        <v>40290.451388888891</v>
      </c>
      <c r="F340" s="2">
        <v>0.85</v>
      </c>
      <c r="G340" s="2">
        <v>13625</v>
      </c>
      <c r="H340" s="2" t="s">
        <v>9</v>
      </c>
    </row>
    <row r="341" spans="1:8" x14ac:dyDescent="0.25">
      <c r="A341" s="2">
        <v>507445</v>
      </c>
      <c r="B341" s="2">
        <v>22520</v>
      </c>
      <c r="C341" s="2" t="s">
        <v>408</v>
      </c>
      <c r="D341" s="2">
        <v>12</v>
      </c>
      <c r="E341" s="3">
        <v>40308.401388888888</v>
      </c>
      <c r="F341" s="2">
        <v>0.85</v>
      </c>
      <c r="G341" s="2">
        <v>14329</v>
      </c>
      <c r="H341" s="2" t="s">
        <v>9</v>
      </c>
    </row>
    <row r="342" spans="1:8" x14ac:dyDescent="0.25">
      <c r="A342" s="2">
        <v>527740</v>
      </c>
      <c r="B342" s="2">
        <v>22444</v>
      </c>
      <c r="C342" s="2" t="s">
        <v>409</v>
      </c>
      <c r="D342" s="2">
        <v>24</v>
      </c>
      <c r="E342" s="3">
        <v>40469.658333333333</v>
      </c>
      <c r="F342" s="2">
        <v>1.25</v>
      </c>
      <c r="G342" s="2">
        <v>14157</v>
      </c>
      <c r="H342" s="2" t="s">
        <v>9</v>
      </c>
    </row>
    <row r="343" spans="1:8" x14ac:dyDescent="0.25">
      <c r="A343" s="2">
        <v>527819</v>
      </c>
      <c r="B343" s="2">
        <v>22523</v>
      </c>
      <c r="C343" s="2" t="s">
        <v>410</v>
      </c>
      <c r="D343" s="2" t="s">
        <v>330</v>
      </c>
      <c r="E343" s="3">
        <v>40470.473611111112</v>
      </c>
      <c r="F343" s="2">
        <v>0.85</v>
      </c>
      <c r="G343" s="2" t="s">
        <v>411</v>
      </c>
      <c r="H343" s="2" t="s">
        <v>9</v>
      </c>
    </row>
    <row r="344" spans="1:8" x14ac:dyDescent="0.25">
      <c r="A344" s="2">
        <v>524524</v>
      </c>
      <c r="B344" s="2">
        <v>22118</v>
      </c>
      <c r="C344" s="2" t="s">
        <v>101</v>
      </c>
      <c r="D344" s="2">
        <v>2</v>
      </c>
      <c r="E344" s="3">
        <v>40450.551388888889</v>
      </c>
      <c r="F344" s="2">
        <v>4.95</v>
      </c>
      <c r="G344" s="2" t="s">
        <v>412</v>
      </c>
      <c r="H344" s="2" t="s">
        <v>9</v>
      </c>
    </row>
    <row r="345" spans="1:8" x14ac:dyDescent="0.25">
      <c r="A345" s="2">
        <v>518665</v>
      </c>
      <c r="B345" s="2">
        <v>84950</v>
      </c>
      <c r="C345" s="2" t="s">
        <v>413</v>
      </c>
      <c r="D345" s="2">
        <v>24</v>
      </c>
      <c r="E345" s="3">
        <v>40400.613194444442</v>
      </c>
      <c r="F345" s="2">
        <v>0.85</v>
      </c>
      <c r="G345" s="2">
        <v>14478</v>
      </c>
      <c r="H345" s="2" t="s">
        <v>9</v>
      </c>
    </row>
    <row r="346" spans="1:8" x14ac:dyDescent="0.25">
      <c r="A346" s="2">
        <v>507129</v>
      </c>
      <c r="B346" s="2">
        <v>21034</v>
      </c>
      <c r="C346" s="2" t="s">
        <v>414</v>
      </c>
      <c r="D346" s="2">
        <v>1</v>
      </c>
      <c r="E346" s="3">
        <v>40304.510416666657</v>
      </c>
      <c r="F346" s="2">
        <v>0.95</v>
      </c>
      <c r="G346" s="2">
        <v>15860</v>
      </c>
      <c r="H346" s="2" t="s">
        <v>9</v>
      </c>
    </row>
    <row r="347" spans="1:8" x14ac:dyDescent="0.25">
      <c r="A347" s="2">
        <v>531374</v>
      </c>
      <c r="B347" s="2">
        <v>21559</v>
      </c>
      <c r="C347" s="2" t="s">
        <v>415</v>
      </c>
      <c r="D347" s="2">
        <v>6</v>
      </c>
      <c r="E347" s="3">
        <v>40489.659722222219</v>
      </c>
      <c r="F347" s="2">
        <v>2.5499999999999998</v>
      </c>
      <c r="G347" s="2">
        <v>13178</v>
      </c>
      <c r="H347" s="2" t="s">
        <v>9</v>
      </c>
    </row>
    <row r="348" spans="1:8" x14ac:dyDescent="0.25">
      <c r="A348" s="2">
        <v>532337</v>
      </c>
      <c r="B348" s="2" t="s">
        <v>153</v>
      </c>
      <c r="C348" s="2" t="s">
        <v>154</v>
      </c>
      <c r="D348" s="2">
        <v>2</v>
      </c>
      <c r="E348" s="3">
        <v>40493.65902777778</v>
      </c>
      <c r="F348" s="2">
        <v>2.95</v>
      </c>
      <c r="G348" s="2">
        <v>13263</v>
      </c>
      <c r="H348" s="2" t="s">
        <v>9</v>
      </c>
    </row>
    <row r="349" spans="1:8" x14ac:dyDescent="0.25">
      <c r="A349" s="2">
        <v>522334</v>
      </c>
      <c r="B349" s="2">
        <v>84975</v>
      </c>
      <c r="C349" s="2" t="s">
        <v>416</v>
      </c>
      <c r="D349" s="2">
        <v>36</v>
      </c>
      <c r="E349" s="3">
        <v>40435.404861111107</v>
      </c>
      <c r="F349" s="2">
        <v>1.69</v>
      </c>
      <c r="G349" s="2" t="s">
        <v>417</v>
      </c>
      <c r="H349" s="2" t="s">
        <v>9</v>
      </c>
    </row>
    <row r="350" spans="1:8" x14ac:dyDescent="0.25">
      <c r="A350" s="2">
        <v>496058</v>
      </c>
      <c r="B350" s="2">
        <v>90029</v>
      </c>
      <c r="C350" s="2" t="s">
        <v>418</v>
      </c>
      <c r="D350" s="2">
        <v>5</v>
      </c>
      <c r="E350" s="3">
        <v>40206.636805555558</v>
      </c>
      <c r="F350" s="2">
        <v>8.5</v>
      </c>
      <c r="G350" s="2">
        <v>17115</v>
      </c>
      <c r="H350" s="2" t="s">
        <v>9</v>
      </c>
    </row>
    <row r="351" spans="1:8" x14ac:dyDescent="0.25">
      <c r="A351" s="2">
        <v>526510</v>
      </c>
      <c r="B351" s="2">
        <v>21056</v>
      </c>
      <c r="C351" s="2" t="s">
        <v>419</v>
      </c>
      <c r="D351" s="2">
        <v>4</v>
      </c>
      <c r="E351" s="3">
        <v>40463.453472222223</v>
      </c>
      <c r="F351" s="2">
        <v>8.9499999999999993</v>
      </c>
      <c r="G351" s="2">
        <v>13299</v>
      </c>
      <c r="H351" s="2" t="s">
        <v>57</v>
      </c>
    </row>
    <row r="352" spans="1:8" x14ac:dyDescent="0.25">
      <c r="A352" s="2">
        <v>491068</v>
      </c>
      <c r="B352" s="2">
        <v>21755</v>
      </c>
      <c r="C352" s="2" t="s">
        <v>360</v>
      </c>
      <c r="D352" s="2">
        <v>4</v>
      </c>
      <c r="E352" s="3">
        <v>40156.512499999997</v>
      </c>
      <c r="F352" s="2">
        <v>5.95</v>
      </c>
      <c r="G352" s="2">
        <v>15768</v>
      </c>
      <c r="H352" s="2" t="s">
        <v>9</v>
      </c>
    </row>
    <row r="353" spans="1:8" x14ac:dyDescent="0.25">
      <c r="A353" s="2">
        <v>526236</v>
      </c>
      <c r="B353" s="2">
        <v>22068</v>
      </c>
      <c r="C353" s="2" t="s">
        <v>420</v>
      </c>
      <c r="D353" s="2">
        <v>2</v>
      </c>
      <c r="E353" s="3">
        <v>40461.672222222223</v>
      </c>
      <c r="F353" s="2">
        <v>1.65</v>
      </c>
      <c r="G353" s="2">
        <v>14723</v>
      </c>
      <c r="H353" s="2" t="s">
        <v>9</v>
      </c>
    </row>
    <row r="354" spans="1:8" x14ac:dyDescent="0.25">
      <c r="A354" s="2">
        <v>535946</v>
      </c>
      <c r="B354" s="2">
        <v>21484</v>
      </c>
      <c r="C354" s="2" t="s">
        <v>421</v>
      </c>
      <c r="D354" s="2">
        <v>2</v>
      </c>
      <c r="E354" s="3">
        <v>40511.495833333327</v>
      </c>
      <c r="F354" s="2">
        <v>3.45</v>
      </c>
      <c r="G354" s="2">
        <v>17345</v>
      </c>
      <c r="H354" s="2" t="s">
        <v>9</v>
      </c>
    </row>
    <row r="355" spans="1:8" x14ac:dyDescent="0.25">
      <c r="A355" s="2">
        <v>490609</v>
      </c>
      <c r="B355" s="2">
        <v>21479</v>
      </c>
      <c r="C355" s="2" t="s">
        <v>422</v>
      </c>
      <c r="D355" s="2">
        <v>3</v>
      </c>
      <c r="E355" s="3">
        <v>40154.48541666667</v>
      </c>
      <c r="F355" s="2">
        <v>3.75</v>
      </c>
      <c r="G355" s="2">
        <v>14037</v>
      </c>
      <c r="H355" s="2" t="s">
        <v>9</v>
      </c>
    </row>
    <row r="356" spans="1:8" x14ac:dyDescent="0.25">
      <c r="A356" s="2">
        <v>520561</v>
      </c>
      <c r="B356" s="2">
        <v>22625</v>
      </c>
      <c r="C356" s="2" t="s">
        <v>423</v>
      </c>
      <c r="D356" s="2">
        <v>2</v>
      </c>
      <c r="E356" s="3">
        <v>40416.698611111111</v>
      </c>
      <c r="F356" s="2">
        <v>8.5</v>
      </c>
      <c r="G356" s="2">
        <v>14769</v>
      </c>
      <c r="H356" s="2" t="s">
        <v>9</v>
      </c>
    </row>
    <row r="357" spans="1:8" x14ac:dyDescent="0.25">
      <c r="A357" s="2">
        <v>515150</v>
      </c>
      <c r="B357" s="2" t="s">
        <v>424</v>
      </c>
      <c r="C357" s="2" t="s">
        <v>425</v>
      </c>
      <c r="D357" s="2">
        <v>24</v>
      </c>
      <c r="E357" s="3">
        <v>40367.616666666669</v>
      </c>
      <c r="F357" s="2">
        <v>0.85</v>
      </c>
      <c r="G357" s="2">
        <v>18279</v>
      </c>
      <c r="H357" s="2" t="s">
        <v>9</v>
      </c>
    </row>
    <row r="358" spans="1:8" x14ac:dyDescent="0.25">
      <c r="A358" s="2">
        <v>531935</v>
      </c>
      <c r="B358" s="2">
        <v>22867</v>
      </c>
      <c r="C358" s="2" t="s">
        <v>426</v>
      </c>
      <c r="D358" s="2">
        <v>24</v>
      </c>
      <c r="E358" s="2" t="s">
        <v>427</v>
      </c>
      <c r="F358" s="2">
        <v>2.1</v>
      </c>
      <c r="G358" s="2">
        <v>15527</v>
      </c>
      <c r="H358" s="2" t="s">
        <v>9</v>
      </c>
    </row>
    <row r="359" spans="1:8" x14ac:dyDescent="0.25">
      <c r="A359" s="2">
        <v>535803</v>
      </c>
      <c r="B359" s="2">
        <v>22865</v>
      </c>
      <c r="C359" s="2" t="s">
        <v>428</v>
      </c>
      <c r="D359" s="2">
        <v>2</v>
      </c>
      <c r="E359" s="3">
        <v>40510.622916666667</v>
      </c>
      <c r="F359" s="2">
        <v>2.1</v>
      </c>
      <c r="G359" s="2">
        <v>14410</v>
      </c>
      <c r="H359" s="2" t="s">
        <v>9</v>
      </c>
    </row>
    <row r="360" spans="1:8" x14ac:dyDescent="0.25">
      <c r="A360" s="2">
        <v>494471</v>
      </c>
      <c r="B360" s="2">
        <v>21181</v>
      </c>
      <c r="C360" s="2" t="s">
        <v>429</v>
      </c>
      <c r="D360" s="2">
        <v>12</v>
      </c>
      <c r="E360" s="3">
        <v>40192.616666666669</v>
      </c>
      <c r="F360" s="2">
        <v>2.1</v>
      </c>
      <c r="G360" s="2">
        <v>13680</v>
      </c>
      <c r="H360" s="2" t="s">
        <v>9</v>
      </c>
    </row>
    <row r="361" spans="1:8" x14ac:dyDescent="0.25">
      <c r="A361" s="2">
        <v>529837</v>
      </c>
      <c r="B361" s="2">
        <v>22599</v>
      </c>
      <c r="C361" s="2" t="s">
        <v>430</v>
      </c>
      <c r="D361" s="2">
        <v>6</v>
      </c>
      <c r="E361" s="2" t="s">
        <v>431</v>
      </c>
      <c r="F361" s="2">
        <v>0.85</v>
      </c>
      <c r="G361" s="2">
        <v>16784</v>
      </c>
      <c r="H361" s="2" t="s">
        <v>9</v>
      </c>
    </row>
    <row r="362" spans="1:8" x14ac:dyDescent="0.25">
      <c r="A362" s="2">
        <v>532679</v>
      </c>
      <c r="B362" s="2">
        <v>84754</v>
      </c>
      <c r="C362" s="2" t="s">
        <v>432</v>
      </c>
      <c r="D362" s="2">
        <v>2</v>
      </c>
      <c r="E362" s="3">
        <v>40496.511805555558</v>
      </c>
      <c r="F362" s="2">
        <v>1.25</v>
      </c>
      <c r="G362" s="2">
        <v>16960</v>
      </c>
      <c r="H362" s="2" t="s">
        <v>9</v>
      </c>
    </row>
    <row r="363" spans="1:8" x14ac:dyDescent="0.25">
      <c r="A363" s="2">
        <v>528989</v>
      </c>
      <c r="B363" s="2">
        <v>22773</v>
      </c>
      <c r="C363" s="2" t="s">
        <v>433</v>
      </c>
      <c r="D363" s="2">
        <v>12</v>
      </c>
      <c r="E363" s="3">
        <v>40477.470138888893</v>
      </c>
      <c r="F363" s="2">
        <v>1.25</v>
      </c>
      <c r="G363" s="2">
        <v>14897</v>
      </c>
      <c r="H363" s="2" t="s">
        <v>9</v>
      </c>
    </row>
    <row r="364" spans="1:8" x14ac:dyDescent="0.25">
      <c r="A364" s="2">
        <v>498303</v>
      </c>
      <c r="B364" s="2">
        <v>21931</v>
      </c>
      <c r="C364" s="2" t="s">
        <v>434</v>
      </c>
      <c r="D364" s="2">
        <v>10</v>
      </c>
      <c r="E364" s="3">
        <v>40227.396527777782</v>
      </c>
      <c r="F364" s="2">
        <v>1.95</v>
      </c>
      <c r="G364" s="2">
        <v>15640</v>
      </c>
      <c r="H364" s="2" t="s">
        <v>9</v>
      </c>
    </row>
    <row r="365" spans="1:8" x14ac:dyDescent="0.25">
      <c r="A365" s="2">
        <v>522331</v>
      </c>
      <c r="B365" s="2">
        <v>21519</v>
      </c>
      <c r="C365" s="2" t="s">
        <v>435</v>
      </c>
      <c r="D365" s="2">
        <v>12</v>
      </c>
      <c r="E365" s="3">
        <v>40435.378472222219</v>
      </c>
      <c r="F365" s="2">
        <v>0.42</v>
      </c>
      <c r="G365" s="2">
        <v>15639</v>
      </c>
      <c r="H365" s="2" t="s">
        <v>9</v>
      </c>
    </row>
    <row r="366" spans="1:8" x14ac:dyDescent="0.25">
      <c r="A366" s="2">
        <v>517712</v>
      </c>
      <c r="B366" s="2" t="s">
        <v>436</v>
      </c>
      <c r="C366" s="2" t="s">
        <v>437</v>
      </c>
      <c r="D366" s="2">
        <v>6</v>
      </c>
      <c r="E366" s="3">
        <v>40391.470138888893</v>
      </c>
      <c r="F366" s="2">
        <v>4.95</v>
      </c>
      <c r="G366" s="2">
        <v>13564</v>
      </c>
      <c r="H366" s="2" t="s">
        <v>9</v>
      </c>
    </row>
    <row r="367" spans="1:8" x14ac:dyDescent="0.25">
      <c r="A367" s="2">
        <v>513335</v>
      </c>
      <c r="B367" s="2" t="s">
        <v>438</v>
      </c>
      <c r="C367" s="2" t="s">
        <v>439</v>
      </c>
      <c r="D367" s="2">
        <v>2</v>
      </c>
      <c r="E367" s="3">
        <v>40353.40902777778</v>
      </c>
      <c r="F367" s="2">
        <v>7.49</v>
      </c>
      <c r="G367" s="2">
        <v>17686</v>
      </c>
      <c r="H367" s="2" t="s">
        <v>9</v>
      </c>
    </row>
    <row r="368" spans="1:8" x14ac:dyDescent="0.25">
      <c r="A368" s="2">
        <v>515910</v>
      </c>
      <c r="B368" s="2">
        <v>22703</v>
      </c>
      <c r="C368" s="2" t="s">
        <v>236</v>
      </c>
      <c r="D368" s="2">
        <v>6</v>
      </c>
      <c r="E368" s="3">
        <v>40374.553472222222</v>
      </c>
      <c r="F368" s="2">
        <v>1.85</v>
      </c>
      <c r="G368" s="2">
        <v>14298</v>
      </c>
      <c r="H368" s="2" t="s">
        <v>9</v>
      </c>
    </row>
    <row r="369" spans="1:8" x14ac:dyDescent="0.25">
      <c r="A369" s="2">
        <v>529994</v>
      </c>
      <c r="B369" s="2" t="s">
        <v>440</v>
      </c>
      <c r="C369" s="2" t="s">
        <v>441</v>
      </c>
      <c r="D369" s="2">
        <v>24</v>
      </c>
      <c r="E369" s="3">
        <v>40482.68472222222</v>
      </c>
      <c r="F369" s="2">
        <v>1.25</v>
      </c>
      <c r="G369" s="2">
        <v>16984</v>
      </c>
      <c r="H369" s="2" t="s">
        <v>9</v>
      </c>
    </row>
    <row r="370" spans="1:8" x14ac:dyDescent="0.25">
      <c r="A370" s="2">
        <v>492445</v>
      </c>
      <c r="B370" s="2" t="s">
        <v>153</v>
      </c>
      <c r="C370" s="2" t="s">
        <v>154</v>
      </c>
      <c r="D370" s="2">
        <v>32</v>
      </c>
      <c r="E370" s="3">
        <v>40164.463194444441</v>
      </c>
      <c r="F370" s="2">
        <v>2.5499999999999998</v>
      </c>
      <c r="G370" s="2">
        <v>17230</v>
      </c>
      <c r="H370" s="2" t="s">
        <v>9</v>
      </c>
    </row>
    <row r="371" spans="1:8" x14ac:dyDescent="0.25">
      <c r="A371" s="2">
        <v>513568</v>
      </c>
      <c r="B371" s="2">
        <v>21928</v>
      </c>
      <c r="C371" s="2" t="s">
        <v>442</v>
      </c>
      <c r="D371" s="2">
        <v>20</v>
      </c>
      <c r="E371" s="3">
        <v>40354.599305555559</v>
      </c>
      <c r="F371" s="2">
        <v>1.95</v>
      </c>
      <c r="G371" s="2">
        <v>12921</v>
      </c>
      <c r="H371" s="2" t="s">
        <v>57</v>
      </c>
    </row>
    <row r="372" spans="1:8" x14ac:dyDescent="0.25">
      <c r="A372" s="2">
        <v>534238</v>
      </c>
      <c r="B372" s="2">
        <v>22154</v>
      </c>
      <c r="C372" s="2" t="s">
        <v>443</v>
      </c>
      <c r="D372" s="2">
        <v>48</v>
      </c>
      <c r="E372" s="3">
        <v>40504.445138888892</v>
      </c>
      <c r="F372" s="2">
        <v>0.42</v>
      </c>
      <c r="G372" s="2">
        <v>17730</v>
      </c>
      <c r="H372" s="2" t="s">
        <v>9</v>
      </c>
    </row>
    <row r="373" spans="1:8" x14ac:dyDescent="0.25">
      <c r="A373" s="2">
        <v>524268</v>
      </c>
      <c r="B373" s="2">
        <v>21754</v>
      </c>
      <c r="C373" s="2" t="s">
        <v>344</v>
      </c>
      <c r="D373" s="2">
        <v>9</v>
      </c>
      <c r="E373" s="3">
        <v>40449.490972222222</v>
      </c>
      <c r="F373" s="2">
        <v>5.95</v>
      </c>
      <c r="G373" s="2">
        <v>17975</v>
      </c>
      <c r="H373" s="2" t="s">
        <v>9</v>
      </c>
    </row>
    <row r="374" spans="1:8" x14ac:dyDescent="0.25">
      <c r="A374" s="2">
        <v>533838</v>
      </c>
      <c r="B374" s="2">
        <v>22739</v>
      </c>
      <c r="C374" s="2" t="s">
        <v>444</v>
      </c>
      <c r="D374" s="2">
        <v>10</v>
      </c>
      <c r="E374" s="3">
        <v>40501.456250000003</v>
      </c>
      <c r="F374" s="2">
        <v>1.65</v>
      </c>
      <c r="G374" s="2">
        <v>13662</v>
      </c>
      <c r="H374" s="2" t="s">
        <v>9</v>
      </c>
    </row>
    <row r="375" spans="1:8" x14ac:dyDescent="0.25">
      <c r="A375" s="2">
        <v>515420</v>
      </c>
      <c r="B375" s="2" t="s">
        <v>445</v>
      </c>
      <c r="C375" s="2" t="s">
        <v>446</v>
      </c>
      <c r="D375" s="2">
        <v>3</v>
      </c>
      <c r="E375" s="3">
        <v>40371.552083333343</v>
      </c>
      <c r="F375" s="2">
        <v>0.65</v>
      </c>
      <c r="G375" s="2">
        <v>17365</v>
      </c>
      <c r="H375" s="2" t="s">
        <v>9</v>
      </c>
    </row>
    <row r="376" spans="1:8" x14ac:dyDescent="0.25">
      <c r="A376" s="2">
        <v>531010</v>
      </c>
      <c r="B376" s="2">
        <v>21282</v>
      </c>
      <c r="C376" s="2" t="s">
        <v>447</v>
      </c>
      <c r="D376" s="2">
        <v>24</v>
      </c>
      <c r="E376" s="3">
        <v>40487.487500000003</v>
      </c>
      <c r="F376" s="2">
        <v>3.75</v>
      </c>
      <c r="G376" s="2">
        <v>12406</v>
      </c>
      <c r="H376" s="2" t="s">
        <v>114</v>
      </c>
    </row>
    <row r="377" spans="1:8" x14ac:dyDescent="0.25">
      <c r="A377" s="2">
        <v>535349</v>
      </c>
      <c r="B377" s="2">
        <v>22030</v>
      </c>
      <c r="C377" s="2" t="s">
        <v>448</v>
      </c>
      <c r="D377" s="2">
        <v>12</v>
      </c>
      <c r="E377" s="3">
        <v>40507.702777777777</v>
      </c>
      <c r="F377" s="2">
        <v>0.42</v>
      </c>
      <c r="G377" s="2">
        <v>18245</v>
      </c>
      <c r="H377" s="2" t="s">
        <v>9</v>
      </c>
    </row>
    <row r="378" spans="1:8" x14ac:dyDescent="0.25">
      <c r="A378" s="2">
        <v>521205</v>
      </c>
      <c r="B378" s="2">
        <v>21988</v>
      </c>
      <c r="C378" s="2" t="s">
        <v>449</v>
      </c>
      <c r="D378" s="2">
        <v>1</v>
      </c>
      <c r="E378" s="3">
        <v>40423.765277777777</v>
      </c>
      <c r="F378" s="2">
        <v>0.85</v>
      </c>
      <c r="G378" s="2">
        <v>17324</v>
      </c>
      <c r="H378" s="2" t="s">
        <v>9</v>
      </c>
    </row>
    <row r="379" spans="1:8" x14ac:dyDescent="0.25">
      <c r="A379" s="2">
        <v>516950</v>
      </c>
      <c r="B379" s="2">
        <v>22149</v>
      </c>
      <c r="C379" s="2" t="s">
        <v>450</v>
      </c>
      <c r="D379" s="2">
        <v>2</v>
      </c>
      <c r="E379" s="3">
        <v>40384.651388888888</v>
      </c>
      <c r="F379" s="2">
        <v>2.1</v>
      </c>
      <c r="G379" s="2">
        <v>13276</v>
      </c>
      <c r="H379" s="2" t="s">
        <v>9</v>
      </c>
    </row>
    <row r="380" spans="1:8" x14ac:dyDescent="0.25">
      <c r="A380" s="2">
        <v>528648</v>
      </c>
      <c r="B380" s="2">
        <v>22417</v>
      </c>
      <c r="C380" s="2" t="s">
        <v>451</v>
      </c>
      <c r="D380" s="2">
        <v>1</v>
      </c>
      <c r="E380" s="3">
        <v>40475.527083333327</v>
      </c>
      <c r="F380" s="2">
        <v>0.55000000000000004</v>
      </c>
      <c r="G380" s="2">
        <v>16445</v>
      </c>
      <c r="H380" s="2" t="s">
        <v>9</v>
      </c>
    </row>
    <row r="381" spans="1:8" x14ac:dyDescent="0.25">
      <c r="A381" s="2">
        <v>507179</v>
      </c>
      <c r="B381" s="2">
        <v>22328</v>
      </c>
      <c r="C381" s="2" t="s">
        <v>452</v>
      </c>
      <c r="D381" s="2">
        <v>96</v>
      </c>
      <c r="E381" s="3">
        <v>40304.64166666667</v>
      </c>
      <c r="F381" s="2">
        <v>2.5499999999999998</v>
      </c>
      <c r="G381" s="2">
        <v>14646</v>
      </c>
      <c r="H381" s="2" t="s">
        <v>116</v>
      </c>
    </row>
    <row r="382" spans="1:8" x14ac:dyDescent="0.25">
      <c r="A382" s="2">
        <v>520716</v>
      </c>
      <c r="B382" s="2">
        <v>21737</v>
      </c>
      <c r="C382" s="2" t="s">
        <v>453</v>
      </c>
      <c r="D382" s="2">
        <v>1</v>
      </c>
      <c r="E382" s="3">
        <v>40419.585416666669</v>
      </c>
      <c r="F382" s="2">
        <v>19.95</v>
      </c>
      <c r="G382" s="2">
        <v>15722</v>
      </c>
      <c r="H382" s="2" t="s">
        <v>9</v>
      </c>
    </row>
    <row r="383" spans="1:8" x14ac:dyDescent="0.25">
      <c r="A383" s="2">
        <v>505845</v>
      </c>
      <c r="B383" s="2">
        <v>22072</v>
      </c>
      <c r="C383" s="2" t="s">
        <v>454</v>
      </c>
      <c r="D383" s="2">
        <v>4</v>
      </c>
      <c r="E383" s="3">
        <v>40294.501388888893</v>
      </c>
      <c r="F383" s="2">
        <v>3.75</v>
      </c>
      <c r="G383" s="2">
        <v>16756</v>
      </c>
      <c r="H383" s="2" t="s">
        <v>9</v>
      </c>
    </row>
    <row r="384" spans="1:8" x14ac:dyDescent="0.25">
      <c r="A384" s="2">
        <v>511522</v>
      </c>
      <c r="B384" s="2">
        <v>21155</v>
      </c>
      <c r="C384" s="2" t="s">
        <v>455</v>
      </c>
      <c r="D384" s="2">
        <v>4</v>
      </c>
      <c r="E384" s="3">
        <v>40337.699305555558</v>
      </c>
      <c r="F384" s="2">
        <v>2.1</v>
      </c>
      <c r="G384" s="2">
        <v>16072</v>
      </c>
      <c r="H384" s="2" t="s">
        <v>9</v>
      </c>
    </row>
    <row r="385" spans="1:8" x14ac:dyDescent="0.25">
      <c r="A385" s="2">
        <v>532016</v>
      </c>
      <c r="B385" s="2">
        <v>22112</v>
      </c>
      <c r="C385" s="2" t="s">
        <v>199</v>
      </c>
      <c r="D385" s="2">
        <v>1</v>
      </c>
      <c r="E385" s="3">
        <v>40492.537499999999</v>
      </c>
      <c r="F385" s="2">
        <v>4.95</v>
      </c>
      <c r="G385" s="2" t="s">
        <v>456</v>
      </c>
      <c r="H385" s="2" t="s">
        <v>9</v>
      </c>
    </row>
    <row r="386" spans="1:8" x14ac:dyDescent="0.25">
      <c r="A386" s="2">
        <v>515906</v>
      </c>
      <c r="B386" s="2">
        <v>21016</v>
      </c>
      <c r="C386" s="2" t="s">
        <v>457</v>
      </c>
      <c r="D386" s="2">
        <v>3</v>
      </c>
      <c r="E386" s="3">
        <v>40374.540972222218</v>
      </c>
      <c r="F386" s="2">
        <v>0.85</v>
      </c>
      <c r="G386" s="2">
        <v>12748</v>
      </c>
      <c r="H386" s="2" t="s">
        <v>9</v>
      </c>
    </row>
    <row r="387" spans="1:8" x14ac:dyDescent="0.25">
      <c r="A387" s="2">
        <v>513543</v>
      </c>
      <c r="B387" s="2">
        <v>21929</v>
      </c>
      <c r="C387" s="2" t="s">
        <v>458</v>
      </c>
      <c r="D387" s="2">
        <v>10</v>
      </c>
      <c r="E387" s="3">
        <v>40354.503472222219</v>
      </c>
      <c r="F387" s="2">
        <v>1.95</v>
      </c>
      <c r="G387" s="2">
        <v>14648</v>
      </c>
      <c r="H387" s="2" t="s">
        <v>9</v>
      </c>
    </row>
    <row r="388" spans="1:8" x14ac:dyDescent="0.25">
      <c r="A388" s="2">
        <v>502280</v>
      </c>
      <c r="B388" s="2" t="s">
        <v>459</v>
      </c>
      <c r="C388" s="2" t="s">
        <v>460</v>
      </c>
      <c r="D388" s="2">
        <v>12</v>
      </c>
      <c r="E388" s="3">
        <v>40260.697916666657</v>
      </c>
      <c r="F388" s="2">
        <v>1.55</v>
      </c>
      <c r="G388" s="2">
        <v>14156</v>
      </c>
      <c r="H388" s="2" t="s">
        <v>11</v>
      </c>
    </row>
    <row r="389" spans="1:8" x14ac:dyDescent="0.25">
      <c r="A389" s="2">
        <v>520084</v>
      </c>
      <c r="B389" s="2">
        <v>22644</v>
      </c>
      <c r="C389" s="2" t="s">
        <v>461</v>
      </c>
      <c r="D389" s="2">
        <v>12</v>
      </c>
      <c r="E389" s="3">
        <v>40414.447916666657</v>
      </c>
      <c r="F389" s="2">
        <v>1.45</v>
      </c>
      <c r="G389" s="2">
        <v>12915</v>
      </c>
      <c r="H389" s="2" t="s">
        <v>9</v>
      </c>
    </row>
    <row r="390" spans="1:8" x14ac:dyDescent="0.25">
      <c r="A390" s="2">
        <v>494644</v>
      </c>
      <c r="B390" s="2">
        <v>21381</v>
      </c>
      <c r="C390" s="2" t="s">
        <v>462</v>
      </c>
      <c r="D390" s="2">
        <v>2</v>
      </c>
      <c r="E390" s="3">
        <v>40195.508333333331</v>
      </c>
      <c r="F390" s="2">
        <v>1.69</v>
      </c>
      <c r="G390" s="2">
        <v>16595</v>
      </c>
      <c r="H390" s="2" t="s">
        <v>9</v>
      </c>
    </row>
    <row r="391" spans="1:8" x14ac:dyDescent="0.25">
      <c r="A391" s="2">
        <v>498238</v>
      </c>
      <c r="B391" s="2">
        <v>21232</v>
      </c>
      <c r="C391" s="2" t="s">
        <v>463</v>
      </c>
      <c r="D391" s="2">
        <v>4</v>
      </c>
      <c r="E391" s="3">
        <v>40226.607638888891</v>
      </c>
      <c r="F391" s="2" t="s">
        <v>42</v>
      </c>
      <c r="G391" s="2">
        <v>15768</v>
      </c>
      <c r="H391" s="2" t="s">
        <v>9</v>
      </c>
    </row>
    <row r="392" spans="1:8" x14ac:dyDescent="0.25">
      <c r="A392" s="2">
        <v>501718</v>
      </c>
      <c r="B392" s="2">
        <v>22224</v>
      </c>
      <c r="C392" s="2" t="s">
        <v>464</v>
      </c>
      <c r="D392" s="2">
        <v>6</v>
      </c>
      <c r="E392" s="3">
        <v>40256.444444444453</v>
      </c>
      <c r="F392" s="2">
        <v>2.95</v>
      </c>
      <c r="G392" s="2">
        <v>15325</v>
      </c>
      <c r="H392" s="2" t="s">
        <v>9</v>
      </c>
    </row>
    <row r="393" spans="1:8" x14ac:dyDescent="0.25">
      <c r="A393" s="2">
        <v>502758</v>
      </c>
      <c r="B393" s="2">
        <v>21928</v>
      </c>
      <c r="C393" s="2" t="s">
        <v>442</v>
      </c>
      <c r="D393" s="2">
        <v>100</v>
      </c>
      <c r="E393" s="3">
        <v>40263.572916666657</v>
      </c>
      <c r="F393" s="2">
        <v>1.65</v>
      </c>
      <c r="G393" s="2">
        <v>14646</v>
      </c>
      <c r="H393" s="2" t="s">
        <v>116</v>
      </c>
    </row>
    <row r="394" spans="1:8" x14ac:dyDescent="0.25">
      <c r="A394" s="2">
        <v>534822</v>
      </c>
      <c r="B394" s="2">
        <v>21591</v>
      </c>
      <c r="C394" s="2" t="s">
        <v>465</v>
      </c>
      <c r="D394" s="2">
        <v>2</v>
      </c>
      <c r="E394" s="3">
        <v>40506.537499999999</v>
      </c>
      <c r="F394" s="2">
        <v>1.25</v>
      </c>
      <c r="G394" s="2">
        <v>12970</v>
      </c>
      <c r="H394" s="2" t="s">
        <v>9</v>
      </c>
    </row>
    <row r="395" spans="1:8" x14ac:dyDescent="0.25">
      <c r="A395" s="2">
        <v>537773</v>
      </c>
      <c r="B395" s="2">
        <v>20764</v>
      </c>
      <c r="C395" s="2" t="s">
        <v>466</v>
      </c>
      <c r="D395" s="2">
        <v>1</v>
      </c>
      <c r="E395" s="3">
        <v>40520.525000000001</v>
      </c>
      <c r="F395" s="2">
        <v>3.75</v>
      </c>
      <c r="G395" s="2">
        <v>16016</v>
      </c>
      <c r="H395" s="2" t="s">
        <v>132</v>
      </c>
    </row>
    <row r="396" spans="1:8" x14ac:dyDescent="0.25">
      <c r="A396" s="2">
        <v>491113</v>
      </c>
      <c r="B396" s="2">
        <v>21068</v>
      </c>
      <c r="C396" s="2" t="s">
        <v>467</v>
      </c>
      <c r="D396" s="2">
        <v>2</v>
      </c>
      <c r="E396" s="3">
        <v>40156.616666666669</v>
      </c>
      <c r="F396" s="2">
        <v>1.25</v>
      </c>
      <c r="G396" s="2">
        <v>14505</v>
      </c>
      <c r="H396" s="2" t="s">
        <v>9</v>
      </c>
    </row>
    <row r="397" spans="1:8" x14ac:dyDescent="0.25">
      <c r="A397" s="2">
        <v>504139</v>
      </c>
      <c r="B397" s="2">
        <v>21976</v>
      </c>
      <c r="C397" s="2" t="s">
        <v>279</v>
      </c>
      <c r="D397" s="2">
        <v>3</v>
      </c>
      <c r="E397" s="3">
        <v>40279.525694444441</v>
      </c>
      <c r="F397" s="2">
        <v>0.55000000000000004</v>
      </c>
      <c r="G397" s="2">
        <v>17769</v>
      </c>
      <c r="H397" s="2" t="s">
        <v>9</v>
      </c>
    </row>
    <row r="398" spans="1:8" x14ac:dyDescent="0.25">
      <c r="A398" s="2">
        <v>494473</v>
      </c>
      <c r="B398" s="2">
        <v>21697</v>
      </c>
      <c r="C398" s="2" t="s">
        <v>468</v>
      </c>
      <c r="D398" s="2">
        <v>12</v>
      </c>
      <c r="E398" s="3">
        <v>40192.620138888888</v>
      </c>
      <c r="F398" s="2">
        <v>1.69</v>
      </c>
      <c r="G398" s="2">
        <v>17508</v>
      </c>
      <c r="H398" s="2" t="s">
        <v>339</v>
      </c>
    </row>
    <row r="399" spans="1:8" x14ac:dyDescent="0.25">
      <c r="A399" s="2">
        <v>535465</v>
      </c>
      <c r="B399" s="2">
        <v>22866</v>
      </c>
      <c r="C399" s="2" t="s">
        <v>469</v>
      </c>
      <c r="D399" s="2">
        <v>1</v>
      </c>
      <c r="E399" s="3">
        <v>40508.556944444441</v>
      </c>
      <c r="F399" s="2">
        <v>2.1</v>
      </c>
      <c r="G399" s="2">
        <v>16254</v>
      </c>
      <c r="H399" s="2" t="s">
        <v>9</v>
      </c>
    </row>
    <row r="400" spans="1:8" x14ac:dyDescent="0.25">
      <c r="A400" s="2">
        <v>506572</v>
      </c>
      <c r="B400" s="2" t="s">
        <v>353</v>
      </c>
      <c r="C400" s="2" t="s">
        <v>354</v>
      </c>
      <c r="D400" s="2">
        <v>4</v>
      </c>
      <c r="E400" s="3">
        <v>40298.548611111109</v>
      </c>
      <c r="F400" s="2">
        <v>0.85</v>
      </c>
      <c r="G400" s="2">
        <v>16374</v>
      </c>
      <c r="H400" s="2" t="s">
        <v>9</v>
      </c>
    </row>
    <row r="401" spans="1:8" x14ac:dyDescent="0.25">
      <c r="A401" s="2">
        <v>535748</v>
      </c>
      <c r="B401" s="2">
        <v>90096</v>
      </c>
      <c r="C401" s="2" t="s">
        <v>470</v>
      </c>
      <c r="D401" s="2">
        <v>1</v>
      </c>
      <c r="E401" s="3">
        <v>40510.556250000001</v>
      </c>
      <c r="F401" s="2">
        <v>2.5499999999999998</v>
      </c>
      <c r="G401" s="2">
        <v>14508</v>
      </c>
      <c r="H401" s="2" t="s">
        <v>9</v>
      </c>
    </row>
    <row r="402" spans="1:8" x14ac:dyDescent="0.25">
      <c r="A402" s="2">
        <v>506262</v>
      </c>
      <c r="B402" s="2">
        <v>22444</v>
      </c>
      <c r="D402" s="2">
        <v>24</v>
      </c>
      <c r="E402" s="3">
        <v>40296.614583333343</v>
      </c>
      <c r="F402" s="2">
        <v>1.25</v>
      </c>
      <c r="G402" s="2">
        <v>12839</v>
      </c>
      <c r="H402" s="2" t="s">
        <v>9</v>
      </c>
    </row>
    <row r="403" spans="1:8" x14ac:dyDescent="0.25">
      <c r="A403" s="2">
        <v>497808</v>
      </c>
      <c r="B403" s="2">
        <v>84212</v>
      </c>
      <c r="C403" s="2" t="s">
        <v>471</v>
      </c>
      <c r="D403" s="2">
        <v>60</v>
      </c>
      <c r="E403" s="3">
        <v>40221.604861111111</v>
      </c>
      <c r="F403" s="2">
        <v>0.65</v>
      </c>
      <c r="G403" s="2">
        <v>17226</v>
      </c>
      <c r="H403" s="2" t="s">
        <v>9</v>
      </c>
    </row>
    <row r="404" spans="1:8" x14ac:dyDescent="0.25">
      <c r="A404" s="2">
        <v>514344</v>
      </c>
      <c r="B404" s="2">
        <v>79000</v>
      </c>
      <c r="C404" s="2" t="s">
        <v>472</v>
      </c>
      <c r="D404" s="2">
        <v>24</v>
      </c>
      <c r="E404" s="3">
        <v>40360.630555555559</v>
      </c>
      <c r="F404" s="2">
        <v>0.85</v>
      </c>
      <c r="G404" s="2">
        <v>14540</v>
      </c>
      <c r="H404" s="2" t="s">
        <v>9</v>
      </c>
    </row>
    <row r="405" spans="1:8" x14ac:dyDescent="0.25">
      <c r="A405" s="2">
        <v>513335</v>
      </c>
      <c r="B405" s="2">
        <v>22061</v>
      </c>
      <c r="C405" s="2" t="s">
        <v>473</v>
      </c>
      <c r="D405" s="2">
        <v>4</v>
      </c>
      <c r="E405" s="3">
        <v>40353.40902777778</v>
      </c>
      <c r="F405" s="2">
        <v>9.9499999999999993</v>
      </c>
      <c r="G405" s="2">
        <v>17686</v>
      </c>
      <c r="H405" s="2" t="s">
        <v>9</v>
      </c>
    </row>
    <row r="406" spans="1:8" x14ac:dyDescent="0.25">
      <c r="A406" s="2">
        <v>534109</v>
      </c>
      <c r="B406" s="2">
        <v>21934</v>
      </c>
      <c r="C406" s="2" t="s">
        <v>474</v>
      </c>
      <c r="D406" s="2">
        <v>10</v>
      </c>
      <c r="E406" s="3">
        <v>40503.506249999999</v>
      </c>
      <c r="F406" s="2">
        <v>1.65</v>
      </c>
      <c r="G406" s="2">
        <v>14293</v>
      </c>
      <c r="H406" s="2" t="s">
        <v>9</v>
      </c>
    </row>
    <row r="407" spans="1:8" x14ac:dyDescent="0.25">
      <c r="A407" s="2">
        <v>532665</v>
      </c>
      <c r="B407" s="2">
        <v>22632</v>
      </c>
      <c r="C407" s="2" t="s">
        <v>475</v>
      </c>
      <c r="D407" s="2">
        <v>1</v>
      </c>
      <c r="E407" s="3">
        <v>40496.484027777777</v>
      </c>
      <c r="F407" s="2">
        <v>2.1</v>
      </c>
      <c r="G407" s="2">
        <v>14052</v>
      </c>
      <c r="H407" s="2" t="s">
        <v>9</v>
      </c>
    </row>
    <row r="408" spans="1:8" x14ac:dyDescent="0.25">
      <c r="A408" s="2">
        <v>533736</v>
      </c>
      <c r="B408" s="2">
        <v>21892</v>
      </c>
      <c r="C408" s="2" t="s">
        <v>86</v>
      </c>
      <c r="D408" s="2">
        <v>1</v>
      </c>
      <c r="E408" s="3">
        <v>40500.57708333333</v>
      </c>
      <c r="F408" s="2">
        <v>1.25</v>
      </c>
      <c r="G408" s="2">
        <v>16089</v>
      </c>
      <c r="H408" s="2" t="s">
        <v>9</v>
      </c>
    </row>
    <row r="409" spans="1:8" x14ac:dyDescent="0.25">
      <c r="A409" s="2">
        <v>521791</v>
      </c>
      <c r="B409" s="2">
        <v>22465</v>
      </c>
      <c r="C409" s="2" t="s">
        <v>476</v>
      </c>
      <c r="D409" s="2">
        <v>6</v>
      </c>
      <c r="E409" s="3">
        <v>40429.5625</v>
      </c>
      <c r="F409" s="2">
        <v>1.65</v>
      </c>
      <c r="G409" s="2">
        <v>14667</v>
      </c>
      <c r="H409" s="2" t="s">
        <v>9</v>
      </c>
    </row>
    <row r="410" spans="1:8" x14ac:dyDescent="0.25">
      <c r="A410" s="2">
        <v>511310</v>
      </c>
      <c r="B410" s="2">
        <v>22431</v>
      </c>
      <c r="C410" s="2" t="s">
        <v>477</v>
      </c>
      <c r="D410" s="2">
        <v>1</v>
      </c>
      <c r="E410" s="3">
        <v>40336.672222222223</v>
      </c>
      <c r="F410" s="2">
        <v>1.95</v>
      </c>
      <c r="G410" s="2">
        <v>17784</v>
      </c>
      <c r="H410" s="2" t="s">
        <v>9</v>
      </c>
    </row>
    <row r="411" spans="1:8" x14ac:dyDescent="0.25">
      <c r="A411" s="2">
        <v>537136</v>
      </c>
      <c r="B411" s="2">
        <v>21351</v>
      </c>
      <c r="C411" s="2" t="s">
        <v>478</v>
      </c>
      <c r="D411" s="2">
        <v>18</v>
      </c>
      <c r="E411" s="3">
        <v>40517.529166666667</v>
      </c>
      <c r="F411" s="2">
        <v>5.95</v>
      </c>
      <c r="G411" s="2">
        <v>12748</v>
      </c>
      <c r="H411" s="2" t="s">
        <v>9</v>
      </c>
    </row>
    <row r="412" spans="1:8" x14ac:dyDescent="0.25">
      <c r="A412" s="2">
        <v>534216</v>
      </c>
      <c r="B412" s="2">
        <v>84380</v>
      </c>
      <c r="C412" s="2" t="s">
        <v>126</v>
      </c>
      <c r="D412" s="2">
        <v>1</v>
      </c>
      <c r="E412" s="3">
        <v>40503.672222222223</v>
      </c>
      <c r="F412" s="2">
        <v>1.25</v>
      </c>
      <c r="G412" s="2">
        <v>14606</v>
      </c>
      <c r="H412" s="2" t="s">
        <v>9</v>
      </c>
    </row>
    <row r="413" spans="1:8" x14ac:dyDescent="0.25">
      <c r="A413" s="2">
        <v>514797</v>
      </c>
      <c r="B413" s="2">
        <v>22127</v>
      </c>
      <c r="C413" s="2" t="s">
        <v>479</v>
      </c>
      <c r="D413" s="2">
        <v>120</v>
      </c>
      <c r="E413" s="3">
        <v>40365.442361111112</v>
      </c>
      <c r="F413" s="2">
        <v>1.06</v>
      </c>
      <c r="G413" s="2">
        <v>16422</v>
      </c>
      <c r="H413" s="2" t="s">
        <v>9</v>
      </c>
    </row>
    <row r="414" spans="1:8" x14ac:dyDescent="0.25">
      <c r="A414" s="2">
        <v>536782</v>
      </c>
      <c r="B414" s="2">
        <v>22077</v>
      </c>
      <c r="C414" s="2" t="s">
        <v>196</v>
      </c>
      <c r="D414" s="2">
        <v>12</v>
      </c>
      <c r="E414" s="3">
        <v>40514.637499999997</v>
      </c>
      <c r="F414" s="2">
        <v>1.65</v>
      </c>
      <c r="G414" s="2">
        <v>17567</v>
      </c>
      <c r="H414" s="2" t="s">
        <v>9</v>
      </c>
    </row>
    <row r="415" spans="1:8" x14ac:dyDescent="0.25">
      <c r="A415" s="2">
        <v>532799</v>
      </c>
      <c r="B415" s="2">
        <v>21707</v>
      </c>
      <c r="C415" s="2" t="s">
        <v>480</v>
      </c>
      <c r="D415" s="2">
        <v>2</v>
      </c>
      <c r="E415" s="3">
        <v>40496.617361111108</v>
      </c>
      <c r="F415" s="2">
        <v>4.95</v>
      </c>
      <c r="G415" s="2">
        <v>14599</v>
      </c>
      <c r="H415" s="2" t="s">
        <v>481</v>
      </c>
    </row>
    <row r="416" spans="1:8" x14ac:dyDescent="0.25">
      <c r="A416" s="2">
        <v>512725</v>
      </c>
      <c r="B416" s="2">
        <v>22482</v>
      </c>
      <c r="C416" s="2" t="s">
        <v>310</v>
      </c>
      <c r="D416" s="2">
        <v>1</v>
      </c>
      <c r="E416" s="3">
        <v>40346.54791666667</v>
      </c>
      <c r="F416" s="2">
        <v>1.25</v>
      </c>
      <c r="G416" s="2">
        <v>14508</v>
      </c>
      <c r="H416" s="2" t="s">
        <v>9</v>
      </c>
    </row>
    <row r="417" spans="1:8" x14ac:dyDescent="0.25">
      <c r="A417" s="2">
        <v>527657</v>
      </c>
      <c r="B417" s="2" t="s">
        <v>482</v>
      </c>
      <c r="C417" s="2" t="s">
        <v>483</v>
      </c>
      <c r="D417" s="2">
        <v>4</v>
      </c>
      <c r="E417" s="3">
        <v>40469.591666666667</v>
      </c>
      <c r="F417" s="2">
        <v>3.75</v>
      </c>
      <c r="G417" s="2">
        <v>16141</v>
      </c>
      <c r="H417" s="2" t="s">
        <v>9</v>
      </c>
    </row>
    <row r="418" spans="1:8" x14ac:dyDescent="0.25">
      <c r="A418" s="2">
        <v>492358</v>
      </c>
      <c r="B418" s="2" t="s">
        <v>484</v>
      </c>
      <c r="C418" s="2" t="s">
        <v>485</v>
      </c>
      <c r="D418" s="2">
        <v>6</v>
      </c>
      <c r="E418" s="3">
        <v>40163.556944444441</v>
      </c>
      <c r="F418" s="2">
        <v>4.25</v>
      </c>
      <c r="G418" s="2">
        <v>16779</v>
      </c>
      <c r="H418" s="2" t="s">
        <v>9</v>
      </c>
    </row>
    <row r="419" spans="1:8" x14ac:dyDescent="0.25">
      <c r="A419" s="2">
        <v>501280</v>
      </c>
      <c r="B419" s="2">
        <v>20652</v>
      </c>
      <c r="C419" s="2" t="s">
        <v>486</v>
      </c>
      <c r="D419" s="2">
        <v>1</v>
      </c>
      <c r="E419" s="3">
        <v>40252.592361111107</v>
      </c>
      <c r="F419" s="2">
        <v>1.25</v>
      </c>
      <c r="G419" s="2">
        <v>17841</v>
      </c>
      <c r="H419" s="2" t="s">
        <v>9</v>
      </c>
    </row>
    <row r="420" spans="1:8" x14ac:dyDescent="0.25">
      <c r="A420" s="2">
        <v>497742</v>
      </c>
      <c r="B420" s="2">
        <v>22063</v>
      </c>
      <c r="C420" s="2" t="s">
        <v>487</v>
      </c>
      <c r="D420" s="2">
        <v>72</v>
      </c>
      <c r="E420" s="3">
        <v>40221.447916666657</v>
      </c>
      <c r="F420" s="2">
        <v>2.5499999999999998</v>
      </c>
      <c r="G420" s="2">
        <v>16029</v>
      </c>
      <c r="H420" s="2" t="s">
        <v>9</v>
      </c>
    </row>
    <row r="421" spans="1:8" x14ac:dyDescent="0.25">
      <c r="A421" s="2">
        <v>524152</v>
      </c>
      <c r="B421" s="2">
        <v>22589</v>
      </c>
      <c r="C421" s="2" t="s">
        <v>488</v>
      </c>
      <c r="D421" s="2">
        <v>12</v>
      </c>
      <c r="E421" s="3">
        <v>40448.654861111107</v>
      </c>
      <c r="F421" s="2">
        <v>2.5499999999999998</v>
      </c>
      <c r="G421" s="2">
        <v>15270</v>
      </c>
      <c r="H421" s="2" t="s">
        <v>9</v>
      </c>
    </row>
    <row r="422" spans="1:8" x14ac:dyDescent="0.25">
      <c r="A422" s="2">
        <v>489514</v>
      </c>
      <c r="B422" s="2">
        <v>21955</v>
      </c>
      <c r="C422" s="2" t="s">
        <v>489</v>
      </c>
      <c r="D422" s="2">
        <v>10</v>
      </c>
      <c r="E422" s="3">
        <v>40148.472916666673</v>
      </c>
      <c r="F422" s="2">
        <v>5.95</v>
      </c>
      <c r="G422" s="2">
        <v>15311</v>
      </c>
      <c r="H422" s="2" t="s">
        <v>9</v>
      </c>
    </row>
    <row r="423" spans="1:8" x14ac:dyDescent="0.25">
      <c r="A423" s="2">
        <v>524421</v>
      </c>
      <c r="B423" s="2">
        <v>21445</v>
      </c>
      <c r="C423" s="2" t="s">
        <v>490</v>
      </c>
      <c r="D423" s="2">
        <v>12</v>
      </c>
      <c r="E423" s="3">
        <v>40450.43472222222</v>
      </c>
      <c r="F423" s="2">
        <v>1.25</v>
      </c>
      <c r="G423" s="2">
        <v>13804</v>
      </c>
      <c r="H423" s="2" t="s">
        <v>9</v>
      </c>
    </row>
    <row r="424" spans="1:8" x14ac:dyDescent="0.25">
      <c r="A424" s="2">
        <v>498047</v>
      </c>
      <c r="B424" s="2">
        <v>22138</v>
      </c>
      <c r="D424" s="2">
        <v>6</v>
      </c>
      <c r="E424" s="3">
        <v>40225.447916666657</v>
      </c>
      <c r="F424" s="2">
        <v>4.95</v>
      </c>
      <c r="G424" s="2">
        <v>13381</v>
      </c>
      <c r="H424" s="2" t="s">
        <v>9</v>
      </c>
    </row>
    <row r="425" spans="1:8" x14ac:dyDescent="0.25">
      <c r="A425" s="2">
        <v>507889</v>
      </c>
      <c r="B425" s="2">
        <v>21915</v>
      </c>
      <c r="C425" s="2" t="s">
        <v>347</v>
      </c>
      <c r="D425" s="2">
        <v>12</v>
      </c>
      <c r="E425" s="3">
        <v>40309.690972222219</v>
      </c>
      <c r="F425" s="2">
        <v>1.25</v>
      </c>
      <c r="G425" s="2">
        <v>15862</v>
      </c>
      <c r="H425" s="2" t="s">
        <v>9</v>
      </c>
    </row>
    <row r="426" spans="1:8" x14ac:dyDescent="0.25">
      <c r="A426" s="2">
        <v>534517</v>
      </c>
      <c r="B426" s="2">
        <v>22350</v>
      </c>
      <c r="C426" s="2" t="s">
        <v>491</v>
      </c>
      <c r="D426" s="2">
        <v>6</v>
      </c>
      <c r="E426" s="3">
        <v>40505.500694444447</v>
      </c>
      <c r="F426" s="2">
        <v>2.5499999999999998</v>
      </c>
      <c r="G426" s="2">
        <v>16229</v>
      </c>
      <c r="H426" s="2" t="s">
        <v>9</v>
      </c>
    </row>
    <row r="427" spans="1:8" x14ac:dyDescent="0.25">
      <c r="A427" s="2">
        <v>503348</v>
      </c>
      <c r="B427" s="2">
        <v>21099</v>
      </c>
      <c r="C427" s="2" t="s">
        <v>492</v>
      </c>
      <c r="D427" s="2">
        <v>2</v>
      </c>
      <c r="E427" s="3">
        <v>40268.561805555553</v>
      </c>
      <c r="F427" s="2">
        <v>0.65</v>
      </c>
      <c r="G427" s="2">
        <v>15800</v>
      </c>
      <c r="H427" s="2" t="s">
        <v>9</v>
      </c>
    </row>
    <row r="428" spans="1:8" x14ac:dyDescent="0.25">
      <c r="A428" s="2">
        <v>514993</v>
      </c>
      <c r="B428" s="2">
        <v>21231</v>
      </c>
      <c r="C428" s="2" t="s">
        <v>493</v>
      </c>
      <c r="D428" s="2">
        <v>6</v>
      </c>
      <c r="E428" s="3">
        <v>40366.605555555558</v>
      </c>
      <c r="F428" s="2">
        <v>1.25</v>
      </c>
      <c r="G428" s="2">
        <v>13593</v>
      </c>
      <c r="H428" s="2" t="s">
        <v>9</v>
      </c>
    </row>
    <row r="429" spans="1:8" x14ac:dyDescent="0.25">
      <c r="A429" s="2">
        <v>510488</v>
      </c>
      <c r="B429" s="2">
        <v>21623</v>
      </c>
      <c r="C429" s="2" t="s">
        <v>494</v>
      </c>
      <c r="D429" s="2">
        <v>2</v>
      </c>
      <c r="E429" s="3">
        <v>40330.5</v>
      </c>
      <c r="F429" s="2">
        <v>9.9499999999999993</v>
      </c>
      <c r="G429" s="2" t="s">
        <v>495</v>
      </c>
      <c r="H429" s="2" t="s">
        <v>9</v>
      </c>
    </row>
    <row r="430" spans="1:8" x14ac:dyDescent="0.25">
      <c r="A430" s="2">
        <v>516158</v>
      </c>
      <c r="B430" s="2">
        <v>21825</v>
      </c>
      <c r="C430" s="2" t="s">
        <v>496</v>
      </c>
      <c r="D430" s="2">
        <v>24</v>
      </c>
      <c r="E430" s="3">
        <v>40377.492361111108</v>
      </c>
      <c r="F430" s="2">
        <v>1.45</v>
      </c>
      <c r="G430" s="2">
        <v>16950</v>
      </c>
      <c r="H430" s="2" t="s">
        <v>9</v>
      </c>
    </row>
    <row r="431" spans="1:8" x14ac:dyDescent="0.25">
      <c r="A431" s="2">
        <v>527053</v>
      </c>
      <c r="B431" s="2">
        <v>21212</v>
      </c>
      <c r="C431" s="2" t="s">
        <v>497</v>
      </c>
      <c r="D431" s="2">
        <v>2</v>
      </c>
      <c r="E431" s="3">
        <v>40465.545138888891</v>
      </c>
      <c r="F431" s="2">
        <v>0.55000000000000004</v>
      </c>
      <c r="G431" s="2">
        <v>14343</v>
      </c>
      <c r="H431" s="2" t="s">
        <v>9</v>
      </c>
    </row>
    <row r="432" spans="1:8" x14ac:dyDescent="0.25">
      <c r="A432" s="2">
        <v>532336</v>
      </c>
      <c r="B432" s="2">
        <v>21181</v>
      </c>
      <c r="C432" s="2" t="s">
        <v>498</v>
      </c>
      <c r="D432" s="2">
        <v>12</v>
      </c>
      <c r="E432" s="3">
        <v>40493.657638888893</v>
      </c>
      <c r="F432" s="2">
        <v>2.1</v>
      </c>
      <c r="G432" s="2">
        <v>16471</v>
      </c>
      <c r="H432" s="2" t="s">
        <v>9</v>
      </c>
    </row>
    <row r="433" spans="1:8" x14ac:dyDescent="0.25">
      <c r="A433" s="2">
        <v>519539</v>
      </c>
      <c r="B433" s="2">
        <v>22423</v>
      </c>
      <c r="C433" s="2" t="s">
        <v>499</v>
      </c>
      <c r="D433" s="2">
        <v>10</v>
      </c>
      <c r="E433" s="3">
        <v>40408.439583333333</v>
      </c>
      <c r="F433" s="2">
        <v>12.75</v>
      </c>
      <c r="G433" s="2">
        <v>15268</v>
      </c>
      <c r="H433" s="2" t="s">
        <v>9</v>
      </c>
    </row>
    <row r="434" spans="1:8" x14ac:dyDescent="0.25">
      <c r="A434" s="2">
        <v>523005</v>
      </c>
      <c r="B434" s="2">
        <v>20771</v>
      </c>
      <c r="C434" s="2" t="s">
        <v>500</v>
      </c>
      <c r="D434" s="2">
        <v>1</v>
      </c>
      <c r="E434" s="3">
        <v>40440.680555555547</v>
      </c>
      <c r="F434" s="2">
        <v>2.5499999999999998</v>
      </c>
      <c r="G434" s="2">
        <v>12748</v>
      </c>
      <c r="H434" s="2" t="s">
        <v>9</v>
      </c>
    </row>
    <row r="435" spans="1:8" x14ac:dyDescent="0.25">
      <c r="A435" s="2">
        <v>535953</v>
      </c>
      <c r="B435" s="2" t="s">
        <v>395</v>
      </c>
      <c r="C435" s="2" t="s">
        <v>396</v>
      </c>
      <c r="D435" s="2">
        <v>2</v>
      </c>
      <c r="E435" s="3">
        <v>40511.509027777778</v>
      </c>
      <c r="F435" s="2">
        <v>3.75</v>
      </c>
      <c r="G435" s="2">
        <v>15039</v>
      </c>
      <c r="H435" s="2" t="s">
        <v>9</v>
      </c>
    </row>
    <row r="436" spans="1:8" x14ac:dyDescent="0.25">
      <c r="A436" s="2">
        <v>522134</v>
      </c>
      <c r="B436" s="2">
        <v>20738</v>
      </c>
      <c r="C436" s="2" t="s">
        <v>501</v>
      </c>
      <c r="D436" s="2">
        <v>100</v>
      </c>
      <c r="E436" s="3">
        <v>40434.417361111111</v>
      </c>
      <c r="F436" s="2">
        <v>0.85</v>
      </c>
      <c r="G436" s="2">
        <v>16013</v>
      </c>
      <c r="H436" s="2" t="s">
        <v>9</v>
      </c>
    </row>
    <row r="437" spans="1:8" x14ac:dyDescent="0.25">
      <c r="A437" s="2">
        <v>489830</v>
      </c>
      <c r="B437" s="2">
        <v>21154</v>
      </c>
      <c r="C437" s="2" t="s">
        <v>502</v>
      </c>
      <c r="D437" s="2">
        <v>2</v>
      </c>
      <c r="E437" s="3">
        <v>40149.581250000003</v>
      </c>
      <c r="F437" s="2">
        <v>1.25</v>
      </c>
      <c r="G437" s="2">
        <v>13623</v>
      </c>
      <c r="H437" s="2" t="s">
        <v>9</v>
      </c>
    </row>
    <row r="438" spans="1:8" x14ac:dyDescent="0.25">
      <c r="A438" s="2">
        <v>530998</v>
      </c>
      <c r="B438" s="2" t="s">
        <v>503</v>
      </c>
      <c r="C438" s="2" t="s">
        <v>504</v>
      </c>
      <c r="D438" s="2">
        <v>2</v>
      </c>
      <c r="E438" s="3">
        <v>40487.470138888893</v>
      </c>
      <c r="F438" s="2">
        <v>1.25</v>
      </c>
      <c r="G438" s="2">
        <v>15034</v>
      </c>
      <c r="H438" s="2" t="s">
        <v>9</v>
      </c>
    </row>
    <row r="439" spans="1:8" x14ac:dyDescent="0.25">
      <c r="A439" s="2">
        <v>533783</v>
      </c>
      <c r="B439" s="2">
        <v>22188</v>
      </c>
      <c r="C439" s="2" t="s">
        <v>505</v>
      </c>
      <c r="D439" s="2">
        <v>4</v>
      </c>
      <c r="E439" s="3">
        <v>40500.689583333333</v>
      </c>
      <c r="F439" s="2">
        <v>3.95</v>
      </c>
      <c r="G439" s="2">
        <v>18160</v>
      </c>
      <c r="H439" s="2" t="s">
        <v>9</v>
      </c>
    </row>
    <row r="440" spans="1:8" x14ac:dyDescent="0.25">
      <c r="A440" s="2">
        <v>520861</v>
      </c>
      <c r="B440" s="2">
        <v>21488</v>
      </c>
      <c r="C440" s="2" t="s">
        <v>506</v>
      </c>
      <c r="D440" s="2">
        <v>1</v>
      </c>
      <c r="E440" s="3">
        <v>40421.581250000003</v>
      </c>
      <c r="F440" s="2">
        <v>3.95</v>
      </c>
      <c r="G440" s="2">
        <v>13714</v>
      </c>
      <c r="H440" s="2" t="s">
        <v>9</v>
      </c>
    </row>
    <row r="441" spans="1:8" x14ac:dyDescent="0.25">
      <c r="A441" s="2">
        <v>527777</v>
      </c>
      <c r="B441" s="2">
        <v>22847</v>
      </c>
      <c r="C441" s="2" t="s">
        <v>507</v>
      </c>
      <c r="D441" s="2">
        <v>2</v>
      </c>
      <c r="E441" s="3">
        <v>40470.459027777782</v>
      </c>
      <c r="F441" s="2">
        <v>16.95</v>
      </c>
      <c r="G441" s="2">
        <v>12476</v>
      </c>
      <c r="H441" s="2" t="s">
        <v>17</v>
      </c>
    </row>
    <row r="442" spans="1:8" x14ac:dyDescent="0.25">
      <c r="A442" s="2">
        <v>496644</v>
      </c>
      <c r="B442" s="2">
        <v>21944</v>
      </c>
      <c r="C442" s="2" t="s">
        <v>508</v>
      </c>
      <c r="D442" s="2">
        <v>1</v>
      </c>
      <c r="E442" s="3">
        <v>40212.498611111107</v>
      </c>
      <c r="F442" s="2">
        <v>0.85</v>
      </c>
      <c r="G442" s="2">
        <v>15003</v>
      </c>
      <c r="H442" s="2" t="s">
        <v>9</v>
      </c>
    </row>
    <row r="443" spans="1:8" x14ac:dyDescent="0.25">
      <c r="A443" s="2">
        <v>506754</v>
      </c>
      <c r="B443" s="2">
        <v>20723</v>
      </c>
      <c r="C443" s="2" t="s">
        <v>509</v>
      </c>
      <c r="D443" s="2">
        <v>10</v>
      </c>
      <c r="E443" s="3">
        <v>40302.493750000001</v>
      </c>
      <c r="F443" s="2">
        <v>0.85</v>
      </c>
      <c r="G443" s="2">
        <v>14110</v>
      </c>
      <c r="H443" s="2" t="s">
        <v>9</v>
      </c>
    </row>
    <row r="444" spans="1:8" x14ac:dyDescent="0.25">
      <c r="A444" s="2">
        <v>520207</v>
      </c>
      <c r="B444" s="2">
        <v>21054</v>
      </c>
      <c r="C444" s="2" t="s">
        <v>510</v>
      </c>
      <c r="D444" s="2">
        <v>2</v>
      </c>
      <c r="E444" s="3">
        <v>40414.676388888889</v>
      </c>
      <c r="F444" s="2">
        <v>8.9499999999999993</v>
      </c>
      <c r="G444" s="2">
        <v>15666</v>
      </c>
      <c r="H444" s="2" t="s">
        <v>9</v>
      </c>
    </row>
    <row r="445" spans="1:8" x14ac:dyDescent="0.25">
      <c r="A445" s="2">
        <v>526906</v>
      </c>
      <c r="B445" s="2">
        <v>22553</v>
      </c>
      <c r="C445" s="2" t="s">
        <v>259</v>
      </c>
      <c r="D445" s="2">
        <v>1</v>
      </c>
      <c r="E445" s="3">
        <v>40464.640277777777</v>
      </c>
      <c r="F445" s="2">
        <v>1.65</v>
      </c>
      <c r="G445" s="2">
        <v>16120</v>
      </c>
      <c r="H445" s="2" t="s">
        <v>9</v>
      </c>
    </row>
    <row r="446" spans="1:8" x14ac:dyDescent="0.25">
      <c r="A446" s="2">
        <v>522276</v>
      </c>
      <c r="B446" s="2">
        <v>22023</v>
      </c>
      <c r="C446" s="2" t="s">
        <v>511</v>
      </c>
      <c r="D446" s="2">
        <v>24</v>
      </c>
      <c r="E446" s="3">
        <v>40434.532638888893</v>
      </c>
      <c r="F446" s="2">
        <v>0.36</v>
      </c>
      <c r="G446" s="2">
        <v>15061</v>
      </c>
      <c r="H446" s="2" t="s">
        <v>9</v>
      </c>
    </row>
    <row r="447" spans="1:8" x14ac:dyDescent="0.25">
      <c r="A447" s="2">
        <v>532305</v>
      </c>
      <c r="B447" s="2">
        <v>22956</v>
      </c>
      <c r="C447" s="2" t="s">
        <v>244</v>
      </c>
      <c r="D447" s="2">
        <v>48</v>
      </c>
      <c r="E447" s="3">
        <v>40493.599305555559</v>
      </c>
      <c r="F447" s="2">
        <v>1.85</v>
      </c>
      <c r="G447" s="2">
        <v>12356</v>
      </c>
      <c r="H447" s="2" t="s">
        <v>245</v>
      </c>
    </row>
    <row r="448" spans="1:8" x14ac:dyDescent="0.25">
      <c r="A448" s="2">
        <v>536182</v>
      </c>
      <c r="B448" s="2">
        <v>22600</v>
      </c>
      <c r="C448" s="2" t="s">
        <v>365</v>
      </c>
      <c r="D448" s="2">
        <v>12</v>
      </c>
      <c r="E448" s="3">
        <v>40512.517361111109</v>
      </c>
      <c r="F448" s="2">
        <v>0.85</v>
      </c>
      <c r="G448" s="2">
        <v>18260</v>
      </c>
      <c r="H448" s="2" t="s">
        <v>9</v>
      </c>
    </row>
    <row r="449" spans="1:8" x14ac:dyDescent="0.25">
      <c r="A449" s="2">
        <v>525401</v>
      </c>
      <c r="B449" s="2">
        <v>20972</v>
      </c>
      <c r="C449" s="2" t="s">
        <v>512</v>
      </c>
      <c r="D449" s="2">
        <v>24</v>
      </c>
      <c r="E449" s="3">
        <v>40456.494444444441</v>
      </c>
      <c r="F449" s="2">
        <v>1.25</v>
      </c>
      <c r="G449" s="2">
        <v>14844</v>
      </c>
      <c r="H449" s="2" t="s">
        <v>9</v>
      </c>
    </row>
    <row r="450" spans="1:8" x14ac:dyDescent="0.25">
      <c r="A450" s="2">
        <v>534788</v>
      </c>
      <c r="B450" s="2">
        <v>21561</v>
      </c>
      <c r="C450" s="2" t="s">
        <v>513</v>
      </c>
      <c r="D450" s="2">
        <v>1</v>
      </c>
      <c r="E450" s="3">
        <v>40506.475694444453</v>
      </c>
      <c r="F450" s="2">
        <v>2.5499999999999998</v>
      </c>
      <c r="G450" s="2">
        <v>16782</v>
      </c>
      <c r="H450" s="2" t="s">
        <v>9</v>
      </c>
    </row>
    <row r="451" spans="1:8" x14ac:dyDescent="0.25">
      <c r="A451" s="2">
        <v>509743</v>
      </c>
      <c r="B451" s="2" t="s">
        <v>514</v>
      </c>
      <c r="C451" s="2" t="s">
        <v>515</v>
      </c>
      <c r="D451" s="2">
        <v>4</v>
      </c>
      <c r="E451" s="3">
        <v>40323.556250000001</v>
      </c>
      <c r="F451" s="2" t="s">
        <v>516</v>
      </c>
      <c r="G451" s="2">
        <v>17841</v>
      </c>
      <c r="H451" s="2" t="s">
        <v>9</v>
      </c>
    </row>
    <row r="452" spans="1:8" x14ac:dyDescent="0.25">
      <c r="A452" s="2">
        <v>498104</v>
      </c>
      <c r="B452" s="2">
        <v>22348</v>
      </c>
      <c r="C452" s="2" t="s">
        <v>517</v>
      </c>
      <c r="D452" s="2">
        <v>4</v>
      </c>
      <c r="E452" s="3">
        <v>40225.575694444437</v>
      </c>
      <c r="F452" s="2">
        <v>0.85</v>
      </c>
      <c r="G452" s="2">
        <v>13503</v>
      </c>
      <c r="H452" s="2" t="s">
        <v>9</v>
      </c>
    </row>
    <row r="453" spans="1:8" x14ac:dyDescent="0.25">
      <c r="A453" s="2">
        <v>500639</v>
      </c>
      <c r="B453" s="2">
        <v>21210</v>
      </c>
      <c r="C453" s="2" t="s">
        <v>518</v>
      </c>
      <c r="D453" s="2">
        <v>12</v>
      </c>
      <c r="E453" s="3">
        <v>40246.453472222223</v>
      </c>
      <c r="F453" s="2">
        <v>1.45</v>
      </c>
      <c r="G453" s="2">
        <v>12495</v>
      </c>
      <c r="H453" s="2" t="s">
        <v>519</v>
      </c>
    </row>
    <row r="454" spans="1:8" x14ac:dyDescent="0.25">
      <c r="A454" s="2">
        <v>534030</v>
      </c>
      <c r="B454" s="2">
        <v>84050</v>
      </c>
      <c r="C454" s="2" t="s">
        <v>520</v>
      </c>
      <c r="D454" s="2">
        <v>6</v>
      </c>
      <c r="E454" s="3">
        <v>40501.634027777778</v>
      </c>
      <c r="F454" s="2">
        <v>1.65</v>
      </c>
      <c r="G454" s="2">
        <v>12721</v>
      </c>
      <c r="H454" s="2" t="s">
        <v>28</v>
      </c>
    </row>
    <row r="455" spans="1:8" x14ac:dyDescent="0.25">
      <c r="A455" s="2">
        <v>522273</v>
      </c>
      <c r="B455" s="2">
        <v>21174</v>
      </c>
      <c r="C455" s="2" t="s">
        <v>521</v>
      </c>
      <c r="D455" s="2">
        <v>1</v>
      </c>
      <c r="E455" s="3">
        <v>40434.52847222222</v>
      </c>
      <c r="F455" s="2">
        <v>1.95</v>
      </c>
      <c r="G455" s="2">
        <v>16470</v>
      </c>
      <c r="H455" s="2" t="s">
        <v>9</v>
      </c>
    </row>
    <row r="456" spans="1:8" x14ac:dyDescent="0.25">
      <c r="A456" s="2">
        <v>507647</v>
      </c>
      <c r="B456" s="2" t="s">
        <v>522</v>
      </c>
      <c r="C456" s="2" t="s">
        <v>523</v>
      </c>
      <c r="D456" s="2">
        <v>25</v>
      </c>
      <c r="E456" s="3">
        <v>40308.656944444447</v>
      </c>
      <c r="F456" s="2">
        <v>0.85</v>
      </c>
      <c r="G456" s="2">
        <v>18275</v>
      </c>
      <c r="H456" s="2" t="s">
        <v>132</v>
      </c>
    </row>
    <row r="457" spans="1:8" x14ac:dyDescent="0.25">
      <c r="A457" s="2">
        <v>514839</v>
      </c>
      <c r="B457" s="2">
        <v>21621</v>
      </c>
      <c r="C457" s="2" t="s">
        <v>524</v>
      </c>
      <c r="D457" s="2">
        <v>20</v>
      </c>
      <c r="E457" s="3">
        <v>40365.615277777782</v>
      </c>
      <c r="F457" s="2">
        <v>8.5</v>
      </c>
      <c r="G457" s="2">
        <v>16126</v>
      </c>
      <c r="H457" s="2" t="s">
        <v>9</v>
      </c>
    </row>
    <row r="458" spans="1:8" x14ac:dyDescent="0.25">
      <c r="A458" s="2">
        <v>492517</v>
      </c>
      <c r="B458" s="2">
        <v>20702</v>
      </c>
      <c r="C458" s="2" t="s">
        <v>525</v>
      </c>
      <c r="D458" s="2">
        <v>3</v>
      </c>
      <c r="E458" s="3">
        <v>40164.499305555553</v>
      </c>
      <c r="F458" s="2">
        <v>4.25</v>
      </c>
      <c r="G458" s="2">
        <v>17612</v>
      </c>
      <c r="H458" s="2" t="s">
        <v>9</v>
      </c>
    </row>
    <row r="459" spans="1:8" x14ac:dyDescent="0.25">
      <c r="A459" s="2">
        <v>495244</v>
      </c>
      <c r="B459" s="2">
        <v>22046</v>
      </c>
      <c r="C459" s="2" t="s">
        <v>526</v>
      </c>
      <c r="D459" s="2">
        <v>25</v>
      </c>
      <c r="E459" s="3">
        <v>40200.45208333333</v>
      </c>
      <c r="F459" s="2">
        <v>0.42</v>
      </c>
      <c r="G459" s="2">
        <v>15179</v>
      </c>
      <c r="H459" s="2" t="s">
        <v>9</v>
      </c>
    </row>
    <row r="460" spans="1:8" x14ac:dyDescent="0.25">
      <c r="A460" s="2">
        <v>526575</v>
      </c>
      <c r="B460" s="2" t="s">
        <v>363</v>
      </c>
      <c r="C460" s="2" t="s">
        <v>364</v>
      </c>
      <c r="D460" s="2">
        <v>2</v>
      </c>
      <c r="E460" s="3">
        <v>40463.491666666669</v>
      </c>
      <c r="F460" s="2">
        <v>9.9499999999999993</v>
      </c>
      <c r="G460" s="2">
        <v>16126</v>
      </c>
      <c r="H460" s="2" t="s">
        <v>9</v>
      </c>
    </row>
    <row r="461" spans="1:8" x14ac:dyDescent="0.25">
      <c r="A461" s="2">
        <v>532764</v>
      </c>
      <c r="B461" s="2" t="s">
        <v>527</v>
      </c>
      <c r="C461" s="2" t="s">
        <v>528</v>
      </c>
      <c r="D461" s="2">
        <v>1</v>
      </c>
      <c r="E461" s="3">
        <v>40496.588194444441</v>
      </c>
      <c r="F461" s="2">
        <v>2.95</v>
      </c>
      <c r="G461" s="2">
        <v>14684</v>
      </c>
      <c r="H461" s="2" t="s">
        <v>9</v>
      </c>
    </row>
    <row r="462" spans="1:8" x14ac:dyDescent="0.25">
      <c r="A462" s="2">
        <v>490142</v>
      </c>
      <c r="B462" s="2">
        <v>37503</v>
      </c>
      <c r="C462" s="2" t="s">
        <v>288</v>
      </c>
      <c r="D462" s="2">
        <v>6</v>
      </c>
      <c r="E462" s="3">
        <v>40151.35833333333</v>
      </c>
      <c r="F462" s="2">
        <v>10.75</v>
      </c>
      <c r="G462" s="2">
        <v>14258</v>
      </c>
      <c r="H462" s="2" t="s">
        <v>9</v>
      </c>
    </row>
    <row r="463" spans="1:8" x14ac:dyDescent="0.25">
      <c r="A463" s="2">
        <v>524099</v>
      </c>
      <c r="B463" s="2">
        <v>22312</v>
      </c>
      <c r="C463" s="2" t="s">
        <v>529</v>
      </c>
      <c r="D463" s="2">
        <v>3</v>
      </c>
      <c r="E463" s="3">
        <v>40448.51666666667</v>
      </c>
      <c r="F463" s="2">
        <v>2.95</v>
      </c>
      <c r="G463" s="2">
        <v>13448</v>
      </c>
      <c r="H463" s="2" t="s">
        <v>9</v>
      </c>
    </row>
    <row r="464" spans="1:8" x14ac:dyDescent="0.25">
      <c r="A464" s="2">
        <v>530763</v>
      </c>
      <c r="B464" s="2">
        <v>22553</v>
      </c>
      <c r="C464" s="2" t="s">
        <v>259</v>
      </c>
      <c r="D464" s="2">
        <v>12</v>
      </c>
      <c r="E464" s="3">
        <v>40486.499305555553</v>
      </c>
      <c r="F464" s="2">
        <v>1.65</v>
      </c>
      <c r="G464" s="2">
        <v>15379</v>
      </c>
      <c r="H464" s="2" t="s">
        <v>9</v>
      </c>
    </row>
    <row r="465" spans="1:8" x14ac:dyDescent="0.25">
      <c r="A465" s="2">
        <v>520885</v>
      </c>
      <c r="B465" s="2">
        <v>21731</v>
      </c>
      <c r="C465" s="2" t="s">
        <v>96</v>
      </c>
      <c r="D465" s="2">
        <v>1</v>
      </c>
      <c r="E465" s="3">
        <v>40421.681250000001</v>
      </c>
      <c r="F465" s="2" t="s">
        <v>212</v>
      </c>
      <c r="G465" s="2">
        <v>14040</v>
      </c>
      <c r="H465" s="2" t="s">
        <v>9</v>
      </c>
    </row>
    <row r="466" spans="1:8" x14ac:dyDescent="0.25">
      <c r="A466" s="2">
        <v>506578</v>
      </c>
      <c r="B466" s="2">
        <v>21578</v>
      </c>
      <c r="C466" s="2" t="s">
        <v>530</v>
      </c>
      <c r="D466" s="2">
        <v>12</v>
      </c>
      <c r="E466" s="3">
        <v>40298.577777777777</v>
      </c>
      <c r="F466" s="2">
        <v>2.25</v>
      </c>
      <c r="G466" s="2">
        <v>12708</v>
      </c>
      <c r="H466" s="2" t="s">
        <v>17</v>
      </c>
    </row>
    <row r="467" spans="1:8" x14ac:dyDescent="0.25">
      <c r="A467" s="2">
        <v>492153</v>
      </c>
      <c r="B467" s="2" t="s">
        <v>424</v>
      </c>
      <c r="C467" s="2" t="s">
        <v>425</v>
      </c>
      <c r="D467" s="2">
        <v>4</v>
      </c>
      <c r="E467" s="3">
        <v>40162.604166666657</v>
      </c>
      <c r="F467" s="2" t="s">
        <v>109</v>
      </c>
      <c r="G467" s="2">
        <v>17797</v>
      </c>
      <c r="H467" s="2" t="s">
        <v>9</v>
      </c>
    </row>
    <row r="468" spans="1:8" x14ac:dyDescent="0.25">
      <c r="A468" s="2">
        <v>508721</v>
      </c>
      <c r="B468" s="2">
        <v>21427</v>
      </c>
      <c r="C468" s="2" t="s">
        <v>531</v>
      </c>
      <c r="D468" s="2">
        <v>3</v>
      </c>
      <c r="E468" s="3">
        <v>40315.724999999999</v>
      </c>
      <c r="F468" s="2">
        <v>2.1</v>
      </c>
      <c r="G468" s="2">
        <v>14606</v>
      </c>
      <c r="H468" s="2" t="s">
        <v>9</v>
      </c>
    </row>
    <row r="469" spans="1:8" x14ac:dyDescent="0.25">
      <c r="A469" s="2">
        <v>507420</v>
      </c>
      <c r="B469" s="2">
        <v>21645</v>
      </c>
      <c r="C469" s="2" t="s">
        <v>532</v>
      </c>
      <c r="D469" s="2">
        <v>1</v>
      </c>
      <c r="E469" s="3">
        <v>40307.629166666673</v>
      </c>
      <c r="F469" s="2">
        <v>1.65</v>
      </c>
      <c r="G469" s="2">
        <v>12748</v>
      </c>
      <c r="H469" s="2" t="s">
        <v>9</v>
      </c>
    </row>
    <row r="470" spans="1:8" x14ac:dyDescent="0.25">
      <c r="A470" s="2">
        <v>534164</v>
      </c>
      <c r="B470" s="2">
        <v>22910</v>
      </c>
      <c r="C470" s="2" t="s">
        <v>533</v>
      </c>
      <c r="D470" s="2">
        <v>2</v>
      </c>
      <c r="E470" s="3">
        <v>40503.550694444442</v>
      </c>
      <c r="F470" s="2">
        <v>2.95</v>
      </c>
      <c r="G470" s="2">
        <v>16241</v>
      </c>
      <c r="H470" s="2" t="s">
        <v>9</v>
      </c>
    </row>
    <row r="471" spans="1:8" x14ac:dyDescent="0.25">
      <c r="A471" s="2">
        <v>537850</v>
      </c>
      <c r="B471" s="2" t="s">
        <v>534</v>
      </c>
      <c r="C471" s="2" t="s">
        <v>535</v>
      </c>
      <c r="D471" s="2">
        <v>6</v>
      </c>
      <c r="E471" s="3">
        <v>40520.651388888888</v>
      </c>
      <c r="F471" s="2">
        <v>1.25</v>
      </c>
      <c r="G471" s="2">
        <v>16722</v>
      </c>
      <c r="H471" s="2" t="s">
        <v>9</v>
      </c>
    </row>
    <row r="472" spans="1:8" x14ac:dyDescent="0.25">
      <c r="A472" s="2">
        <v>503060</v>
      </c>
      <c r="B472" s="2">
        <v>21260</v>
      </c>
      <c r="C472" s="2" t="s">
        <v>202</v>
      </c>
      <c r="D472" s="2">
        <v>2</v>
      </c>
      <c r="E472" s="3">
        <v>40266.686111111107</v>
      </c>
      <c r="F472" s="2">
        <v>3.25</v>
      </c>
      <c r="G472" s="2">
        <v>13412</v>
      </c>
      <c r="H472" s="2" t="s">
        <v>9</v>
      </c>
    </row>
    <row r="473" spans="1:8" x14ac:dyDescent="0.25">
      <c r="A473" s="2">
        <v>521898</v>
      </c>
      <c r="B473" s="2">
        <v>22112</v>
      </c>
      <c r="C473" s="2" t="s">
        <v>199</v>
      </c>
      <c r="D473" s="2">
        <v>2</v>
      </c>
      <c r="E473" s="3">
        <v>40430.51666666667</v>
      </c>
      <c r="F473" s="2">
        <v>4.95</v>
      </c>
      <c r="G473" s="2">
        <v>17243</v>
      </c>
      <c r="H473" s="2" t="s">
        <v>9</v>
      </c>
    </row>
    <row r="474" spans="1:8" x14ac:dyDescent="0.25">
      <c r="A474" s="2">
        <v>509865</v>
      </c>
      <c r="B474" s="2">
        <v>47566</v>
      </c>
      <c r="C474" s="2" t="s">
        <v>55</v>
      </c>
      <c r="D474" s="2" t="s">
        <v>536</v>
      </c>
      <c r="E474" s="3">
        <v>40324.436805555553</v>
      </c>
      <c r="F474" s="2">
        <v>4.6500000000000004</v>
      </c>
      <c r="G474" s="2">
        <v>16844</v>
      </c>
      <c r="H474" s="2" t="s">
        <v>9</v>
      </c>
    </row>
    <row r="475" spans="1:8" x14ac:dyDescent="0.25">
      <c r="A475" s="2">
        <v>510443</v>
      </c>
      <c r="B475" s="2">
        <v>21577</v>
      </c>
      <c r="C475" s="2" t="s">
        <v>537</v>
      </c>
      <c r="D475" s="2">
        <v>1</v>
      </c>
      <c r="E475" s="3">
        <v>40328.643750000003</v>
      </c>
      <c r="F475" s="2">
        <v>2.25</v>
      </c>
      <c r="G475" s="2">
        <v>14606</v>
      </c>
      <c r="H475" s="2" t="s">
        <v>9</v>
      </c>
    </row>
    <row r="476" spans="1:8" x14ac:dyDescent="0.25">
      <c r="A476" s="2">
        <v>532325</v>
      </c>
      <c r="B476" s="2">
        <v>22112</v>
      </c>
      <c r="C476" s="2" t="s">
        <v>199</v>
      </c>
      <c r="D476" s="2">
        <v>3</v>
      </c>
      <c r="E476" s="3">
        <v>40493.642361111109</v>
      </c>
      <c r="F476" s="2">
        <v>4.95</v>
      </c>
      <c r="G476" s="2">
        <v>16735</v>
      </c>
      <c r="H476" s="2" t="s">
        <v>9</v>
      </c>
    </row>
    <row r="477" spans="1:8" x14ac:dyDescent="0.25">
      <c r="A477" s="2">
        <v>506258</v>
      </c>
      <c r="B477" s="2">
        <v>22090</v>
      </c>
      <c r="C477" s="2" t="s">
        <v>538</v>
      </c>
      <c r="D477" s="2">
        <v>6</v>
      </c>
      <c r="E477" s="3">
        <v>40296.600694444453</v>
      </c>
      <c r="F477" s="2">
        <v>2.95</v>
      </c>
      <c r="G477" s="2">
        <v>15738</v>
      </c>
      <c r="H477" s="2" t="s">
        <v>9</v>
      </c>
    </row>
    <row r="478" spans="1:8" x14ac:dyDescent="0.25">
      <c r="A478" s="2">
        <v>499478</v>
      </c>
      <c r="B478" s="2">
        <v>21033</v>
      </c>
      <c r="C478" s="2" t="s">
        <v>539</v>
      </c>
      <c r="D478" s="2">
        <v>5</v>
      </c>
      <c r="E478" s="3">
        <v>40237.534722222219</v>
      </c>
      <c r="F478" s="2">
        <v>2.95</v>
      </c>
      <c r="H478" s="2" t="s">
        <v>9</v>
      </c>
    </row>
    <row r="479" spans="1:8" x14ac:dyDescent="0.25">
      <c r="A479" s="2">
        <v>526217</v>
      </c>
      <c r="B479" s="2" t="s">
        <v>540</v>
      </c>
      <c r="C479" s="2" t="s">
        <v>541</v>
      </c>
      <c r="D479" s="2">
        <v>1</v>
      </c>
      <c r="E479" s="3">
        <v>40461.604166666657</v>
      </c>
      <c r="F479" s="2">
        <v>5.95</v>
      </c>
      <c r="G479" s="2">
        <v>14390</v>
      </c>
      <c r="H479" s="2" t="s">
        <v>9</v>
      </c>
    </row>
    <row r="480" spans="1:8" x14ac:dyDescent="0.25">
      <c r="A480" s="2">
        <v>497235</v>
      </c>
      <c r="B480" s="2">
        <v>21621</v>
      </c>
      <c r="C480" s="2" t="s">
        <v>524</v>
      </c>
      <c r="D480" s="2">
        <v>2</v>
      </c>
      <c r="E480" s="3">
        <v>40217.424305555563</v>
      </c>
      <c r="F480" s="2">
        <v>8.5</v>
      </c>
      <c r="G480" s="2">
        <v>18223</v>
      </c>
      <c r="H480" s="2" t="s">
        <v>9</v>
      </c>
    </row>
    <row r="481" spans="1:8" x14ac:dyDescent="0.25">
      <c r="A481" s="2">
        <v>497808</v>
      </c>
      <c r="B481" s="2">
        <v>22030</v>
      </c>
      <c r="C481" s="2" t="s">
        <v>448</v>
      </c>
      <c r="D481" s="2">
        <v>12</v>
      </c>
      <c r="E481" s="3">
        <v>40221.604861111111</v>
      </c>
      <c r="F481" s="2">
        <v>0.42</v>
      </c>
      <c r="G481" s="2">
        <v>17226</v>
      </c>
      <c r="H481" s="2" t="s">
        <v>9</v>
      </c>
    </row>
    <row r="482" spans="1:8" x14ac:dyDescent="0.25">
      <c r="A482" s="2">
        <v>511362</v>
      </c>
      <c r="B482" s="2" t="s">
        <v>542</v>
      </c>
      <c r="C482" s="2" t="s">
        <v>543</v>
      </c>
      <c r="D482" s="2">
        <v>4</v>
      </c>
      <c r="E482" s="3">
        <v>40337.468055555553</v>
      </c>
      <c r="F482" s="2">
        <v>7.95</v>
      </c>
      <c r="G482" s="2">
        <v>15039</v>
      </c>
      <c r="H482" s="2" t="s">
        <v>9</v>
      </c>
    </row>
    <row r="483" spans="1:8" x14ac:dyDescent="0.25">
      <c r="A483" s="2" t="s">
        <v>544</v>
      </c>
      <c r="B483" s="2">
        <v>22750</v>
      </c>
      <c r="C483" s="2" t="s">
        <v>545</v>
      </c>
      <c r="D483" s="2">
        <v>-4</v>
      </c>
      <c r="E483" s="3">
        <v>40431.463194444441</v>
      </c>
      <c r="F483" s="2">
        <v>3.75</v>
      </c>
      <c r="G483" s="2">
        <v>12921</v>
      </c>
      <c r="H483" s="2" t="s">
        <v>9</v>
      </c>
    </row>
    <row r="484" spans="1:8" x14ac:dyDescent="0.25">
      <c r="A484" s="2">
        <v>514108</v>
      </c>
      <c r="B484" s="2">
        <v>22402</v>
      </c>
      <c r="C484" s="2" t="s">
        <v>546</v>
      </c>
      <c r="D484" s="2">
        <v>3</v>
      </c>
      <c r="E484" s="3">
        <v>40359.532638888893</v>
      </c>
      <c r="F484" s="2">
        <v>1.25</v>
      </c>
      <c r="G484" s="2">
        <v>13756</v>
      </c>
      <c r="H484" s="2" t="s">
        <v>9</v>
      </c>
    </row>
    <row r="485" spans="1:8" x14ac:dyDescent="0.25">
      <c r="A485" s="2">
        <v>505554</v>
      </c>
      <c r="B485" s="2">
        <v>48138</v>
      </c>
      <c r="C485" s="2" t="s">
        <v>183</v>
      </c>
      <c r="D485" s="2">
        <v>2</v>
      </c>
      <c r="E485" s="3">
        <v>40291.410416666673</v>
      </c>
      <c r="F485" s="2">
        <v>7.49</v>
      </c>
      <c r="G485" s="2">
        <v>12747</v>
      </c>
      <c r="H485" s="2" t="s">
        <v>9</v>
      </c>
    </row>
    <row r="486" spans="1:8" x14ac:dyDescent="0.25">
      <c r="A486" s="2">
        <v>527957</v>
      </c>
      <c r="B486" s="2">
        <v>21231</v>
      </c>
      <c r="C486" s="2" t="s">
        <v>493</v>
      </c>
      <c r="D486" s="2">
        <v>24</v>
      </c>
      <c r="E486" s="3">
        <v>40470.693055555559</v>
      </c>
      <c r="F486" s="2">
        <v>1.25</v>
      </c>
      <c r="G486" s="2">
        <v>13081</v>
      </c>
      <c r="H486" s="2" t="s">
        <v>132</v>
      </c>
    </row>
    <row r="487" spans="1:8" x14ac:dyDescent="0.25">
      <c r="A487" s="2">
        <v>491457</v>
      </c>
      <c r="B487" s="2">
        <v>21146</v>
      </c>
      <c r="C487" s="2" t="s">
        <v>547</v>
      </c>
      <c r="D487" s="2">
        <v>4</v>
      </c>
      <c r="E487" s="3">
        <v>40158.476388888892</v>
      </c>
      <c r="F487" s="2">
        <v>1.95</v>
      </c>
      <c r="G487" s="2">
        <v>15998</v>
      </c>
      <c r="H487" s="2" t="s">
        <v>9</v>
      </c>
    </row>
    <row r="488" spans="1:8" x14ac:dyDescent="0.25">
      <c r="A488" s="2">
        <v>517042</v>
      </c>
      <c r="B488" s="2">
        <v>22428</v>
      </c>
      <c r="C488" s="2" t="s">
        <v>548</v>
      </c>
      <c r="D488" s="2">
        <v>1</v>
      </c>
      <c r="E488" s="3">
        <v>40385.490277777782</v>
      </c>
      <c r="F488" s="2">
        <v>6.95</v>
      </c>
      <c r="G488" s="2">
        <v>13069</v>
      </c>
      <c r="H488" s="2" t="s">
        <v>9</v>
      </c>
    </row>
    <row r="489" spans="1:8" x14ac:dyDescent="0.25">
      <c r="A489" s="2">
        <v>521974</v>
      </c>
      <c r="B489" s="2">
        <v>22352</v>
      </c>
      <c r="C489" s="2" t="s">
        <v>549</v>
      </c>
      <c r="D489" s="2">
        <v>2</v>
      </c>
      <c r="E489" s="3">
        <v>40430.830555555563</v>
      </c>
      <c r="F489" s="2">
        <v>2.5499999999999998</v>
      </c>
      <c r="G489" s="2">
        <v>15861</v>
      </c>
      <c r="H489" s="2" t="s">
        <v>9</v>
      </c>
    </row>
    <row r="490" spans="1:8" x14ac:dyDescent="0.25">
      <c r="A490" s="2">
        <v>530434</v>
      </c>
      <c r="B490" s="2">
        <v>21914</v>
      </c>
      <c r="C490" s="2" t="s">
        <v>550</v>
      </c>
      <c r="D490" s="2">
        <v>24</v>
      </c>
      <c r="E490" s="3">
        <v>40485.449305555558</v>
      </c>
      <c r="F490" s="2">
        <v>1.25</v>
      </c>
      <c r="G490" s="2">
        <v>17511</v>
      </c>
      <c r="H490" s="2" t="s">
        <v>9</v>
      </c>
    </row>
    <row r="491" spans="1:8" x14ac:dyDescent="0.25">
      <c r="A491" s="2">
        <v>510429</v>
      </c>
      <c r="B491" s="2">
        <v>22521</v>
      </c>
      <c r="C491" s="2" t="s">
        <v>551</v>
      </c>
      <c r="D491" s="2">
        <v>4</v>
      </c>
      <c r="E491" s="3">
        <v>40328.538194444453</v>
      </c>
      <c r="F491" s="2">
        <v>0.85</v>
      </c>
      <c r="G491" s="2">
        <v>17618</v>
      </c>
      <c r="H491" s="2" t="s">
        <v>9</v>
      </c>
    </row>
    <row r="492" spans="1:8" x14ac:dyDescent="0.25">
      <c r="A492" s="2">
        <v>518484</v>
      </c>
      <c r="B492" s="2">
        <v>20910</v>
      </c>
      <c r="C492" s="2" t="s">
        <v>552</v>
      </c>
      <c r="D492" s="2">
        <v>1</v>
      </c>
      <c r="E492" s="3">
        <v>40399.518750000003</v>
      </c>
      <c r="F492" s="2">
        <v>6.35</v>
      </c>
      <c r="G492" s="2">
        <v>17841</v>
      </c>
      <c r="H492" s="2" t="s">
        <v>9</v>
      </c>
    </row>
    <row r="493" spans="1:8" x14ac:dyDescent="0.25">
      <c r="A493" s="2">
        <v>519927</v>
      </c>
      <c r="B493" s="2" t="s">
        <v>553</v>
      </c>
      <c r="C493" s="2" t="s">
        <v>554</v>
      </c>
      <c r="D493" s="2">
        <v>48</v>
      </c>
      <c r="E493" s="3">
        <v>40412.633333333331</v>
      </c>
      <c r="F493" s="2">
        <v>0.42</v>
      </c>
      <c r="G493" s="2">
        <v>17095</v>
      </c>
      <c r="H493" s="2" t="s">
        <v>9</v>
      </c>
    </row>
    <row r="494" spans="1:8" x14ac:dyDescent="0.25">
      <c r="A494" s="2">
        <v>515012</v>
      </c>
      <c r="B494" s="2">
        <v>22026</v>
      </c>
      <c r="C494" s="2" t="s">
        <v>555</v>
      </c>
      <c r="D494" s="2">
        <v>12</v>
      </c>
      <c r="E494" s="3">
        <v>40366.676388888889</v>
      </c>
      <c r="F494" s="2">
        <v>0.42</v>
      </c>
      <c r="G494" s="2">
        <v>15581</v>
      </c>
      <c r="H494" s="2" t="s">
        <v>9</v>
      </c>
    </row>
    <row r="495" spans="1:8" x14ac:dyDescent="0.25">
      <c r="A495" s="2">
        <v>497739</v>
      </c>
      <c r="B495" s="2">
        <v>21171</v>
      </c>
      <c r="C495" s="2" t="s">
        <v>556</v>
      </c>
      <c r="D495" s="2">
        <v>1</v>
      </c>
      <c r="E495" s="3">
        <v>40221.431250000001</v>
      </c>
      <c r="F495" s="2">
        <v>1.45</v>
      </c>
      <c r="G495" s="2">
        <v>14606</v>
      </c>
      <c r="H495" s="2" t="s">
        <v>132</v>
      </c>
    </row>
    <row r="496" spans="1:8" x14ac:dyDescent="0.25">
      <c r="A496" s="2">
        <v>516273</v>
      </c>
      <c r="B496" s="2" t="s">
        <v>557</v>
      </c>
      <c r="C496" s="2" t="s">
        <v>200</v>
      </c>
      <c r="D496" s="2">
        <v>2</v>
      </c>
      <c r="E496" s="3">
        <v>40378.530555555553</v>
      </c>
      <c r="F496" s="2">
        <v>7.49</v>
      </c>
      <c r="G496" s="2">
        <v>14978</v>
      </c>
      <c r="H496" s="2" t="s">
        <v>9</v>
      </c>
    </row>
    <row r="497" spans="1:8" x14ac:dyDescent="0.25">
      <c r="A497" s="2">
        <v>495289</v>
      </c>
      <c r="B497" s="2">
        <v>22319</v>
      </c>
      <c r="C497" s="2" t="s">
        <v>558</v>
      </c>
      <c r="D497" s="2">
        <v>12</v>
      </c>
      <c r="E497" s="3">
        <v>40200.525694444441</v>
      </c>
      <c r="F497" s="2">
        <v>0.65</v>
      </c>
      <c r="G497" s="2">
        <v>17519</v>
      </c>
      <c r="H497" s="2" t="s">
        <v>9</v>
      </c>
    </row>
    <row r="498" spans="1:8" x14ac:dyDescent="0.25">
      <c r="A498" s="2">
        <v>535088</v>
      </c>
      <c r="B498" s="2">
        <v>21174</v>
      </c>
      <c r="C498" s="2" t="s">
        <v>521</v>
      </c>
      <c r="D498" s="2">
        <v>12</v>
      </c>
      <c r="E498" s="3">
        <v>40507.420138888891</v>
      </c>
      <c r="F498" s="2">
        <v>1.95</v>
      </c>
      <c r="G498" s="2">
        <v>17167</v>
      </c>
      <c r="H498" s="2" t="s">
        <v>9</v>
      </c>
    </row>
    <row r="499" spans="1:8" x14ac:dyDescent="0.25">
      <c r="A499" s="2">
        <v>533074</v>
      </c>
      <c r="B499" s="2">
        <v>21814</v>
      </c>
      <c r="C499" s="2" t="s">
        <v>559</v>
      </c>
      <c r="D499" s="2">
        <v>12</v>
      </c>
      <c r="E499" s="3">
        <v>40498.327777777777</v>
      </c>
      <c r="F499" s="2">
        <v>1.25</v>
      </c>
      <c r="G499" s="2">
        <v>14298</v>
      </c>
      <c r="H499" s="2" t="s">
        <v>9</v>
      </c>
    </row>
    <row r="500" spans="1:8" x14ac:dyDescent="0.25">
      <c r="A500" s="2" t="s">
        <v>560</v>
      </c>
      <c r="B500" s="2">
        <v>21869</v>
      </c>
      <c r="C500" s="2" t="s">
        <v>561</v>
      </c>
      <c r="D500" s="2">
        <v>3</v>
      </c>
      <c r="E500" s="2" t="s">
        <v>562</v>
      </c>
      <c r="F500" s="2">
        <v>1.25</v>
      </c>
      <c r="G500" s="2">
        <v>16731</v>
      </c>
      <c r="H500" s="2" t="s">
        <v>9</v>
      </c>
    </row>
    <row r="501" spans="1:8" x14ac:dyDescent="0.25">
      <c r="A501" s="2">
        <v>526510</v>
      </c>
      <c r="B501" s="2">
        <v>21868</v>
      </c>
      <c r="C501" s="2" t="s">
        <v>563</v>
      </c>
      <c r="D501" s="2">
        <v>12</v>
      </c>
      <c r="E501" s="3">
        <v>40463.453472222223</v>
      </c>
      <c r="F501" s="2">
        <v>1.25</v>
      </c>
      <c r="G501" s="2">
        <v>13299</v>
      </c>
      <c r="H501" s="2" t="s">
        <v>9</v>
      </c>
    </row>
    <row r="502" spans="1:8" x14ac:dyDescent="0.25">
      <c r="A502" s="2">
        <v>493375</v>
      </c>
      <c r="B502" s="2">
        <v>22303</v>
      </c>
      <c r="C502" s="2" t="s">
        <v>173</v>
      </c>
      <c r="D502" s="2">
        <v>6</v>
      </c>
      <c r="E502" s="3">
        <v>40170.504861111112</v>
      </c>
      <c r="F502" s="2">
        <v>2.5499999999999998</v>
      </c>
      <c r="G502" s="2">
        <v>15514</v>
      </c>
      <c r="H502" s="2" t="s">
        <v>132</v>
      </c>
    </row>
    <row r="503" spans="1:8" x14ac:dyDescent="0.25">
      <c r="A503" s="2">
        <v>534465</v>
      </c>
      <c r="B503" s="2">
        <v>22762</v>
      </c>
      <c r="C503" s="2" t="s">
        <v>564</v>
      </c>
      <c r="D503" s="2">
        <v>1</v>
      </c>
      <c r="E503" s="3">
        <v>40505.419444444437</v>
      </c>
      <c r="F503" s="2">
        <v>14.95</v>
      </c>
      <c r="G503" s="2">
        <v>16821</v>
      </c>
      <c r="H503" s="2" t="s">
        <v>9</v>
      </c>
    </row>
    <row r="504" spans="1:8" x14ac:dyDescent="0.25">
      <c r="A504" s="2">
        <v>513769</v>
      </c>
      <c r="B504" s="2">
        <v>22711</v>
      </c>
      <c r="C504" s="2" t="s">
        <v>565</v>
      </c>
      <c r="D504" s="2">
        <v>25</v>
      </c>
      <c r="E504" s="3">
        <v>40357.572222222218</v>
      </c>
      <c r="F504" s="2">
        <v>0.42</v>
      </c>
      <c r="G504" s="2">
        <v>12701</v>
      </c>
      <c r="H504" s="2" t="s">
        <v>17</v>
      </c>
    </row>
    <row r="505" spans="1:8" x14ac:dyDescent="0.25">
      <c r="A505" s="2">
        <v>534786</v>
      </c>
      <c r="B505" s="2">
        <v>22113</v>
      </c>
      <c r="C505" s="2" t="s">
        <v>146</v>
      </c>
      <c r="D505" s="2">
        <v>1</v>
      </c>
      <c r="E505" s="3">
        <v>40506.472916666673</v>
      </c>
      <c r="F505" s="2">
        <v>3.75</v>
      </c>
      <c r="G505" s="2">
        <v>15854</v>
      </c>
      <c r="H505" s="2" t="s">
        <v>9</v>
      </c>
    </row>
    <row r="506" spans="1:8" x14ac:dyDescent="0.25">
      <c r="A506" s="2">
        <v>529981</v>
      </c>
      <c r="B506" s="2">
        <v>22587</v>
      </c>
      <c r="C506" s="2" t="s">
        <v>566</v>
      </c>
      <c r="D506" s="2" t="s">
        <v>330</v>
      </c>
      <c r="E506" s="3">
        <v>40482.646527777782</v>
      </c>
      <c r="F506" s="2">
        <v>0.85</v>
      </c>
      <c r="G506" s="2">
        <v>16686</v>
      </c>
      <c r="H506" s="2" t="s">
        <v>9</v>
      </c>
    </row>
    <row r="507" spans="1:8" x14ac:dyDescent="0.25">
      <c r="A507" s="2" t="s">
        <v>567</v>
      </c>
      <c r="B507" s="2">
        <v>37503</v>
      </c>
      <c r="C507" s="2" t="s">
        <v>288</v>
      </c>
      <c r="D507" s="2">
        <v>2</v>
      </c>
      <c r="E507" s="3">
        <v>40305.538888888892</v>
      </c>
      <c r="F507" s="2">
        <v>10.75</v>
      </c>
      <c r="G507" s="2">
        <v>13890</v>
      </c>
      <c r="H507" s="2" t="s">
        <v>9</v>
      </c>
    </row>
    <row r="508" spans="1:8" x14ac:dyDescent="0.25">
      <c r="A508" s="2">
        <v>502633</v>
      </c>
      <c r="B508" s="2">
        <v>37370</v>
      </c>
      <c r="C508" s="2" t="s">
        <v>316</v>
      </c>
      <c r="D508" s="2">
        <v>12</v>
      </c>
      <c r="E508" s="3">
        <v>40262.679861111108</v>
      </c>
      <c r="F508" s="2">
        <v>1.25</v>
      </c>
      <c r="G508" s="2">
        <v>12510</v>
      </c>
      <c r="H508" s="2" t="s">
        <v>568</v>
      </c>
    </row>
    <row r="509" spans="1:8" x14ac:dyDescent="0.25">
      <c r="A509" s="2">
        <v>504873</v>
      </c>
      <c r="B509" s="2">
        <v>21676</v>
      </c>
      <c r="C509" s="2" t="s">
        <v>569</v>
      </c>
      <c r="D509" s="2">
        <v>12</v>
      </c>
      <c r="E509" s="3">
        <v>40286.525000000001</v>
      </c>
      <c r="F509" s="2">
        <v>0.85</v>
      </c>
      <c r="G509" s="2">
        <v>14817</v>
      </c>
      <c r="H509" s="2" t="s">
        <v>9</v>
      </c>
    </row>
    <row r="510" spans="1:8" x14ac:dyDescent="0.25">
      <c r="A510" s="2">
        <v>510047</v>
      </c>
      <c r="B510" s="2">
        <v>47480</v>
      </c>
      <c r="C510" s="2" t="s">
        <v>570</v>
      </c>
      <c r="D510" s="2">
        <v>96</v>
      </c>
      <c r="E510" s="3">
        <v>40324.720138888893</v>
      </c>
      <c r="F510" s="2">
        <v>1.45</v>
      </c>
      <c r="G510" s="2">
        <v>15856</v>
      </c>
      <c r="H510" s="2" t="s">
        <v>9</v>
      </c>
    </row>
    <row r="511" spans="1:8" x14ac:dyDescent="0.25">
      <c r="A511" s="2">
        <v>528642</v>
      </c>
      <c r="B511" s="2">
        <v>22865</v>
      </c>
      <c r="C511" s="2" t="s">
        <v>428</v>
      </c>
      <c r="D511" s="2">
        <v>12</v>
      </c>
      <c r="E511" s="3">
        <v>40475.493055555547</v>
      </c>
      <c r="F511" s="2">
        <v>2.1</v>
      </c>
      <c r="G511" s="2">
        <v>13295</v>
      </c>
      <c r="H511" s="2" t="s">
        <v>9</v>
      </c>
    </row>
    <row r="512" spans="1:8" x14ac:dyDescent="0.25">
      <c r="A512" s="2">
        <v>527358</v>
      </c>
      <c r="B512" s="2">
        <v>22795</v>
      </c>
      <c r="C512" s="2" t="s">
        <v>571</v>
      </c>
      <c r="D512" s="2">
        <v>2</v>
      </c>
      <c r="E512" s="3">
        <v>40468.445833333331</v>
      </c>
      <c r="F512" s="2">
        <v>6.75</v>
      </c>
      <c r="G512" s="2">
        <v>16782</v>
      </c>
      <c r="H512" s="2" t="s">
        <v>9</v>
      </c>
    </row>
    <row r="513" spans="1:8" x14ac:dyDescent="0.25">
      <c r="A513" s="2">
        <v>520885</v>
      </c>
      <c r="B513" s="2">
        <v>22710</v>
      </c>
      <c r="C513" s="2" t="s">
        <v>572</v>
      </c>
      <c r="D513" s="2">
        <v>25</v>
      </c>
      <c r="E513" s="3">
        <v>40421.681250000001</v>
      </c>
      <c r="F513" s="2">
        <v>0.42</v>
      </c>
      <c r="G513" s="2">
        <v>14040</v>
      </c>
      <c r="H513" s="2" t="s">
        <v>9</v>
      </c>
    </row>
    <row r="514" spans="1:8" x14ac:dyDescent="0.25">
      <c r="A514" s="2">
        <v>499988</v>
      </c>
      <c r="B514" s="2">
        <v>21717</v>
      </c>
      <c r="C514" s="2" t="s">
        <v>573</v>
      </c>
      <c r="D514" s="2">
        <v>24</v>
      </c>
      <c r="E514" s="3">
        <v>40240.681250000001</v>
      </c>
      <c r="F514" s="2">
        <v>2.5499999999999998</v>
      </c>
      <c r="G514" s="2">
        <v>13654</v>
      </c>
      <c r="H514" s="2" t="s">
        <v>9</v>
      </c>
    </row>
    <row r="515" spans="1:8" x14ac:dyDescent="0.25">
      <c r="A515" s="2">
        <v>529888</v>
      </c>
      <c r="B515" s="2">
        <v>21915</v>
      </c>
      <c r="C515" s="2" t="s">
        <v>347</v>
      </c>
      <c r="D515" s="2">
        <v>3</v>
      </c>
      <c r="E515" s="3">
        <v>40482.587500000001</v>
      </c>
      <c r="F515" s="2">
        <v>1.25</v>
      </c>
      <c r="G515" s="2">
        <v>16595</v>
      </c>
      <c r="H515" s="2" t="s">
        <v>9</v>
      </c>
    </row>
    <row r="516" spans="1:8" x14ac:dyDescent="0.25">
      <c r="A516" s="2">
        <v>522424</v>
      </c>
      <c r="B516" s="2">
        <v>21217</v>
      </c>
      <c r="C516" s="2" t="s">
        <v>574</v>
      </c>
      <c r="D516" s="2">
        <v>1</v>
      </c>
      <c r="E516" s="3">
        <v>40435.540277777778</v>
      </c>
      <c r="F516" s="2">
        <v>9.9499999999999993</v>
      </c>
      <c r="G516" s="2">
        <v>12476</v>
      </c>
      <c r="H516" s="2" t="s">
        <v>17</v>
      </c>
    </row>
    <row r="517" spans="1:8" x14ac:dyDescent="0.25">
      <c r="A517" s="2">
        <v>509187</v>
      </c>
      <c r="B517" s="2">
        <v>22644</v>
      </c>
      <c r="C517" s="2" t="s">
        <v>461</v>
      </c>
      <c r="D517" s="2" t="s">
        <v>120</v>
      </c>
      <c r="E517" s="3">
        <v>40318.708333333343</v>
      </c>
      <c r="F517" s="2">
        <v>1.45</v>
      </c>
      <c r="G517" s="2">
        <v>15826</v>
      </c>
      <c r="H517" s="2" t="s">
        <v>9</v>
      </c>
    </row>
    <row r="518" spans="1:8" x14ac:dyDescent="0.25">
      <c r="A518" s="2">
        <v>527445</v>
      </c>
      <c r="B518" s="2">
        <v>22367</v>
      </c>
      <c r="C518" s="2" t="s">
        <v>296</v>
      </c>
      <c r="D518" s="2">
        <v>8</v>
      </c>
      <c r="E518" s="3">
        <v>40469.397916666669</v>
      </c>
      <c r="F518" s="2">
        <v>1.95</v>
      </c>
      <c r="G518" s="2">
        <v>14741</v>
      </c>
      <c r="H518" s="2" t="s">
        <v>9</v>
      </c>
    </row>
    <row r="519" spans="1:8" x14ac:dyDescent="0.25">
      <c r="A519" s="2">
        <v>516922</v>
      </c>
      <c r="B519" s="2">
        <v>37474</v>
      </c>
      <c r="C519" s="2" t="s">
        <v>575</v>
      </c>
      <c r="D519" s="2">
        <v>1</v>
      </c>
      <c r="E519" s="3">
        <v>40384.490277777782</v>
      </c>
      <c r="F519" s="2">
        <v>9.9499999999999993</v>
      </c>
      <c r="G519" s="2">
        <v>15727</v>
      </c>
      <c r="H519" s="2" t="s">
        <v>9</v>
      </c>
    </row>
    <row r="520" spans="1:8" x14ac:dyDescent="0.25">
      <c r="A520" s="2">
        <v>527939</v>
      </c>
      <c r="B520" s="2">
        <v>15036</v>
      </c>
      <c r="C520" s="2" t="s">
        <v>576</v>
      </c>
      <c r="D520" s="2">
        <v>12</v>
      </c>
      <c r="E520" s="3">
        <v>40470.589583333327</v>
      </c>
      <c r="F520" s="2">
        <v>0.75</v>
      </c>
      <c r="G520" s="2">
        <v>14301</v>
      </c>
      <c r="H520" s="2" t="s">
        <v>9</v>
      </c>
    </row>
    <row r="521" spans="1:8" x14ac:dyDescent="0.25">
      <c r="A521" s="2">
        <v>510743</v>
      </c>
      <c r="B521" s="2">
        <v>21179</v>
      </c>
      <c r="C521" s="2" t="s">
        <v>194</v>
      </c>
      <c r="D521" s="2">
        <v>12</v>
      </c>
      <c r="E521" s="3">
        <v>40332.520833333343</v>
      </c>
      <c r="F521" s="2">
        <v>1.25</v>
      </c>
      <c r="G521" s="2">
        <v>14911</v>
      </c>
      <c r="H521" s="2" t="s">
        <v>11</v>
      </c>
    </row>
    <row r="522" spans="1:8" x14ac:dyDescent="0.25">
      <c r="A522" s="2">
        <v>498757</v>
      </c>
      <c r="B522" s="2">
        <v>20754</v>
      </c>
      <c r="C522" s="2" t="s">
        <v>189</v>
      </c>
      <c r="D522" s="2">
        <v>2</v>
      </c>
      <c r="E522" s="3">
        <v>40231.700694444437</v>
      </c>
      <c r="F522" s="2">
        <v>2.1</v>
      </c>
      <c r="G522" s="2">
        <v>14030</v>
      </c>
      <c r="H522" s="2" t="s">
        <v>9</v>
      </c>
    </row>
    <row r="523" spans="1:8" x14ac:dyDescent="0.25">
      <c r="A523" s="2">
        <v>508486</v>
      </c>
      <c r="B523" s="2" t="s">
        <v>577</v>
      </c>
      <c r="C523" s="2" t="s">
        <v>578</v>
      </c>
      <c r="D523" s="2">
        <v>12</v>
      </c>
      <c r="E523" s="2" t="s">
        <v>579</v>
      </c>
      <c r="F523" s="2">
        <v>0.85</v>
      </c>
      <c r="G523" s="2">
        <v>16456</v>
      </c>
      <c r="H523" s="2" t="s">
        <v>9</v>
      </c>
    </row>
    <row r="524" spans="1:8" x14ac:dyDescent="0.25">
      <c r="A524" s="2">
        <v>538064</v>
      </c>
      <c r="B524" s="2" t="s">
        <v>580</v>
      </c>
      <c r="C524" s="2" t="s">
        <v>581</v>
      </c>
      <c r="D524" s="2">
        <v>1</v>
      </c>
      <c r="E524" s="3">
        <v>40521.574305555558</v>
      </c>
      <c r="F524" s="2">
        <v>1.25</v>
      </c>
      <c r="G524" s="2">
        <v>15271</v>
      </c>
      <c r="H524" s="2" t="s">
        <v>9</v>
      </c>
    </row>
    <row r="525" spans="1:8" x14ac:dyDescent="0.25">
      <c r="A525" s="2">
        <v>529843</v>
      </c>
      <c r="B525" s="2">
        <v>21051</v>
      </c>
      <c r="C525" s="2" t="s">
        <v>582</v>
      </c>
      <c r="D525" s="2">
        <v>2</v>
      </c>
      <c r="E525" s="3">
        <v>40482.538888888892</v>
      </c>
      <c r="F525" s="2">
        <v>2.1</v>
      </c>
      <c r="G525" s="2">
        <v>16065</v>
      </c>
      <c r="H525" s="2" t="s">
        <v>9</v>
      </c>
    </row>
    <row r="526" spans="1:8" x14ac:dyDescent="0.25">
      <c r="A526" s="2">
        <v>511501</v>
      </c>
      <c r="B526" s="2">
        <v>21109</v>
      </c>
      <c r="C526" s="2" t="s">
        <v>583</v>
      </c>
      <c r="D526" s="2">
        <v>1</v>
      </c>
      <c r="E526" s="3">
        <v>40337.619444444441</v>
      </c>
      <c r="F526" s="2">
        <v>6.75</v>
      </c>
      <c r="G526" s="2">
        <v>15532</v>
      </c>
    </row>
    <row r="527" spans="1:8" x14ac:dyDescent="0.25">
      <c r="A527" s="2">
        <v>512400</v>
      </c>
      <c r="B527" s="2">
        <v>21934</v>
      </c>
      <c r="C527" s="2" t="s">
        <v>474</v>
      </c>
      <c r="D527" s="2">
        <v>10</v>
      </c>
      <c r="E527" s="3">
        <v>40344.524305555547</v>
      </c>
      <c r="F527" s="2">
        <v>1.65</v>
      </c>
      <c r="G527" s="2">
        <v>13297</v>
      </c>
      <c r="H527" s="2" t="s">
        <v>9</v>
      </c>
    </row>
    <row r="528" spans="1:8" x14ac:dyDescent="0.25">
      <c r="A528" s="2">
        <v>490674</v>
      </c>
      <c r="B528" s="2" t="s">
        <v>584</v>
      </c>
      <c r="C528" s="2" t="s">
        <v>585</v>
      </c>
      <c r="D528" s="2">
        <v>2</v>
      </c>
      <c r="E528" s="3">
        <v>40154.54583333333</v>
      </c>
      <c r="F528" s="2">
        <v>12.75</v>
      </c>
      <c r="G528" s="2">
        <v>14307</v>
      </c>
      <c r="H528" s="2" t="s">
        <v>9</v>
      </c>
    </row>
    <row r="529" spans="1:8" x14ac:dyDescent="0.25">
      <c r="A529" s="2">
        <v>508079</v>
      </c>
      <c r="B529" s="2">
        <v>22435</v>
      </c>
      <c r="C529" s="2" t="s">
        <v>107</v>
      </c>
      <c r="D529" s="2">
        <v>10</v>
      </c>
      <c r="E529" s="3">
        <v>40310.695833333331</v>
      </c>
      <c r="F529" s="2">
        <v>1.25</v>
      </c>
      <c r="G529" s="2">
        <v>17092</v>
      </c>
      <c r="H529" s="2" t="s">
        <v>9</v>
      </c>
    </row>
    <row r="530" spans="1:8" x14ac:dyDescent="0.25">
      <c r="A530" s="2" t="s">
        <v>586</v>
      </c>
      <c r="B530" s="2">
        <v>20713</v>
      </c>
      <c r="C530" s="2" t="s">
        <v>587</v>
      </c>
      <c r="D530" s="2">
        <v>10</v>
      </c>
      <c r="E530" s="2" t="s">
        <v>588</v>
      </c>
      <c r="F530" s="2">
        <v>1.95</v>
      </c>
      <c r="G530" s="2">
        <v>15750</v>
      </c>
      <c r="H530" s="2" t="s">
        <v>9</v>
      </c>
    </row>
    <row r="531" spans="1:8" x14ac:dyDescent="0.25">
      <c r="A531" s="2">
        <v>494798</v>
      </c>
      <c r="B531" s="2">
        <v>22218</v>
      </c>
      <c r="C531" s="2" t="s">
        <v>589</v>
      </c>
      <c r="D531" s="2">
        <v>1</v>
      </c>
      <c r="E531" s="3">
        <v>40196.605555555558</v>
      </c>
      <c r="F531" s="2">
        <v>4.25</v>
      </c>
      <c r="G531" s="2">
        <v>17773</v>
      </c>
      <c r="H531" s="2" t="s">
        <v>9</v>
      </c>
    </row>
    <row r="532" spans="1:8" x14ac:dyDescent="0.25">
      <c r="A532" s="2">
        <v>533736</v>
      </c>
      <c r="B532" s="2">
        <v>21892</v>
      </c>
      <c r="C532" s="2" t="s">
        <v>86</v>
      </c>
      <c r="D532" s="2">
        <v>1</v>
      </c>
      <c r="E532" s="3">
        <v>40500.57708333333</v>
      </c>
      <c r="F532" s="2">
        <v>1.25</v>
      </c>
      <c r="G532" s="2">
        <v>16089</v>
      </c>
      <c r="H532" s="2" t="s">
        <v>9</v>
      </c>
    </row>
    <row r="533" spans="1:8" x14ac:dyDescent="0.25">
      <c r="A533" s="2">
        <v>490072</v>
      </c>
      <c r="B533" s="2">
        <v>22297</v>
      </c>
      <c r="C533" s="2" t="s">
        <v>581</v>
      </c>
      <c r="D533" s="2">
        <v>3</v>
      </c>
      <c r="E533" s="3">
        <v>40150.602777777778</v>
      </c>
      <c r="F533" s="2">
        <v>1.25</v>
      </c>
      <c r="G533" s="2">
        <v>17764</v>
      </c>
      <c r="H533" s="2" t="s">
        <v>9</v>
      </c>
    </row>
    <row r="534" spans="1:8" x14ac:dyDescent="0.25">
      <c r="A534" s="2">
        <v>500362</v>
      </c>
      <c r="B534" s="2" t="s">
        <v>232</v>
      </c>
      <c r="C534" s="2" t="s">
        <v>590</v>
      </c>
      <c r="D534" s="2">
        <v>4</v>
      </c>
      <c r="E534" s="3">
        <v>40244.675000000003</v>
      </c>
      <c r="F534" s="2">
        <v>2.95</v>
      </c>
      <c r="G534" s="2">
        <v>17449</v>
      </c>
      <c r="H534" s="2" t="s">
        <v>9</v>
      </c>
    </row>
    <row r="535" spans="1:8" x14ac:dyDescent="0.25">
      <c r="A535" s="2">
        <v>508251</v>
      </c>
      <c r="B535" s="2">
        <v>21731</v>
      </c>
      <c r="C535" s="2" t="s">
        <v>96</v>
      </c>
      <c r="D535" s="2">
        <v>12</v>
      </c>
      <c r="E535" s="3">
        <v>40312.444444444453</v>
      </c>
      <c r="F535" s="2">
        <v>1.65</v>
      </c>
      <c r="G535" s="2">
        <v>13157</v>
      </c>
      <c r="H535" s="2" t="s">
        <v>9</v>
      </c>
    </row>
    <row r="536" spans="1:8" x14ac:dyDescent="0.25">
      <c r="A536" s="2">
        <v>518561</v>
      </c>
      <c r="B536" s="2">
        <v>21106</v>
      </c>
      <c r="C536" s="2" t="s">
        <v>591</v>
      </c>
      <c r="D536" s="2">
        <v>6</v>
      </c>
      <c r="E536" s="3">
        <v>40400.431944444441</v>
      </c>
      <c r="F536" s="2">
        <v>2.95</v>
      </c>
      <c r="G536" s="2">
        <v>17023</v>
      </c>
      <c r="H536" s="2" t="s">
        <v>9</v>
      </c>
    </row>
    <row r="537" spans="1:8" x14ac:dyDescent="0.25">
      <c r="A537" s="2">
        <v>516872</v>
      </c>
      <c r="B537" s="2">
        <v>48111</v>
      </c>
      <c r="C537" s="2" t="s">
        <v>200</v>
      </c>
      <c r="D537" s="2">
        <v>2</v>
      </c>
      <c r="E537" s="3">
        <v>40382.540972222218</v>
      </c>
      <c r="F537" s="2">
        <v>7.49</v>
      </c>
      <c r="G537" s="2">
        <v>13874</v>
      </c>
      <c r="H537" s="2" t="s">
        <v>9</v>
      </c>
    </row>
    <row r="538" spans="1:8" x14ac:dyDescent="0.25">
      <c r="A538" s="2">
        <v>512602</v>
      </c>
      <c r="B538" s="2">
        <v>21260</v>
      </c>
      <c r="C538" s="2" t="s">
        <v>202</v>
      </c>
      <c r="D538" s="2">
        <v>6</v>
      </c>
      <c r="E538" s="3">
        <v>40346.347222222219</v>
      </c>
      <c r="F538" s="2">
        <v>3.25</v>
      </c>
      <c r="G538" s="2">
        <v>16492</v>
      </c>
      <c r="H538" s="2" t="s">
        <v>9</v>
      </c>
    </row>
    <row r="539" spans="1:8" x14ac:dyDescent="0.25">
      <c r="A539" s="2">
        <v>511844</v>
      </c>
      <c r="B539" s="2">
        <v>22468</v>
      </c>
      <c r="C539" s="2" t="s">
        <v>592</v>
      </c>
      <c r="D539" s="2">
        <v>4</v>
      </c>
      <c r="E539" s="3">
        <v>40339.774305555547</v>
      </c>
      <c r="F539" s="2">
        <v>6.75</v>
      </c>
      <c r="G539" s="2">
        <v>16679</v>
      </c>
      <c r="H539" s="2" t="s">
        <v>9</v>
      </c>
    </row>
    <row r="540" spans="1:8" x14ac:dyDescent="0.25">
      <c r="A540" s="2">
        <v>522463</v>
      </c>
      <c r="B540" s="2">
        <v>20718</v>
      </c>
      <c r="C540" s="2" t="s">
        <v>593</v>
      </c>
      <c r="D540" s="2">
        <v>1</v>
      </c>
      <c r="E540" s="3">
        <v>40435.717361111107</v>
      </c>
      <c r="F540" s="2">
        <v>1.25</v>
      </c>
      <c r="G540" s="2">
        <v>14710</v>
      </c>
      <c r="H540" s="2" t="s">
        <v>9</v>
      </c>
    </row>
    <row r="541" spans="1:8" x14ac:dyDescent="0.25">
      <c r="A541" s="2">
        <v>506400</v>
      </c>
      <c r="B541" s="2" t="s">
        <v>594</v>
      </c>
      <c r="C541" s="2" t="s">
        <v>595</v>
      </c>
      <c r="D541" s="2">
        <v>10</v>
      </c>
      <c r="E541" s="3">
        <v>40297.565972222219</v>
      </c>
      <c r="F541" s="2">
        <v>1.95</v>
      </c>
      <c r="G541" s="2">
        <v>15954</v>
      </c>
      <c r="H541" s="2" t="s">
        <v>9</v>
      </c>
    </row>
    <row r="542" spans="1:8" x14ac:dyDescent="0.25">
      <c r="A542" s="2">
        <v>528615</v>
      </c>
      <c r="B542" s="2">
        <v>22736</v>
      </c>
      <c r="C542" s="2" t="s">
        <v>596</v>
      </c>
      <c r="D542" s="2">
        <v>1</v>
      </c>
      <c r="E542" s="3">
        <v>40473.691666666673</v>
      </c>
      <c r="F542" s="2">
        <v>1.65</v>
      </c>
      <c r="G542" s="2">
        <v>17231</v>
      </c>
      <c r="H542" s="2" t="s">
        <v>9</v>
      </c>
    </row>
    <row r="543" spans="1:8" x14ac:dyDescent="0.25">
      <c r="A543" s="2">
        <v>536038</v>
      </c>
      <c r="B543" s="2">
        <v>85178</v>
      </c>
      <c r="C543" s="2" t="s">
        <v>597</v>
      </c>
      <c r="D543" s="2">
        <v>3</v>
      </c>
      <c r="E543" s="3">
        <v>40511.71597222222</v>
      </c>
      <c r="F543" s="2">
        <v>1.25</v>
      </c>
      <c r="G543" s="2">
        <v>14130</v>
      </c>
      <c r="H543" s="2" t="s">
        <v>9</v>
      </c>
    </row>
    <row r="544" spans="1:8" x14ac:dyDescent="0.25">
      <c r="A544" s="2">
        <v>500844</v>
      </c>
      <c r="B544" s="2">
        <v>22286</v>
      </c>
      <c r="C544" s="2" t="s">
        <v>598</v>
      </c>
      <c r="D544" s="2">
        <v>2</v>
      </c>
      <c r="E544" s="3">
        <v>40247.511111111111</v>
      </c>
      <c r="F544" s="2">
        <v>1.65</v>
      </c>
      <c r="G544" s="2">
        <v>13413</v>
      </c>
      <c r="H544" s="2" t="s">
        <v>9</v>
      </c>
    </row>
    <row r="545" spans="1:8" x14ac:dyDescent="0.25">
      <c r="A545" s="2">
        <v>501133</v>
      </c>
      <c r="B545" s="2">
        <v>22236</v>
      </c>
      <c r="C545" s="2" t="s">
        <v>599</v>
      </c>
      <c r="D545" s="2">
        <v>2</v>
      </c>
      <c r="E545" s="3">
        <v>40251.423611111109</v>
      </c>
      <c r="F545" s="2">
        <v>12.75</v>
      </c>
      <c r="G545" s="2">
        <v>17920</v>
      </c>
      <c r="H545" s="2" t="s">
        <v>9</v>
      </c>
    </row>
    <row r="546" spans="1:8" x14ac:dyDescent="0.25">
      <c r="A546" s="2">
        <v>531947</v>
      </c>
      <c r="B546" s="2">
        <v>21463</v>
      </c>
      <c r="C546" s="2" t="s">
        <v>600</v>
      </c>
      <c r="D546" s="2">
        <v>4</v>
      </c>
      <c r="E546" s="3">
        <v>40492.511111111111</v>
      </c>
      <c r="F546" s="2">
        <v>5.95</v>
      </c>
      <c r="G546" s="2">
        <v>14390</v>
      </c>
      <c r="H546" s="2" t="s">
        <v>9</v>
      </c>
    </row>
    <row r="547" spans="1:8" x14ac:dyDescent="0.25">
      <c r="A547" s="2">
        <v>530085</v>
      </c>
      <c r="B547" s="2">
        <v>22577</v>
      </c>
      <c r="C547" s="2" t="s">
        <v>601</v>
      </c>
      <c r="D547" s="2">
        <v>1</v>
      </c>
      <c r="E547" s="3">
        <v>40483.55972222222</v>
      </c>
      <c r="F547" s="2">
        <v>0.85</v>
      </c>
      <c r="G547" s="2">
        <v>17315</v>
      </c>
      <c r="H547" s="2" t="s">
        <v>9</v>
      </c>
    </row>
    <row r="548" spans="1:8" x14ac:dyDescent="0.25">
      <c r="A548" s="2">
        <v>502617</v>
      </c>
      <c r="B548" s="2" t="s">
        <v>602</v>
      </c>
      <c r="C548" s="2" t="s">
        <v>603</v>
      </c>
      <c r="D548" s="2">
        <v>4</v>
      </c>
      <c r="E548" s="3">
        <v>40262.61041666667</v>
      </c>
      <c r="F548" s="2">
        <v>3.75</v>
      </c>
      <c r="G548" s="2">
        <v>15027</v>
      </c>
      <c r="H548" s="2" t="s">
        <v>9</v>
      </c>
    </row>
    <row r="549" spans="1:8" x14ac:dyDescent="0.25">
      <c r="A549" s="2">
        <v>536974</v>
      </c>
      <c r="B549" s="2" t="s">
        <v>604</v>
      </c>
      <c r="C549" s="2" t="s">
        <v>134</v>
      </c>
      <c r="D549" s="2">
        <v>2</v>
      </c>
      <c r="E549" s="3">
        <v>40515.582638888889</v>
      </c>
      <c r="F549" s="2">
        <v>7.95</v>
      </c>
      <c r="G549" s="2">
        <v>12682</v>
      </c>
      <c r="H549" s="2" t="s">
        <v>28</v>
      </c>
    </row>
    <row r="550" spans="1:8" x14ac:dyDescent="0.25">
      <c r="A550" s="2">
        <v>491633</v>
      </c>
      <c r="B550" s="2">
        <v>84987</v>
      </c>
      <c r="C550" s="2" t="s">
        <v>605</v>
      </c>
      <c r="D550" s="2">
        <v>2</v>
      </c>
      <c r="E550" s="3">
        <v>40158.650694444441</v>
      </c>
      <c r="F550" s="2">
        <v>1.45</v>
      </c>
      <c r="G550" s="2">
        <v>17958</v>
      </c>
      <c r="H550" s="2" t="s">
        <v>9</v>
      </c>
    </row>
    <row r="551" spans="1:8" x14ac:dyDescent="0.25">
      <c r="A551" s="2">
        <v>519005</v>
      </c>
      <c r="B551" s="2" t="s">
        <v>606</v>
      </c>
      <c r="C551" s="2" t="s">
        <v>607</v>
      </c>
      <c r="D551" s="2">
        <v>1</v>
      </c>
      <c r="E551" s="3">
        <v>40402.804166666669</v>
      </c>
      <c r="F551" s="2">
        <v>1.69</v>
      </c>
      <c r="G551" s="2">
        <v>16549</v>
      </c>
      <c r="H551" s="2" t="s">
        <v>9</v>
      </c>
    </row>
    <row r="552" spans="1:8" x14ac:dyDescent="0.25">
      <c r="A552" s="2">
        <v>519371</v>
      </c>
      <c r="B552" s="2">
        <v>22371</v>
      </c>
      <c r="C552" s="2" t="s">
        <v>608</v>
      </c>
      <c r="D552" s="2">
        <v>1</v>
      </c>
      <c r="E552" s="3">
        <v>40406.550000000003</v>
      </c>
      <c r="F552" s="2">
        <v>6.35</v>
      </c>
      <c r="G552" s="2">
        <v>14606</v>
      </c>
      <c r="H552" s="2" t="s">
        <v>9</v>
      </c>
    </row>
    <row r="553" spans="1:8" x14ac:dyDescent="0.25">
      <c r="A553" s="2">
        <v>494860</v>
      </c>
      <c r="B553" s="2">
        <v>84832</v>
      </c>
      <c r="D553" s="2">
        <v>5</v>
      </c>
      <c r="E553" s="3">
        <v>40197.459027777782</v>
      </c>
      <c r="F553" s="2">
        <v>0.85</v>
      </c>
      <c r="G553" s="2">
        <v>12470</v>
      </c>
      <c r="H553" s="2" t="s">
        <v>609</v>
      </c>
    </row>
    <row r="554" spans="1:8" x14ac:dyDescent="0.25">
      <c r="A554" s="2">
        <v>529826</v>
      </c>
      <c r="B554" s="2">
        <v>22968</v>
      </c>
      <c r="C554" s="2" t="s">
        <v>610</v>
      </c>
      <c r="D554" s="2">
        <v>2</v>
      </c>
      <c r="E554" s="3">
        <v>40482.488194444442</v>
      </c>
      <c r="F554" s="2">
        <v>9.9499999999999993</v>
      </c>
      <c r="G554" s="2">
        <v>15351</v>
      </c>
      <c r="H554" s="2" t="s">
        <v>9</v>
      </c>
    </row>
    <row r="555" spans="1:8" x14ac:dyDescent="0.25">
      <c r="A555" s="2">
        <v>534718</v>
      </c>
      <c r="B555" s="2">
        <v>21755</v>
      </c>
      <c r="C555" s="2" t="s">
        <v>360</v>
      </c>
      <c r="D555" s="2">
        <v>3</v>
      </c>
      <c r="E555" s="3">
        <v>40505.741666666669</v>
      </c>
      <c r="F555" s="2">
        <v>5.95</v>
      </c>
      <c r="G555" s="2" t="s">
        <v>611</v>
      </c>
      <c r="H555" s="2" t="s">
        <v>9</v>
      </c>
    </row>
    <row r="556" spans="1:8" x14ac:dyDescent="0.25">
      <c r="A556" s="2">
        <v>500220</v>
      </c>
      <c r="B556" s="2">
        <v>21977</v>
      </c>
      <c r="C556" s="2" t="s">
        <v>612</v>
      </c>
      <c r="D556" s="2">
        <v>2</v>
      </c>
      <c r="E556" s="3">
        <v>40242.469444444447</v>
      </c>
      <c r="F556" s="2">
        <v>0.55000000000000004</v>
      </c>
      <c r="G556" s="2">
        <v>14896</v>
      </c>
      <c r="H556" s="2" t="s">
        <v>9</v>
      </c>
    </row>
    <row r="557" spans="1:8" x14ac:dyDescent="0.25">
      <c r="A557" s="2">
        <v>489439</v>
      </c>
      <c r="B557" s="2" t="s">
        <v>613</v>
      </c>
      <c r="C557" s="2" t="s">
        <v>219</v>
      </c>
      <c r="D557" s="2">
        <v>12</v>
      </c>
      <c r="E557" s="3">
        <v>40148.394444444442</v>
      </c>
      <c r="F557" s="2">
        <v>0.65</v>
      </c>
      <c r="G557" s="2">
        <v>12682</v>
      </c>
      <c r="H557" s="2" t="s">
        <v>28</v>
      </c>
    </row>
    <row r="558" spans="1:8" x14ac:dyDescent="0.25">
      <c r="A558" s="2">
        <v>513108</v>
      </c>
      <c r="B558" s="2" t="s">
        <v>614</v>
      </c>
      <c r="C558" s="2" t="s">
        <v>615</v>
      </c>
      <c r="D558" s="2">
        <v>24</v>
      </c>
      <c r="E558" s="3">
        <v>40350.669444444437</v>
      </c>
      <c r="F558" s="2">
        <v>1.69</v>
      </c>
      <c r="G558" s="2">
        <v>14204</v>
      </c>
      <c r="H558" s="2" t="s">
        <v>9</v>
      </c>
    </row>
    <row r="559" spans="1:8" x14ac:dyDescent="0.25">
      <c r="A559" s="2">
        <v>499972</v>
      </c>
      <c r="B559" s="2" t="s">
        <v>616</v>
      </c>
      <c r="C559" s="2" t="s">
        <v>617</v>
      </c>
      <c r="D559" s="2">
        <v>1</v>
      </c>
      <c r="E559" s="3">
        <v>40240.604861111111</v>
      </c>
      <c r="F559" s="2">
        <v>1.45</v>
      </c>
      <c r="G559" s="2">
        <v>13680</v>
      </c>
      <c r="H559" s="2" t="s">
        <v>9</v>
      </c>
    </row>
    <row r="560" spans="1:8" x14ac:dyDescent="0.25">
      <c r="A560" s="2">
        <v>506442</v>
      </c>
      <c r="B560" s="2">
        <v>22476</v>
      </c>
      <c r="C560" s="2" t="s">
        <v>618</v>
      </c>
      <c r="D560" s="2">
        <v>2</v>
      </c>
      <c r="E560" s="3">
        <v>40297.697916666657</v>
      </c>
      <c r="F560" s="2">
        <v>4.95</v>
      </c>
      <c r="G560" s="2">
        <v>16520</v>
      </c>
      <c r="H560" s="2" t="s">
        <v>9</v>
      </c>
    </row>
    <row r="561" spans="1:8" x14ac:dyDescent="0.25">
      <c r="A561" s="2">
        <v>523005</v>
      </c>
      <c r="B561" s="2">
        <v>37509</v>
      </c>
      <c r="C561" s="2" t="s">
        <v>619</v>
      </c>
      <c r="D561" s="2">
        <v>2</v>
      </c>
      <c r="E561" s="3">
        <v>40440.680555555547</v>
      </c>
      <c r="F561" s="2">
        <v>2.5499999999999998</v>
      </c>
      <c r="G561" s="2">
        <v>12748</v>
      </c>
      <c r="H561" s="2" t="s">
        <v>9</v>
      </c>
    </row>
    <row r="562" spans="1:8" x14ac:dyDescent="0.25">
      <c r="A562" s="2">
        <v>490707</v>
      </c>
      <c r="B562" s="2">
        <v>21875</v>
      </c>
      <c r="C562" s="2" t="s">
        <v>620</v>
      </c>
      <c r="D562" s="2">
        <v>1</v>
      </c>
      <c r="E562" s="3">
        <v>40154.626388888893</v>
      </c>
      <c r="F562" s="2">
        <v>1.25</v>
      </c>
      <c r="G562" s="2">
        <v>17865</v>
      </c>
      <c r="H562" s="2" t="s">
        <v>9</v>
      </c>
    </row>
    <row r="563" spans="1:8" x14ac:dyDescent="0.25">
      <c r="A563" s="2">
        <v>498401</v>
      </c>
      <c r="B563" s="2">
        <v>22329</v>
      </c>
      <c r="C563" s="2" t="s">
        <v>621</v>
      </c>
      <c r="D563" s="2">
        <v>12</v>
      </c>
      <c r="E563" s="3">
        <v>40227.655555555553</v>
      </c>
      <c r="F563" s="2">
        <v>1.65</v>
      </c>
      <c r="G563" s="2">
        <v>17469</v>
      </c>
      <c r="H563" s="2" t="s">
        <v>9</v>
      </c>
    </row>
    <row r="564" spans="1:8" x14ac:dyDescent="0.25">
      <c r="A564" s="2" t="s">
        <v>622</v>
      </c>
      <c r="B564" s="2">
        <v>82578</v>
      </c>
      <c r="C564" s="2" t="s">
        <v>623</v>
      </c>
      <c r="D564" s="2">
        <v>-1</v>
      </c>
      <c r="E564" s="3">
        <v>40377.452777777777</v>
      </c>
      <c r="F564" s="2">
        <v>0.55000000000000004</v>
      </c>
      <c r="G564" s="2">
        <v>13798</v>
      </c>
      <c r="H564" s="2" t="s">
        <v>9</v>
      </c>
    </row>
    <row r="565" spans="1:8" x14ac:dyDescent="0.25">
      <c r="A565" s="2">
        <v>517097</v>
      </c>
      <c r="B565" s="2">
        <v>22188</v>
      </c>
      <c r="C565" s="2" t="s">
        <v>505</v>
      </c>
      <c r="D565" s="2">
        <v>4</v>
      </c>
      <c r="E565" s="3">
        <v>40385.630555555559</v>
      </c>
      <c r="F565" s="2" t="s">
        <v>624</v>
      </c>
      <c r="G565" s="2">
        <v>17612</v>
      </c>
      <c r="H565" s="2" t="s">
        <v>9</v>
      </c>
    </row>
    <row r="566" spans="1:8" x14ac:dyDescent="0.25">
      <c r="A566" s="2">
        <v>537059</v>
      </c>
      <c r="B566" s="2">
        <v>22451</v>
      </c>
      <c r="C566" s="2" t="s">
        <v>625</v>
      </c>
      <c r="D566" s="2">
        <v>2</v>
      </c>
      <c r="E566" s="3">
        <v>40517.495833333327</v>
      </c>
      <c r="F566" s="2">
        <v>3.35</v>
      </c>
      <c r="G566" s="2">
        <v>14813</v>
      </c>
      <c r="H566" s="2" t="s">
        <v>9</v>
      </c>
    </row>
    <row r="567" spans="1:8" x14ac:dyDescent="0.25">
      <c r="A567" s="2">
        <v>499168</v>
      </c>
      <c r="B567" s="2">
        <v>47502</v>
      </c>
      <c r="C567" s="2" t="s">
        <v>626</v>
      </c>
      <c r="D567" s="2">
        <v>10</v>
      </c>
      <c r="E567" s="3">
        <v>40234.397916666669</v>
      </c>
      <c r="F567" s="2">
        <v>9.9499999999999993</v>
      </c>
      <c r="G567" s="2">
        <v>16029</v>
      </c>
      <c r="H567" s="2" t="s">
        <v>9</v>
      </c>
    </row>
    <row r="568" spans="1:8" x14ac:dyDescent="0.25">
      <c r="A568" s="2">
        <v>510483</v>
      </c>
      <c r="B568" s="2">
        <v>22545</v>
      </c>
      <c r="C568" s="2" t="s">
        <v>627</v>
      </c>
      <c r="D568" s="2">
        <v>7</v>
      </c>
      <c r="E568" s="3">
        <v>40330.477083333331</v>
      </c>
      <c r="F568" s="2">
        <v>0.42</v>
      </c>
      <c r="G568" s="2">
        <v>16960</v>
      </c>
      <c r="H568" s="2" t="s">
        <v>9</v>
      </c>
    </row>
    <row r="569" spans="1:8" x14ac:dyDescent="0.25">
      <c r="A569" s="2">
        <v>511066</v>
      </c>
      <c r="B569" s="2">
        <v>22179</v>
      </c>
      <c r="C569" s="2" t="s">
        <v>628</v>
      </c>
      <c r="D569" s="2">
        <v>2</v>
      </c>
      <c r="E569" s="3">
        <v>40335.540972222218</v>
      </c>
      <c r="F569" s="2">
        <v>6.75</v>
      </c>
      <c r="G569" s="2">
        <v>13109</v>
      </c>
      <c r="H569" s="2" t="s">
        <v>9</v>
      </c>
    </row>
    <row r="570" spans="1:8" x14ac:dyDescent="0.25">
      <c r="A570" s="2">
        <v>517978</v>
      </c>
      <c r="B570" s="2">
        <v>21774</v>
      </c>
      <c r="C570" s="2" t="s">
        <v>629</v>
      </c>
      <c r="D570" s="2">
        <v>12</v>
      </c>
      <c r="E570" s="3">
        <v>40393.609722222223</v>
      </c>
      <c r="F570" s="2">
        <v>1.25</v>
      </c>
      <c r="G570" s="2">
        <v>16316</v>
      </c>
      <c r="H570" s="2" t="s">
        <v>9</v>
      </c>
    </row>
    <row r="571" spans="1:8" x14ac:dyDescent="0.25">
      <c r="A571" s="2">
        <v>496008</v>
      </c>
      <c r="B571" s="2">
        <v>48129</v>
      </c>
      <c r="C571" s="2" t="s">
        <v>630</v>
      </c>
      <c r="D571" s="2">
        <v>2</v>
      </c>
      <c r="E571" s="3">
        <v>40206.525000000001</v>
      </c>
      <c r="F571" s="2">
        <v>6.75</v>
      </c>
      <c r="G571" s="2">
        <v>14911</v>
      </c>
      <c r="H571" s="2" t="s">
        <v>11</v>
      </c>
    </row>
    <row r="572" spans="1:8" x14ac:dyDescent="0.25">
      <c r="A572" s="2">
        <v>535680</v>
      </c>
      <c r="B572" s="2">
        <v>21670</v>
      </c>
      <c r="C572" s="2" t="s">
        <v>631</v>
      </c>
      <c r="D572" s="2">
        <v>12</v>
      </c>
      <c r="E572" s="3">
        <v>40510.517361111109</v>
      </c>
      <c r="F572" s="2">
        <v>1.25</v>
      </c>
      <c r="G572" s="2">
        <v>17001</v>
      </c>
      <c r="H572" s="2" t="s">
        <v>9</v>
      </c>
    </row>
    <row r="573" spans="1:8" x14ac:dyDescent="0.25">
      <c r="A573" s="2">
        <v>498121</v>
      </c>
      <c r="B573" s="2">
        <v>48129</v>
      </c>
      <c r="C573" s="2" t="s">
        <v>630</v>
      </c>
      <c r="D573" s="2">
        <v>5</v>
      </c>
      <c r="E573" s="3">
        <v>40225.643750000003</v>
      </c>
      <c r="F573" s="2">
        <v>7.49</v>
      </c>
      <c r="G573" s="2">
        <v>17351</v>
      </c>
      <c r="H573" s="2" t="s">
        <v>57</v>
      </c>
    </row>
    <row r="574" spans="1:8" x14ac:dyDescent="0.25">
      <c r="A574" s="2">
        <v>491998</v>
      </c>
      <c r="B574" s="2">
        <v>21041</v>
      </c>
      <c r="C574" s="2" t="s">
        <v>632</v>
      </c>
      <c r="D574" s="2">
        <v>6</v>
      </c>
      <c r="E574" s="3">
        <v>40162.464583333327</v>
      </c>
      <c r="F574" s="2">
        <v>2.95</v>
      </c>
      <c r="G574" s="2">
        <v>16858</v>
      </c>
      <c r="H574" s="2" t="s">
        <v>9</v>
      </c>
    </row>
    <row r="575" spans="1:8" x14ac:dyDescent="0.25">
      <c r="A575" s="2">
        <v>530796</v>
      </c>
      <c r="B575" s="2">
        <v>84915</v>
      </c>
      <c r="C575" s="2" t="s">
        <v>633</v>
      </c>
      <c r="D575" s="2">
        <v>1</v>
      </c>
      <c r="E575" s="3">
        <v>40486.518750000003</v>
      </c>
      <c r="F575" s="2">
        <v>5.95</v>
      </c>
      <c r="G575" s="2">
        <v>16391</v>
      </c>
      <c r="H575" s="2" t="s">
        <v>9</v>
      </c>
    </row>
    <row r="576" spans="1:8" x14ac:dyDescent="0.25">
      <c r="A576" s="2">
        <v>491395</v>
      </c>
      <c r="B576" s="2">
        <v>21737</v>
      </c>
      <c r="C576" s="2" t="s">
        <v>453</v>
      </c>
      <c r="D576" s="2" t="s">
        <v>330</v>
      </c>
      <c r="E576" s="3">
        <v>40157.6875</v>
      </c>
      <c r="F576" s="2">
        <v>19.95</v>
      </c>
      <c r="G576" s="2">
        <v>16901</v>
      </c>
      <c r="H576" s="2" t="s">
        <v>9</v>
      </c>
    </row>
    <row r="577" spans="1:8" x14ac:dyDescent="0.25">
      <c r="A577" s="2">
        <v>515313</v>
      </c>
      <c r="B577" s="2">
        <v>21272</v>
      </c>
      <c r="C577" s="2" t="s">
        <v>634</v>
      </c>
      <c r="D577" s="2">
        <v>2</v>
      </c>
      <c r="E577" s="3">
        <v>40370.436111111107</v>
      </c>
      <c r="F577" s="2">
        <v>1.25</v>
      </c>
      <c r="G577" s="2">
        <v>15164</v>
      </c>
      <c r="H577" s="2" t="s">
        <v>9</v>
      </c>
    </row>
    <row r="578" spans="1:8" x14ac:dyDescent="0.25">
      <c r="A578" s="2">
        <v>531478</v>
      </c>
      <c r="B578" s="2">
        <v>22910</v>
      </c>
      <c r="C578" s="2" t="s">
        <v>533</v>
      </c>
      <c r="D578" s="2">
        <v>6</v>
      </c>
      <c r="E578" s="2" t="s">
        <v>635</v>
      </c>
      <c r="F578" s="2">
        <v>2.95</v>
      </c>
      <c r="G578" s="2">
        <v>17084</v>
      </c>
      <c r="H578" s="2" t="s">
        <v>9</v>
      </c>
    </row>
    <row r="579" spans="1:8" x14ac:dyDescent="0.25">
      <c r="A579" s="2">
        <v>535467</v>
      </c>
      <c r="B579" s="2" t="s">
        <v>153</v>
      </c>
      <c r="C579" s="2" t="s">
        <v>154</v>
      </c>
      <c r="D579" s="2">
        <v>12</v>
      </c>
      <c r="E579" s="3">
        <v>40508.55972222222</v>
      </c>
      <c r="F579" s="2">
        <v>2.95</v>
      </c>
      <c r="G579" s="2">
        <v>15081</v>
      </c>
      <c r="H579" s="2" t="s">
        <v>9</v>
      </c>
    </row>
    <row r="580" spans="1:8" x14ac:dyDescent="0.25">
      <c r="A580" s="2">
        <v>499123</v>
      </c>
      <c r="B580" s="2">
        <v>84050</v>
      </c>
      <c r="C580" s="2" t="s">
        <v>520</v>
      </c>
      <c r="D580" s="2">
        <v>6</v>
      </c>
      <c r="E580" s="3">
        <v>40233.677083333343</v>
      </c>
      <c r="F580" s="2">
        <v>1.65</v>
      </c>
      <c r="G580" s="2">
        <v>14556</v>
      </c>
      <c r="H580" s="2" t="s">
        <v>9</v>
      </c>
    </row>
    <row r="581" spans="1:8" x14ac:dyDescent="0.25">
      <c r="A581" s="2">
        <v>509413</v>
      </c>
      <c r="B581" s="2">
        <v>22327</v>
      </c>
      <c r="C581" s="2" t="s">
        <v>636</v>
      </c>
      <c r="D581" s="2">
        <v>3</v>
      </c>
      <c r="E581" s="3">
        <v>40321.519444444442</v>
      </c>
      <c r="F581" s="2">
        <v>2.95</v>
      </c>
      <c r="G581" s="2">
        <v>17920</v>
      </c>
      <c r="H581" s="2" t="s">
        <v>9</v>
      </c>
    </row>
    <row r="582" spans="1:8" x14ac:dyDescent="0.25">
      <c r="A582" s="2">
        <v>517518</v>
      </c>
      <c r="B582" s="2">
        <v>85178</v>
      </c>
      <c r="C582" s="2" t="s">
        <v>597</v>
      </c>
      <c r="D582" s="2">
        <v>12</v>
      </c>
      <c r="E582" s="3">
        <v>40388.579861111109</v>
      </c>
      <c r="F582" s="2">
        <v>1.25</v>
      </c>
      <c r="G582" s="2">
        <v>13013</v>
      </c>
      <c r="H582" s="2" t="s">
        <v>9</v>
      </c>
    </row>
    <row r="583" spans="1:8" x14ac:dyDescent="0.25">
      <c r="A583" s="2">
        <v>490871</v>
      </c>
      <c r="B583" s="2">
        <v>21904</v>
      </c>
      <c r="C583" s="2" t="s">
        <v>637</v>
      </c>
      <c r="D583" s="2">
        <v>3</v>
      </c>
      <c r="E583" s="3">
        <v>40155.537499999999</v>
      </c>
      <c r="F583" s="2">
        <v>2.1</v>
      </c>
      <c r="G583" s="2">
        <v>15456</v>
      </c>
      <c r="H583" s="2" t="s">
        <v>9</v>
      </c>
    </row>
    <row r="584" spans="1:8" x14ac:dyDescent="0.25">
      <c r="A584" s="2">
        <v>526230</v>
      </c>
      <c r="B584" s="2" t="s">
        <v>638</v>
      </c>
      <c r="C584" s="2" t="s">
        <v>639</v>
      </c>
      <c r="D584" s="2">
        <v>6</v>
      </c>
      <c r="E584" s="3">
        <v>40461.643750000003</v>
      </c>
      <c r="F584" s="2">
        <v>2.95</v>
      </c>
      <c r="G584" s="2">
        <v>13362</v>
      </c>
      <c r="H584" s="2" t="s">
        <v>9</v>
      </c>
    </row>
    <row r="585" spans="1:8" x14ac:dyDescent="0.25">
      <c r="A585" s="2">
        <v>510191</v>
      </c>
      <c r="B585" s="2" t="s">
        <v>577</v>
      </c>
      <c r="C585" s="2" t="s">
        <v>578</v>
      </c>
      <c r="D585" s="2">
        <v>12</v>
      </c>
      <c r="E585" s="3">
        <v>40325.74722222222</v>
      </c>
      <c r="F585" s="2">
        <v>0.85</v>
      </c>
      <c r="G585" s="2">
        <v>16451</v>
      </c>
      <c r="H585" s="2" t="s">
        <v>9</v>
      </c>
    </row>
    <row r="586" spans="1:8" x14ac:dyDescent="0.25">
      <c r="A586" s="2">
        <v>530409</v>
      </c>
      <c r="B586" s="2">
        <v>22692</v>
      </c>
      <c r="C586" s="2" t="s">
        <v>640</v>
      </c>
      <c r="D586" s="2">
        <v>2</v>
      </c>
      <c r="E586" s="3">
        <v>40484.755555555559</v>
      </c>
      <c r="F586" s="2">
        <v>7.95</v>
      </c>
      <c r="G586" s="2">
        <v>16614</v>
      </c>
      <c r="H586" s="2" t="s">
        <v>9</v>
      </c>
    </row>
    <row r="587" spans="1:8" x14ac:dyDescent="0.25">
      <c r="A587" s="2">
        <v>521166</v>
      </c>
      <c r="B587" s="2">
        <v>22569</v>
      </c>
      <c r="C587" s="2" t="s">
        <v>56</v>
      </c>
      <c r="D587" s="2">
        <v>1</v>
      </c>
      <c r="E587" s="3">
        <v>40423.619444444441</v>
      </c>
      <c r="F587" s="2">
        <v>3.75</v>
      </c>
      <c r="G587" s="2">
        <v>17238</v>
      </c>
      <c r="H587" s="2" t="s">
        <v>9</v>
      </c>
    </row>
    <row r="588" spans="1:8" x14ac:dyDescent="0.25">
      <c r="A588" s="2">
        <v>505368</v>
      </c>
      <c r="B588" s="2">
        <v>22375</v>
      </c>
      <c r="C588" s="2" t="s">
        <v>641</v>
      </c>
      <c r="D588" s="2">
        <v>2</v>
      </c>
      <c r="E588" s="3">
        <v>40289.686111111107</v>
      </c>
      <c r="F588" s="2">
        <v>6.35</v>
      </c>
      <c r="G588" s="2">
        <v>14388</v>
      </c>
      <c r="H588" s="2" t="s">
        <v>9</v>
      </c>
    </row>
    <row r="589" spans="1:8" x14ac:dyDescent="0.25">
      <c r="A589" s="2">
        <v>512262</v>
      </c>
      <c r="B589" s="2">
        <v>84791</v>
      </c>
      <c r="C589" s="2" t="s">
        <v>642</v>
      </c>
      <c r="D589" s="2">
        <v>2</v>
      </c>
      <c r="E589" s="3">
        <v>40343.554166666669</v>
      </c>
      <c r="F589" s="2">
        <v>2.95</v>
      </c>
      <c r="G589" s="2">
        <v>16007</v>
      </c>
      <c r="H589" s="2" t="s">
        <v>9</v>
      </c>
    </row>
    <row r="590" spans="1:8" x14ac:dyDescent="0.25">
      <c r="A590" s="2">
        <v>519610</v>
      </c>
      <c r="B590" s="2" t="s">
        <v>643</v>
      </c>
      <c r="C590" s="2" t="s">
        <v>644</v>
      </c>
      <c r="D590" s="2">
        <v>2</v>
      </c>
      <c r="E590" s="3">
        <v>40408.70416666667</v>
      </c>
      <c r="F590" s="2">
        <v>2.5499999999999998</v>
      </c>
      <c r="G590" s="2">
        <v>15494</v>
      </c>
      <c r="H590" s="2" t="s">
        <v>9</v>
      </c>
    </row>
    <row r="591" spans="1:8" x14ac:dyDescent="0.25">
      <c r="A591" s="2">
        <v>512426</v>
      </c>
      <c r="B591" s="2" t="s">
        <v>577</v>
      </c>
      <c r="C591" s="2" t="s">
        <v>578</v>
      </c>
      <c r="D591" s="2">
        <v>12</v>
      </c>
      <c r="E591" s="3">
        <v>40344.625</v>
      </c>
      <c r="F591" s="2">
        <v>0.85</v>
      </c>
      <c r="G591" s="2">
        <v>13168</v>
      </c>
      <c r="H591" s="2" t="s">
        <v>9</v>
      </c>
    </row>
    <row r="592" spans="1:8" x14ac:dyDescent="0.25">
      <c r="A592" s="2">
        <v>527571</v>
      </c>
      <c r="B592" s="2">
        <v>22785</v>
      </c>
      <c r="C592" s="2" t="s">
        <v>645</v>
      </c>
      <c r="D592" s="2">
        <v>6</v>
      </c>
      <c r="E592" s="3">
        <v>40469.56527777778</v>
      </c>
      <c r="F592" s="2">
        <v>6.75</v>
      </c>
      <c r="G592" s="2">
        <v>17672</v>
      </c>
      <c r="H592" s="2" t="s">
        <v>9</v>
      </c>
    </row>
    <row r="593" spans="1:8" x14ac:dyDescent="0.25">
      <c r="A593" s="2" t="s">
        <v>646</v>
      </c>
      <c r="B593" s="2">
        <v>22646</v>
      </c>
      <c r="C593" s="2" t="s">
        <v>647</v>
      </c>
      <c r="D593" s="2">
        <v>12</v>
      </c>
      <c r="E593" s="3">
        <v>40360.400000000001</v>
      </c>
      <c r="F593" s="2">
        <v>1.45</v>
      </c>
      <c r="G593" s="2">
        <v>17146</v>
      </c>
      <c r="H593" s="2" t="s">
        <v>9</v>
      </c>
    </row>
    <row r="594" spans="1:8" x14ac:dyDescent="0.25">
      <c r="A594" s="2">
        <v>499067</v>
      </c>
      <c r="B594" s="2" t="s">
        <v>53</v>
      </c>
      <c r="C594" s="2" t="s">
        <v>54</v>
      </c>
      <c r="D594" s="2">
        <v>60</v>
      </c>
      <c r="E594" s="3">
        <v>40233.604166666657</v>
      </c>
      <c r="F594" s="2">
        <v>4.95</v>
      </c>
      <c r="G594" s="2">
        <v>14911</v>
      </c>
      <c r="H594" s="2" t="s">
        <v>11</v>
      </c>
    </row>
    <row r="595" spans="1:8" x14ac:dyDescent="0.25">
      <c r="A595" s="2">
        <v>500122</v>
      </c>
      <c r="B595" s="2">
        <v>21868</v>
      </c>
      <c r="C595" s="2" t="s">
        <v>563</v>
      </c>
      <c r="D595" s="2">
        <v>12</v>
      </c>
      <c r="E595" s="3">
        <v>40241.599305555559</v>
      </c>
      <c r="F595" s="2">
        <v>1.25</v>
      </c>
      <c r="G595" s="2">
        <v>14018</v>
      </c>
      <c r="H595" s="2" t="s">
        <v>9</v>
      </c>
    </row>
    <row r="596" spans="1:8" x14ac:dyDescent="0.25">
      <c r="A596" s="2">
        <v>535260</v>
      </c>
      <c r="B596" s="2" t="s">
        <v>648</v>
      </c>
      <c r="C596" s="2" t="s">
        <v>649</v>
      </c>
      <c r="D596" s="2">
        <v>1</v>
      </c>
      <c r="E596" s="3">
        <v>40507.555555555547</v>
      </c>
      <c r="F596" s="2">
        <v>1.65</v>
      </c>
      <c r="G596" s="2">
        <v>15021</v>
      </c>
      <c r="H596" s="2" t="s">
        <v>9</v>
      </c>
    </row>
    <row r="597" spans="1:8" x14ac:dyDescent="0.25">
      <c r="A597" s="2">
        <v>533318</v>
      </c>
      <c r="B597" s="2">
        <v>22176</v>
      </c>
      <c r="C597" s="2" t="s">
        <v>650</v>
      </c>
      <c r="D597" s="2">
        <v>12</v>
      </c>
      <c r="E597" s="3">
        <v>40498.724305555559</v>
      </c>
      <c r="F597" s="2">
        <v>2.95</v>
      </c>
      <c r="G597" s="2">
        <v>14828</v>
      </c>
      <c r="H597" s="2" t="s">
        <v>9</v>
      </c>
    </row>
    <row r="598" spans="1:8" x14ac:dyDescent="0.25">
      <c r="A598" s="2">
        <v>534705</v>
      </c>
      <c r="B598" s="2">
        <v>21248</v>
      </c>
      <c r="C598" s="2" t="s">
        <v>651</v>
      </c>
      <c r="D598" s="2">
        <v>4</v>
      </c>
      <c r="E598" s="3">
        <v>40505.694444444453</v>
      </c>
      <c r="F598" s="2">
        <v>1.45</v>
      </c>
      <c r="G598" s="2">
        <v>16242</v>
      </c>
      <c r="H598" s="2" t="s">
        <v>9</v>
      </c>
    </row>
    <row r="599" spans="1:8" x14ac:dyDescent="0.25">
      <c r="A599" s="2">
        <v>532391</v>
      </c>
      <c r="B599" s="2" t="s">
        <v>652</v>
      </c>
      <c r="C599" s="2" t="s">
        <v>601</v>
      </c>
      <c r="D599" s="2">
        <v>5</v>
      </c>
      <c r="E599" s="3">
        <v>40493.801388888889</v>
      </c>
      <c r="F599" s="2">
        <v>0.85</v>
      </c>
      <c r="G599" s="2">
        <v>16797</v>
      </c>
      <c r="H599" s="2" t="s">
        <v>9</v>
      </c>
    </row>
    <row r="600" spans="1:8" x14ac:dyDescent="0.25">
      <c r="A600" s="2">
        <v>525232</v>
      </c>
      <c r="B600" s="2">
        <v>22365</v>
      </c>
      <c r="C600" s="2" t="s">
        <v>653</v>
      </c>
      <c r="D600" s="2">
        <v>10</v>
      </c>
      <c r="E600" s="3">
        <v>40455.59097222222</v>
      </c>
      <c r="F600" s="2">
        <v>6.75</v>
      </c>
      <c r="G600" s="2" t="s">
        <v>654</v>
      </c>
      <c r="H600" s="2" t="s">
        <v>655</v>
      </c>
    </row>
    <row r="601" spans="1:8" x14ac:dyDescent="0.25">
      <c r="A601" s="2">
        <v>500751</v>
      </c>
      <c r="B601" s="2">
        <v>79320</v>
      </c>
      <c r="C601" s="2" t="s">
        <v>656</v>
      </c>
      <c r="D601" s="2">
        <v>4</v>
      </c>
      <c r="E601" s="3">
        <v>40247.434027777781</v>
      </c>
      <c r="F601" s="2">
        <v>4.95</v>
      </c>
      <c r="G601" s="2">
        <v>13081</v>
      </c>
      <c r="H601" s="2" t="s">
        <v>9</v>
      </c>
    </row>
    <row r="602" spans="1:8" x14ac:dyDescent="0.25">
      <c r="A602" s="2">
        <v>495546</v>
      </c>
      <c r="B602" s="2">
        <v>21790</v>
      </c>
      <c r="C602" s="2" t="s">
        <v>257</v>
      </c>
      <c r="D602" s="2">
        <v>6</v>
      </c>
      <c r="E602" s="3">
        <v>40203.662499999999</v>
      </c>
      <c r="F602" s="2">
        <v>0.85</v>
      </c>
      <c r="G602" s="2">
        <v>13206</v>
      </c>
      <c r="H602" s="2" t="s">
        <v>9</v>
      </c>
    </row>
    <row r="603" spans="1:8" x14ac:dyDescent="0.25">
      <c r="A603" s="2">
        <v>489875</v>
      </c>
      <c r="B603" s="2">
        <v>21622</v>
      </c>
      <c r="C603" s="2" t="s">
        <v>89</v>
      </c>
      <c r="D603" s="2">
        <v>3</v>
      </c>
      <c r="E603" s="3">
        <v>40149.65347222222</v>
      </c>
      <c r="F603" s="2">
        <v>4.95</v>
      </c>
      <c r="G603" s="2">
        <v>17841</v>
      </c>
      <c r="H603" s="2" t="s">
        <v>9</v>
      </c>
    </row>
    <row r="604" spans="1:8" x14ac:dyDescent="0.25">
      <c r="A604" s="2">
        <v>510138</v>
      </c>
      <c r="B604" s="2">
        <v>21155</v>
      </c>
      <c r="C604" s="2" t="s">
        <v>455</v>
      </c>
      <c r="D604" s="2">
        <v>6</v>
      </c>
      <c r="E604" s="3">
        <v>40325.515277777777</v>
      </c>
      <c r="F604" s="2">
        <v>2.1</v>
      </c>
      <c r="G604" s="2">
        <v>16946</v>
      </c>
      <c r="H604" s="2" t="s">
        <v>9</v>
      </c>
    </row>
    <row r="605" spans="1:8" x14ac:dyDescent="0.25">
      <c r="A605" s="2" t="s">
        <v>657</v>
      </c>
      <c r="B605" s="2">
        <v>20728</v>
      </c>
      <c r="C605" s="2" t="s">
        <v>658</v>
      </c>
      <c r="D605" s="2">
        <v>-50</v>
      </c>
      <c r="E605" s="3">
        <v>40422.536111111112</v>
      </c>
      <c r="F605" s="2">
        <v>1.45</v>
      </c>
      <c r="G605" s="2">
        <v>14156</v>
      </c>
      <c r="H605" s="2" t="s">
        <v>11</v>
      </c>
    </row>
    <row r="606" spans="1:8" x14ac:dyDescent="0.25">
      <c r="A606" s="2">
        <v>520738</v>
      </c>
      <c r="B606" s="2">
        <v>22147</v>
      </c>
      <c r="C606" s="2" t="s">
        <v>659</v>
      </c>
      <c r="D606" s="2">
        <v>12</v>
      </c>
      <c r="E606" s="3">
        <v>40421.4</v>
      </c>
      <c r="F606" s="2">
        <v>1.45</v>
      </c>
      <c r="G606" s="2">
        <v>14837</v>
      </c>
      <c r="H606" s="2" t="s">
        <v>9</v>
      </c>
    </row>
    <row r="607" spans="1:8" x14ac:dyDescent="0.25">
      <c r="A607" s="2" t="s">
        <v>660</v>
      </c>
      <c r="B607" s="2">
        <v>85042</v>
      </c>
      <c r="C607" s="2" t="s">
        <v>661</v>
      </c>
      <c r="D607" s="2">
        <v>-1</v>
      </c>
      <c r="E607" s="3">
        <v>40359.495833333327</v>
      </c>
      <c r="F607" s="2">
        <v>4.95</v>
      </c>
      <c r="G607" s="2">
        <v>14555</v>
      </c>
      <c r="H607" s="2" t="s">
        <v>9</v>
      </c>
    </row>
    <row r="608" spans="1:8" x14ac:dyDescent="0.25">
      <c r="A608" s="2">
        <v>537400</v>
      </c>
      <c r="B608" s="2">
        <v>82551</v>
      </c>
      <c r="C608" s="2" t="s">
        <v>662</v>
      </c>
      <c r="D608" s="2">
        <v>1</v>
      </c>
      <c r="E608" s="3">
        <v>40518.60833333333</v>
      </c>
      <c r="F608" s="2">
        <v>1.45</v>
      </c>
      <c r="G608" s="2">
        <v>17191</v>
      </c>
      <c r="H608" s="2" t="s">
        <v>9</v>
      </c>
    </row>
    <row r="609" spans="1:8" x14ac:dyDescent="0.25">
      <c r="A609" s="2">
        <v>527309</v>
      </c>
      <c r="B609" s="2">
        <v>22469</v>
      </c>
      <c r="C609" s="2" t="s">
        <v>663</v>
      </c>
      <c r="D609" s="2">
        <v>2</v>
      </c>
      <c r="E609" s="3">
        <v>40466.615972222222</v>
      </c>
      <c r="F609" s="2">
        <v>1.65</v>
      </c>
      <c r="G609" s="2">
        <v>13052</v>
      </c>
      <c r="H609" s="2" t="s">
        <v>9</v>
      </c>
    </row>
    <row r="610" spans="1:8" x14ac:dyDescent="0.25">
      <c r="A610" s="2">
        <v>502055</v>
      </c>
      <c r="B610" s="2">
        <v>20773</v>
      </c>
      <c r="C610" s="2" t="s">
        <v>664</v>
      </c>
      <c r="D610" s="2">
        <v>2</v>
      </c>
      <c r="E610" s="3">
        <v>40259.604166666657</v>
      </c>
      <c r="F610" s="2">
        <v>1.65</v>
      </c>
      <c r="G610" s="2">
        <v>13357</v>
      </c>
    </row>
    <row r="611" spans="1:8" x14ac:dyDescent="0.25">
      <c r="A611" s="2">
        <v>534155</v>
      </c>
      <c r="B611" s="2">
        <v>20754</v>
      </c>
      <c r="C611" s="2" t="s">
        <v>665</v>
      </c>
      <c r="D611" s="2">
        <v>2</v>
      </c>
      <c r="E611" s="3">
        <v>40503.521527777782</v>
      </c>
      <c r="F611" s="2">
        <v>2.1</v>
      </c>
      <c r="G611" s="2">
        <v>17618</v>
      </c>
      <c r="H611" s="2" t="s">
        <v>9</v>
      </c>
    </row>
    <row r="612" spans="1:8" x14ac:dyDescent="0.25">
      <c r="A612" s="2">
        <v>504903</v>
      </c>
      <c r="B612" s="2">
        <v>84991</v>
      </c>
      <c r="C612" s="2" t="s">
        <v>666</v>
      </c>
      <c r="D612" s="2">
        <v>2</v>
      </c>
      <c r="E612" s="3">
        <v>40286.658333333333</v>
      </c>
      <c r="F612" s="2">
        <v>0.55000000000000004</v>
      </c>
      <c r="G612" s="2">
        <v>16549</v>
      </c>
      <c r="H612" s="2" t="s">
        <v>9</v>
      </c>
    </row>
    <row r="613" spans="1:8" x14ac:dyDescent="0.25">
      <c r="A613" s="2">
        <v>508496</v>
      </c>
      <c r="B613" s="2" t="s">
        <v>667</v>
      </c>
      <c r="C613" s="2" t="s">
        <v>668</v>
      </c>
      <c r="D613" s="2">
        <v>6</v>
      </c>
      <c r="E613" s="3">
        <v>40314.611805555563</v>
      </c>
      <c r="F613" s="2">
        <v>1.49</v>
      </c>
      <c r="G613" s="2">
        <v>16208</v>
      </c>
      <c r="H613" s="2" t="s">
        <v>9</v>
      </c>
    </row>
    <row r="614" spans="1:8" x14ac:dyDescent="0.25">
      <c r="A614" s="2">
        <v>519658</v>
      </c>
      <c r="B614" s="2">
        <v>21745</v>
      </c>
      <c r="C614" s="2" t="s">
        <v>669</v>
      </c>
      <c r="D614" s="2">
        <v>2</v>
      </c>
      <c r="E614" s="3">
        <v>40409.480555555558</v>
      </c>
      <c r="F614" s="2">
        <v>3.75</v>
      </c>
      <c r="G614" s="2">
        <v>16225</v>
      </c>
      <c r="H614" s="2" t="s">
        <v>9</v>
      </c>
    </row>
    <row r="615" spans="1:8" x14ac:dyDescent="0.25">
      <c r="A615" s="2">
        <v>492078</v>
      </c>
      <c r="B615" s="2">
        <v>21034</v>
      </c>
      <c r="C615" s="2" t="s">
        <v>414</v>
      </c>
      <c r="D615" s="2">
        <v>1</v>
      </c>
      <c r="E615" s="3">
        <v>40162.574999999997</v>
      </c>
      <c r="F615" s="2">
        <v>0.95</v>
      </c>
      <c r="G615" s="2">
        <v>14966</v>
      </c>
      <c r="H615" s="2" t="s">
        <v>9</v>
      </c>
    </row>
    <row r="616" spans="1:8" x14ac:dyDescent="0.25">
      <c r="A616" s="2">
        <v>535957</v>
      </c>
      <c r="B616" s="2">
        <v>22966</v>
      </c>
      <c r="C616" s="2" t="s">
        <v>670</v>
      </c>
      <c r="D616" s="2">
        <v>12</v>
      </c>
      <c r="E616" s="3">
        <v>40511.518055555563</v>
      </c>
      <c r="F616" s="2">
        <v>1.25</v>
      </c>
      <c r="G616" s="2">
        <v>13510</v>
      </c>
      <c r="H616" s="2" t="s">
        <v>9</v>
      </c>
    </row>
    <row r="617" spans="1:8" x14ac:dyDescent="0.25">
      <c r="A617" s="2">
        <v>499242</v>
      </c>
      <c r="B617" s="2">
        <v>22354</v>
      </c>
      <c r="C617" s="2" t="s">
        <v>671</v>
      </c>
      <c r="D617" s="2">
        <v>8</v>
      </c>
      <c r="E617" s="3">
        <v>40234.561805555553</v>
      </c>
      <c r="F617" s="2">
        <v>3.39</v>
      </c>
      <c r="G617" s="2">
        <v>17850</v>
      </c>
      <c r="H617" s="2" t="s">
        <v>9</v>
      </c>
    </row>
    <row r="618" spans="1:8" x14ac:dyDescent="0.25">
      <c r="A618" s="2">
        <v>529341</v>
      </c>
      <c r="B618" s="2">
        <v>22150</v>
      </c>
      <c r="C618" s="2" t="s">
        <v>392</v>
      </c>
      <c r="D618" s="2">
        <v>1</v>
      </c>
      <c r="E618" s="3">
        <v>40478.693055555559</v>
      </c>
      <c r="F618" s="2">
        <v>1.95</v>
      </c>
      <c r="G618" s="2">
        <v>17322</v>
      </c>
      <c r="H618" s="2" t="s">
        <v>9</v>
      </c>
    </row>
    <row r="619" spans="1:8" x14ac:dyDescent="0.25">
      <c r="A619" s="2">
        <v>535799</v>
      </c>
      <c r="B619" s="2">
        <v>22733</v>
      </c>
      <c r="C619" s="2" t="s">
        <v>150</v>
      </c>
      <c r="D619" s="2">
        <v>1</v>
      </c>
      <c r="E619" s="3">
        <v>40510.617361111108</v>
      </c>
      <c r="F619" s="2">
        <v>1.25</v>
      </c>
      <c r="G619" s="2">
        <v>16720</v>
      </c>
      <c r="H619" s="2" t="s">
        <v>9</v>
      </c>
    </row>
    <row r="620" spans="1:8" x14ac:dyDescent="0.25">
      <c r="A620" s="2">
        <v>522080</v>
      </c>
      <c r="B620" s="2">
        <v>84839</v>
      </c>
      <c r="C620" s="2" t="s">
        <v>130</v>
      </c>
      <c r="D620" s="2">
        <v>1</v>
      </c>
      <c r="E620" s="3">
        <v>40433.486805555563</v>
      </c>
      <c r="F620" s="2">
        <v>6.75</v>
      </c>
      <c r="G620" s="2">
        <v>14525</v>
      </c>
      <c r="H620" s="2" t="s">
        <v>132</v>
      </c>
    </row>
    <row r="621" spans="1:8" x14ac:dyDescent="0.25">
      <c r="A621" s="2">
        <v>531900</v>
      </c>
      <c r="B621" s="2">
        <v>21107</v>
      </c>
      <c r="C621" s="2" t="s">
        <v>672</v>
      </c>
      <c r="D621" s="2">
        <v>1</v>
      </c>
      <c r="E621" s="3">
        <v>40492.502083333333</v>
      </c>
      <c r="F621" s="2">
        <v>2.95</v>
      </c>
      <c r="G621" s="2">
        <v>15031</v>
      </c>
      <c r="H621" s="2" t="s">
        <v>9</v>
      </c>
    </row>
    <row r="622" spans="1:8" x14ac:dyDescent="0.25">
      <c r="A622" s="2">
        <v>524174</v>
      </c>
      <c r="B622" s="2">
        <v>21393</v>
      </c>
      <c r="C622" s="2" t="s">
        <v>673</v>
      </c>
      <c r="D622" s="2">
        <v>2496</v>
      </c>
      <c r="E622" s="2" t="s">
        <v>674</v>
      </c>
      <c r="F622" s="2">
        <v>0.13</v>
      </c>
      <c r="G622" s="2">
        <v>13687</v>
      </c>
      <c r="H622" s="2" t="s">
        <v>9</v>
      </c>
    </row>
    <row r="623" spans="1:8" x14ac:dyDescent="0.25">
      <c r="A623" s="2">
        <v>523149</v>
      </c>
      <c r="B623" s="2">
        <v>82583</v>
      </c>
      <c r="C623" s="2" t="s">
        <v>675</v>
      </c>
      <c r="D623" s="2">
        <v>2</v>
      </c>
      <c r="E623" s="3">
        <v>40441.617361111108</v>
      </c>
      <c r="F623" s="2">
        <v>2.1</v>
      </c>
      <c r="G623" s="2">
        <v>17585</v>
      </c>
      <c r="H623" s="2" t="s">
        <v>9</v>
      </c>
    </row>
    <row r="624" spans="1:8" x14ac:dyDescent="0.25">
      <c r="A624" s="2">
        <v>501730</v>
      </c>
      <c r="B624" s="2">
        <v>22383</v>
      </c>
      <c r="C624" s="2" t="s">
        <v>676</v>
      </c>
      <c r="D624" s="2">
        <v>6</v>
      </c>
      <c r="E624" s="3">
        <v>40256.461805555547</v>
      </c>
      <c r="F624" s="2">
        <v>1.65</v>
      </c>
      <c r="G624" s="2">
        <v>14159</v>
      </c>
      <c r="H624" s="2" t="s">
        <v>9</v>
      </c>
    </row>
    <row r="625" spans="1:8" x14ac:dyDescent="0.25">
      <c r="A625" s="2">
        <v>506909</v>
      </c>
      <c r="B625" s="2">
        <v>21071</v>
      </c>
      <c r="C625" s="2" t="s">
        <v>677</v>
      </c>
      <c r="D625" s="2">
        <v>12</v>
      </c>
      <c r="E625" s="3">
        <v>40303.449305555558</v>
      </c>
      <c r="F625" s="2">
        <v>1.25</v>
      </c>
      <c r="G625" s="2">
        <v>18061</v>
      </c>
      <c r="H625" s="2" t="s">
        <v>9</v>
      </c>
    </row>
    <row r="626" spans="1:8" x14ac:dyDescent="0.25">
      <c r="A626" s="2">
        <v>514023</v>
      </c>
      <c r="B626" s="2">
        <v>21160</v>
      </c>
      <c r="C626" s="2" t="s">
        <v>678</v>
      </c>
      <c r="D626" s="2">
        <v>1</v>
      </c>
      <c r="E626" s="3">
        <v>40359.463888888888</v>
      </c>
      <c r="F626" s="2">
        <v>1.45</v>
      </c>
      <c r="G626" s="2">
        <v>14530</v>
      </c>
      <c r="H626" s="2" t="s">
        <v>9</v>
      </c>
    </row>
    <row r="627" spans="1:8" x14ac:dyDescent="0.25">
      <c r="A627" s="2">
        <v>498400</v>
      </c>
      <c r="B627" s="2">
        <v>22384</v>
      </c>
      <c r="C627" s="2" t="s">
        <v>305</v>
      </c>
      <c r="D627" s="2">
        <v>4</v>
      </c>
      <c r="E627" s="3">
        <v>40227.647916666669</v>
      </c>
      <c r="F627" s="2">
        <v>1.65</v>
      </c>
      <c r="G627" s="2">
        <v>15005</v>
      </c>
      <c r="H627" s="2" t="s">
        <v>9</v>
      </c>
    </row>
    <row r="628" spans="1:8" x14ac:dyDescent="0.25">
      <c r="A628" s="2">
        <v>511300</v>
      </c>
      <c r="B628" s="2">
        <v>22425</v>
      </c>
      <c r="C628" s="2" t="s">
        <v>679</v>
      </c>
      <c r="D628" s="2">
        <v>1</v>
      </c>
      <c r="E628" s="3">
        <v>40336.646527777782</v>
      </c>
      <c r="F628" s="2">
        <v>4.95</v>
      </c>
      <c r="G628" s="2">
        <v>16788</v>
      </c>
      <c r="H628" s="2" t="s">
        <v>9</v>
      </c>
    </row>
    <row r="629" spans="1:8" x14ac:dyDescent="0.25">
      <c r="A629" s="2">
        <v>500498</v>
      </c>
      <c r="B629" s="2">
        <v>48138</v>
      </c>
      <c r="C629" s="2" t="s">
        <v>183</v>
      </c>
      <c r="D629" s="2">
        <v>2</v>
      </c>
      <c r="E629" s="3">
        <v>40245.553472222222</v>
      </c>
      <c r="F629" s="2">
        <v>7.49</v>
      </c>
      <c r="G629" s="2">
        <v>17672</v>
      </c>
      <c r="H629" s="2" t="s">
        <v>9</v>
      </c>
    </row>
    <row r="630" spans="1:8" x14ac:dyDescent="0.25">
      <c r="A630" s="2">
        <v>513050</v>
      </c>
      <c r="B630" s="2">
        <v>22081</v>
      </c>
      <c r="C630" s="2" t="s">
        <v>680</v>
      </c>
      <c r="D630" s="2">
        <v>2</v>
      </c>
      <c r="E630" s="3">
        <v>40350.554166666669</v>
      </c>
      <c r="F630" s="2">
        <v>1.65</v>
      </c>
      <c r="G630" s="2">
        <v>14493</v>
      </c>
      <c r="H630" s="2" t="s">
        <v>9</v>
      </c>
    </row>
    <row r="631" spans="1:8" x14ac:dyDescent="0.25">
      <c r="A631" s="2">
        <v>528618</v>
      </c>
      <c r="B631" s="2">
        <v>72133</v>
      </c>
      <c r="C631" s="2" t="s">
        <v>681</v>
      </c>
      <c r="D631" s="2">
        <v>2</v>
      </c>
      <c r="E631" s="3">
        <v>40473.713194444441</v>
      </c>
      <c r="F631" s="2">
        <v>1.25</v>
      </c>
      <c r="G631" s="2">
        <v>13263</v>
      </c>
      <c r="H631" s="2" t="s">
        <v>9</v>
      </c>
    </row>
    <row r="632" spans="1:8" x14ac:dyDescent="0.25">
      <c r="A632" s="2">
        <v>520176</v>
      </c>
      <c r="B632" s="2">
        <v>21931</v>
      </c>
      <c r="C632" s="2" t="s">
        <v>434</v>
      </c>
      <c r="D632" s="2">
        <v>20</v>
      </c>
      <c r="E632" s="3">
        <v>40414.561111111107</v>
      </c>
      <c r="F632" s="2">
        <v>1.95</v>
      </c>
      <c r="G632" s="2">
        <v>15615</v>
      </c>
      <c r="H632" s="2" t="s">
        <v>9</v>
      </c>
    </row>
    <row r="633" spans="1:8" x14ac:dyDescent="0.25">
      <c r="A633" s="2">
        <v>504183</v>
      </c>
      <c r="B633" s="2" t="s">
        <v>277</v>
      </c>
      <c r="C633" s="2" t="s">
        <v>682</v>
      </c>
      <c r="D633" s="2">
        <v>10</v>
      </c>
      <c r="E633" s="3">
        <v>40280.384027777778</v>
      </c>
      <c r="F633" s="2">
        <v>1.95</v>
      </c>
      <c r="G633" s="2">
        <v>13418</v>
      </c>
      <c r="H633" s="2" t="s">
        <v>9</v>
      </c>
    </row>
    <row r="634" spans="1:8" x14ac:dyDescent="0.25">
      <c r="A634" s="2" t="s">
        <v>683</v>
      </c>
      <c r="B634" s="2">
        <v>84975</v>
      </c>
      <c r="C634" s="2" t="s">
        <v>416</v>
      </c>
      <c r="D634" s="2">
        <v>6</v>
      </c>
      <c r="E634" s="3">
        <v>40241.522222222222</v>
      </c>
      <c r="F634" s="2">
        <v>1.69</v>
      </c>
      <c r="G634" s="2">
        <v>16771</v>
      </c>
      <c r="H634" s="2" t="s">
        <v>9</v>
      </c>
    </row>
    <row r="635" spans="1:8" x14ac:dyDescent="0.25">
      <c r="A635" s="2">
        <v>525104</v>
      </c>
      <c r="B635" s="2">
        <v>22162</v>
      </c>
      <c r="C635" s="2" t="s">
        <v>351</v>
      </c>
      <c r="D635" s="2">
        <v>8</v>
      </c>
      <c r="E635" s="3">
        <v>40455.436805555553</v>
      </c>
      <c r="F635" s="2">
        <v>2.95</v>
      </c>
      <c r="G635" s="2">
        <v>16476</v>
      </c>
      <c r="H635" s="2" t="s">
        <v>9</v>
      </c>
    </row>
    <row r="636" spans="1:8" x14ac:dyDescent="0.25">
      <c r="A636" s="2">
        <v>512560</v>
      </c>
      <c r="B636" s="2" t="s">
        <v>684</v>
      </c>
      <c r="C636" s="2" t="s">
        <v>685</v>
      </c>
      <c r="D636" s="2">
        <v>4</v>
      </c>
      <c r="E636" s="3">
        <v>40345.602777777778</v>
      </c>
      <c r="F636" s="2">
        <v>0.85</v>
      </c>
      <c r="G636" s="2">
        <v>17931</v>
      </c>
      <c r="H636" s="2" t="s">
        <v>9</v>
      </c>
    </row>
    <row r="637" spans="1:8" x14ac:dyDescent="0.25">
      <c r="A637" s="2">
        <v>521222</v>
      </c>
      <c r="B637" s="2">
        <v>85063</v>
      </c>
      <c r="C637" s="2" t="s">
        <v>686</v>
      </c>
      <c r="D637" s="2">
        <v>1</v>
      </c>
      <c r="E637" s="3">
        <v>40424.443749999999</v>
      </c>
      <c r="F637" s="2">
        <v>16.95</v>
      </c>
      <c r="G637" s="2">
        <v>17287</v>
      </c>
      <c r="H637" s="2" t="s">
        <v>9</v>
      </c>
    </row>
    <row r="638" spans="1:8" x14ac:dyDescent="0.25">
      <c r="A638" s="2">
        <v>530742</v>
      </c>
      <c r="B638" s="2">
        <v>21804</v>
      </c>
      <c r="C638" s="2" t="s">
        <v>687</v>
      </c>
      <c r="D638" s="2">
        <v>6</v>
      </c>
      <c r="E638" s="3">
        <v>40486.495138888888</v>
      </c>
      <c r="F638" s="2">
        <v>3.75</v>
      </c>
      <c r="G638" s="2">
        <v>14136</v>
      </c>
      <c r="H638" s="2" t="s">
        <v>9</v>
      </c>
    </row>
    <row r="639" spans="1:8" x14ac:dyDescent="0.25">
      <c r="A639" s="2">
        <v>509453</v>
      </c>
      <c r="B639" s="2">
        <v>22077</v>
      </c>
      <c r="C639" s="2" t="s">
        <v>196</v>
      </c>
      <c r="D639" s="2">
        <v>12</v>
      </c>
      <c r="E639" s="3">
        <v>40322.40902777778</v>
      </c>
      <c r="F639" s="2">
        <v>1.65</v>
      </c>
      <c r="G639" s="2">
        <v>13381</v>
      </c>
      <c r="H639" s="2" t="s">
        <v>9</v>
      </c>
    </row>
    <row r="640" spans="1:8" x14ac:dyDescent="0.25">
      <c r="A640" s="2">
        <v>501508</v>
      </c>
      <c r="B640" s="2">
        <v>20725</v>
      </c>
      <c r="C640" s="2" t="s">
        <v>688</v>
      </c>
      <c r="D640" s="2">
        <v>10</v>
      </c>
      <c r="E640" s="3">
        <v>40254.481249999997</v>
      </c>
      <c r="F640" s="2">
        <v>1.45</v>
      </c>
      <c r="G640" s="2">
        <v>17448</v>
      </c>
      <c r="H640" s="2" t="s">
        <v>9</v>
      </c>
    </row>
    <row r="641" spans="1:8" x14ac:dyDescent="0.25">
      <c r="A641" s="2">
        <v>529597</v>
      </c>
      <c r="B641" s="2">
        <v>21791</v>
      </c>
      <c r="C641" s="2" t="s">
        <v>689</v>
      </c>
      <c r="D641" s="2">
        <v>24</v>
      </c>
      <c r="E641" s="3">
        <v>40480.366666666669</v>
      </c>
      <c r="F641" s="2">
        <v>1.25</v>
      </c>
      <c r="G641" s="2">
        <v>17675</v>
      </c>
      <c r="H641" s="2" t="s">
        <v>9</v>
      </c>
    </row>
    <row r="642" spans="1:8" x14ac:dyDescent="0.25">
      <c r="A642" s="2">
        <v>496313</v>
      </c>
      <c r="B642" s="2">
        <v>21892</v>
      </c>
      <c r="C642" s="2" t="s">
        <v>86</v>
      </c>
      <c r="D642" s="2">
        <v>9</v>
      </c>
      <c r="E642" s="3">
        <v>40209.510416666657</v>
      </c>
      <c r="F642" s="2">
        <v>1.25</v>
      </c>
      <c r="G642" s="2">
        <v>15013</v>
      </c>
      <c r="H642" s="2" t="s">
        <v>9</v>
      </c>
    </row>
    <row r="643" spans="1:8" x14ac:dyDescent="0.25">
      <c r="A643" s="2">
        <v>536874</v>
      </c>
      <c r="B643" s="2" t="s">
        <v>690</v>
      </c>
      <c r="C643" s="2" t="s">
        <v>691</v>
      </c>
      <c r="D643" s="2">
        <v>1</v>
      </c>
      <c r="E643" s="3">
        <v>40515.482638888891</v>
      </c>
      <c r="F643" s="2">
        <v>0.42</v>
      </c>
      <c r="G643" s="2">
        <v>16891</v>
      </c>
      <c r="H643" s="2" t="s">
        <v>9</v>
      </c>
    </row>
    <row r="644" spans="1:8" x14ac:dyDescent="0.25">
      <c r="A644" s="2">
        <v>511105</v>
      </c>
      <c r="B644" s="2">
        <v>21238</v>
      </c>
      <c r="C644" s="2" t="s">
        <v>692</v>
      </c>
      <c r="D644" s="2">
        <v>8</v>
      </c>
      <c r="E644" s="3">
        <v>40336.400694444441</v>
      </c>
      <c r="F644" s="2">
        <v>0.85</v>
      </c>
      <c r="G644" s="2">
        <v>13815</v>
      </c>
      <c r="H644" s="2" t="s">
        <v>17</v>
      </c>
    </row>
    <row r="645" spans="1:8" x14ac:dyDescent="0.25">
      <c r="A645" s="2">
        <v>524856</v>
      </c>
      <c r="B645" s="2">
        <v>20971</v>
      </c>
      <c r="C645" s="2" t="s">
        <v>693</v>
      </c>
      <c r="D645" s="2">
        <v>4</v>
      </c>
      <c r="E645" s="3">
        <v>40451.821527777778</v>
      </c>
      <c r="F645" s="2">
        <v>1.25</v>
      </c>
      <c r="G645" s="2">
        <v>14713</v>
      </c>
      <c r="H645" s="2" t="s">
        <v>9</v>
      </c>
    </row>
    <row r="646" spans="1:8" x14ac:dyDescent="0.25">
      <c r="A646" s="2">
        <v>533293</v>
      </c>
      <c r="B646" s="2">
        <v>21212</v>
      </c>
      <c r="C646" s="2" t="s">
        <v>497</v>
      </c>
      <c r="D646" s="2">
        <v>24</v>
      </c>
      <c r="E646" s="2" t="s">
        <v>694</v>
      </c>
      <c r="F646" s="2">
        <v>0.55000000000000004</v>
      </c>
      <c r="G646" s="2">
        <v>16145</v>
      </c>
      <c r="H646" s="2" t="s">
        <v>9</v>
      </c>
    </row>
    <row r="647" spans="1:8" x14ac:dyDescent="0.25">
      <c r="A647" s="2">
        <v>511136</v>
      </c>
      <c r="B647" s="2">
        <v>22479</v>
      </c>
      <c r="C647" s="2" t="s">
        <v>695</v>
      </c>
      <c r="D647" s="2">
        <v>10</v>
      </c>
      <c r="E647" s="3">
        <v>40336.484722222223</v>
      </c>
      <c r="F647" s="2">
        <v>1.25</v>
      </c>
      <c r="G647" s="2">
        <v>17897</v>
      </c>
      <c r="H647" s="2" t="s">
        <v>9</v>
      </c>
    </row>
    <row r="648" spans="1:8" x14ac:dyDescent="0.25">
      <c r="A648" s="2">
        <v>517513</v>
      </c>
      <c r="B648" s="2">
        <v>22139</v>
      </c>
      <c r="C648" s="2" t="s">
        <v>135</v>
      </c>
      <c r="D648" s="2">
        <v>4</v>
      </c>
      <c r="E648" s="3">
        <v>40388.561111111107</v>
      </c>
      <c r="F648" s="2">
        <v>4.95</v>
      </c>
      <c r="G648" s="2">
        <v>15023</v>
      </c>
      <c r="H648" s="2" t="s">
        <v>9</v>
      </c>
    </row>
    <row r="649" spans="1:8" x14ac:dyDescent="0.25">
      <c r="A649" s="2">
        <v>510936</v>
      </c>
      <c r="B649" s="2">
        <v>22090</v>
      </c>
      <c r="C649" s="2" t="s">
        <v>538</v>
      </c>
      <c r="D649" s="2">
        <v>12</v>
      </c>
      <c r="E649" s="3">
        <v>40333.440972222219</v>
      </c>
      <c r="F649" s="2">
        <v>2.95</v>
      </c>
      <c r="G649" s="2">
        <v>12701</v>
      </c>
      <c r="H649" s="2" t="s">
        <v>17</v>
      </c>
    </row>
    <row r="650" spans="1:8" x14ac:dyDescent="0.25">
      <c r="A650" s="2">
        <v>536263</v>
      </c>
      <c r="B650" s="2">
        <v>21484</v>
      </c>
      <c r="C650" s="2" t="s">
        <v>421</v>
      </c>
      <c r="D650" s="2">
        <v>12</v>
      </c>
      <c r="E650" s="3">
        <v>40512.65347222222</v>
      </c>
      <c r="F650" s="2">
        <v>3.45</v>
      </c>
      <c r="G650" s="2">
        <v>15160</v>
      </c>
      <c r="H650" s="2" t="s">
        <v>9</v>
      </c>
    </row>
    <row r="651" spans="1:8" x14ac:dyDescent="0.25">
      <c r="A651" s="2">
        <v>532297</v>
      </c>
      <c r="B651" s="2">
        <v>37340</v>
      </c>
      <c r="C651" s="2" t="s">
        <v>696</v>
      </c>
      <c r="D651" s="2">
        <v>6</v>
      </c>
      <c r="E651" s="3">
        <v>40493.576388888891</v>
      </c>
      <c r="F651" s="2">
        <v>0.85</v>
      </c>
      <c r="G651" s="2">
        <v>13979</v>
      </c>
      <c r="H651" s="2" t="s">
        <v>9</v>
      </c>
    </row>
    <row r="652" spans="1:8" x14ac:dyDescent="0.25">
      <c r="A652" s="2">
        <v>490158</v>
      </c>
      <c r="B652" s="2">
        <v>20679</v>
      </c>
      <c r="C652" s="2" t="s">
        <v>697</v>
      </c>
      <c r="D652" s="2">
        <v>3</v>
      </c>
      <c r="E652" s="3">
        <v>40151.449305555558</v>
      </c>
      <c r="F652" s="2">
        <v>5.95</v>
      </c>
      <c r="G652" s="2">
        <v>12759</v>
      </c>
      <c r="H652" s="2" t="s">
        <v>116</v>
      </c>
    </row>
    <row r="653" spans="1:8" x14ac:dyDescent="0.25">
      <c r="A653" s="2">
        <v>509965</v>
      </c>
      <c r="B653" s="2">
        <v>82582</v>
      </c>
      <c r="C653" s="2" t="s">
        <v>698</v>
      </c>
      <c r="D653" s="2">
        <v>6</v>
      </c>
      <c r="E653" s="3">
        <v>40324.553472222222</v>
      </c>
      <c r="F653" s="2" t="s">
        <v>190</v>
      </c>
      <c r="G653" s="2">
        <v>15078</v>
      </c>
      <c r="H653" s="2" t="s">
        <v>9</v>
      </c>
    </row>
    <row r="654" spans="1:8" x14ac:dyDescent="0.25">
      <c r="A654" s="2">
        <v>536856</v>
      </c>
      <c r="B654" s="2">
        <v>22697</v>
      </c>
      <c r="C654" s="2" t="s">
        <v>699</v>
      </c>
      <c r="D654" s="2">
        <v>6</v>
      </c>
      <c r="E654" s="3">
        <v>40515.43472222222</v>
      </c>
      <c r="F654" s="2">
        <v>2.95</v>
      </c>
      <c r="G654" s="2">
        <v>13370</v>
      </c>
      <c r="H654" s="2" t="s">
        <v>9</v>
      </c>
    </row>
    <row r="655" spans="1:8" x14ac:dyDescent="0.25">
      <c r="A655" s="2">
        <v>535283</v>
      </c>
      <c r="B655" s="2">
        <v>85175</v>
      </c>
      <c r="C655" s="2" t="s">
        <v>700</v>
      </c>
      <c r="D655" s="2">
        <v>16</v>
      </c>
      <c r="E655" s="3">
        <v>40507.595833333333</v>
      </c>
      <c r="F655" s="2">
        <v>0.42</v>
      </c>
      <c r="G655" s="2">
        <v>14443</v>
      </c>
      <c r="H655" s="2" t="s">
        <v>9</v>
      </c>
    </row>
    <row r="656" spans="1:8" x14ac:dyDescent="0.25">
      <c r="A656" s="2">
        <v>519610</v>
      </c>
      <c r="B656" s="2" t="s">
        <v>701</v>
      </c>
      <c r="C656" s="2" t="s">
        <v>702</v>
      </c>
      <c r="D656" s="2">
        <v>9</v>
      </c>
      <c r="E656" s="3">
        <v>40408.70416666667</v>
      </c>
      <c r="F656" s="2">
        <v>1.25</v>
      </c>
      <c r="G656" s="2">
        <v>15494</v>
      </c>
      <c r="H656" s="2" t="s">
        <v>9</v>
      </c>
    </row>
    <row r="657" spans="1:8" x14ac:dyDescent="0.25">
      <c r="A657" s="2">
        <v>512657</v>
      </c>
      <c r="B657" s="2">
        <v>21446</v>
      </c>
      <c r="C657" s="2" t="s">
        <v>703</v>
      </c>
      <c r="D657" s="2">
        <v>1</v>
      </c>
      <c r="E657" s="3">
        <v>40346.474305555559</v>
      </c>
      <c r="F657" s="2">
        <v>1.25</v>
      </c>
      <c r="G657" s="2" t="s">
        <v>704</v>
      </c>
      <c r="H657" s="2" t="s">
        <v>9</v>
      </c>
    </row>
    <row r="658" spans="1:8" x14ac:dyDescent="0.25">
      <c r="A658" s="2">
        <v>506029</v>
      </c>
      <c r="B658" s="2">
        <v>21210</v>
      </c>
      <c r="C658" s="2" t="s">
        <v>518</v>
      </c>
      <c r="D658" s="2">
        <v>6</v>
      </c>
      <c r="E658" s="3">
        <v>40295.486111111109</v>
      </c>
      <c r="F658" s="2">
        <v>1.45</v>
      </c>
      <c r="H658" s="2" t="s">
        <v>9</v>
      </c>
    </row>
    <row r="659" spans="1:8" x14ac:dyDescent="0.25">
      <c r="A659" s="2">
        <v>529339</v>
      </c>
      <c r="B659" s="2" t="s">
        <v>705</v>
      </c>
      <c r="C659" s="2" t="s">
        <v>706</v>
      </c>
      <c r="D659" s="2">
        <v>1</v>
      </c>
      <c r="E659" s="3">
        <v>40478.682638888888</v>
      </c>
      <c r="F659" s="2">
        <v>0.85</v>
      </c>
      <c r="G659" s="2">
        <v>16382</v>
      </c>
      <c r="H659" s="2" t="s">
        <v>9</v>
      </c>
    </row>
    <row r="660" spans="1:8" x14ac:dyDescent="0.25">
      <c r="A660" s="2">
        <v>518561</v>
      </c>
      <c r="B660" s="2">
        <v>21106</v>
      </c>
      <c r="C660" s="2" t="s">
        <v>591</v>
      </c>
      <c r="D660" s="2">
        <v>6</v>
      </c>
      <c r="E660" s="3">
        <v>40400.431944444441</v>
      </c>
      <c r="F660" s="2">
        <v>2.95</v>
      </c>
      <c r="G660" s="2">
        <v>17023</v>
      </c>
      <c r="H660" s="2" t="s">
        <v>9</v>
      </c>
    </row>
    <row r="661" spans="1:8" x14ac:dyDescent="0.25">
      <c r="A661" s="2">
        <v>514676</v>
      </c>
      <c r="B661" s="2">
        <v>22196</v>
      </c>
      <c r="C661" s="2" t="s">
        <v>62</v>
      </c>
      <c r="D661" s="2">
        <v>1</v>
      </c>
      <c r="E661" s="3">
        <v>40364.56527777778</v>
      </c>
      <c r="F661" s="2">
        <v>0.85</v>
      </c>
      <c r="G661" s="2">
        <v>14606</v>
      </c>
      <c r="H661" s="2" t="s">
        <v>9</v>
      </c>
    </row>
    <row r="662" spans="1:8" x14ac:dyDescent="0.25">
      <c r="A662" s="2" t="s">
        <v>707</v>
      </c>
      <c r="B662" s="2">
        <v>21658</v>
      </c>
      <c r="C662" s="2" t="s">
        <v>210</v>
      </c>
      <c r="D662" s="2">
        <v>-1</v>
      </c>
      <c r="E662" s="3">
        <v>40518.553472222222</v>
      </c>
      <c r="F662" s="2">
        <v>3.95</v>
      </c>
      <c r="G662" s="2">
        <v>16550</v>
      </c>
      <c r="H662" s="2" t="s">
        <v>9</v>
      </c>
    </row>
    <row r="663" spans="1:8" x14ac:dyDescent="0.25">
      <c r="A663" s="2">
        <v>514165</v>
      </c>
      <c r="B663" s="2">
        <v>21915</v>
      </c>
      <c r="C663" s="2" t="s">
        <v>347</v>
      </c>
      <c r="D663" s="2">
        <v>12</v>
      </c>
      <c r="E663" s="3">
        <v>40359.649305555547</v>
      </c>
      <c r="F663" s="2">
        <v>1.25</v>
      </c>
      <c r="G663" s="2">
        <v>12714</v>
      </c>
      <c r="H663" s="2" t="s">
        <v>28</v>
      </c>
    </row>
    <row r="664" spans="1:8" x14ac:dyDescent="0.25">
      <c r="A664" s="2">
        <v>536623</v>
      </c>
      <c r="B664" s="2">
        <v>22431</v>
      </c>
      <c r="C664" s="2" t="s">
        <v>477</v>
      </c>
      <c r="D664" s="2">
        <v>6</v>
      </c>
      <c r="E664" s="3">
        <v>40514.443749999999</v>
      </c>
      <c r="F664" s="2">
        <v>1.95</v>
      </c>
      <c r="G664" s="2">
        <v>15601</v>
      </c>
      <c r="H664" s="2" t="s">
        <v>9</v>
      </c>
    </row>
    <row r="665" spans="1:8" x14ac:dyDescent="0.25">
      <c r="A665" s="2">
        <v>524179</v>
      </c>
      <c r="B665" s="2">
        <v>21955</v>
      </c>
      <c r="C665" s="2" t="s">
        <v>708</v>
      </c>
      <c r="E665" s="3">
        <v>40448.693749999999</v>
      </c>
      <c r="F665" s="2">
        <v>7.95</v>
      </c>
      <c r="G665" s="2">
        <v>17320</v>
      </c>
      <c r="H665" s="2" t="s">
        <v>9</v>
      </c>
    </row>
    <row r="666" spans="1:8" x14ac:dyDescent="0.25">
      <c r="A666" s="2">
        <v>495185</v>
      </c>
      <c r="B666" s="2">
        <v>85187</v>
      </c>
      <c r="C666" s="2" t="s">
        <v>709</v>
      </c>
      <c r="D666" s="2">
        <v>12</v>
      </c>
      <c r="E666" s="3">
        <v>40199.584027777782</v>
      </c>
      <c r="F666" s="2">
        <v>1.65</v>
      </c>
      <c r="G666" s="2">
        <v>14439</v>
      </c>
      <c r="H666" s="2" t="s">
        <v>339</v>
      </c>
    </row>
    <row r="667" spans="1:8" x14ac:dyDescent="0.25">
      <c r="A667" s="2">
        <v>493375</v>
      </c>
      <c r="B667" s="2">
        <v>21691</v>
      </c>
      <c r="C667" s="2" t="s">
        <v>710</v>
      </c>
      <c r="D667" s="2" t="s">
        <v>711</v>
      </c>
      <c r="E667" s="3">
        <v>40170.504861111112</v>
      </c>
      <c r="F667" s="2">
        <v>3.75</v>
      </c>
      <c r="G667" s="2">
        <v>15514</v>
      </c>
      <c r="H667" s="2" t="s">
        <v>9</v>
      </c>
    </row>
    <row r="668" spans="1:8" x14ac:dyDescent="0.25">
      <c r="A668" s="2">
        <v>495706</v>
      </c>
      <c r="B668" s="2" t="s">
        <v>712</v>
      </c>
      <c r="C668" s="2" t="s">
        <v>713</v>
      </c>
      <c r="D668" s="2">
        <v>1</v>
      </c>
      <c r="E668" s="3">
        <v>40204.544444444437</v>
      </c>
      <c r="F668" s="2">
        <v>4.25</v>
      </c>
      <c r="G668" s="2">
        <v>15003</v>
      </c>
      <c r="H668" s="2" t="s">
        <v>9</v>
      </c>
    </row>
    <row r="669" spans="1:8" x14ac:dyDescent="0.25">
      <c r="A669" s="2">
        <v>536408</v>
      </c>
      <c r="B669" s="2">
        <v>22619</v>
      </c>
      <c r="C669" s="2" t="s">
        <v>714</v>
      </c>
      <c r="D669" s="2">
        <v>4</v>
      </c>
      <c r="E669" s="3">
        <v>40513.486805555563</v>
      </c>
      <c r="F669" s="2">
        <v>3.75</v>
      </c>
      <c r="G669" s="2">
        <v>14307</v>
      </c>
      <c r="H669" s="2" t="s">
        <v>9</v>
      </c>
    </row>
    <row r="670" spans="1:8" x14ac:dyDescent="0.25">
      <c r="A670" s="2">
        <v>535803</v>
      </c>
      <c r="B670" s="2">
        <v>22988</v>
      </c>
      <c r="C670" s="2" t="s">
        <v>715</v>
      </c>
      <c r="D670" s="2">
        <v>24</v>
      </c>
      <c r="E670" s="3">
        <v>40510.622916666667</v>
      </c>
      <c r="F670" s="2">
        <v>1.25</v>
      </c>
      <c r="G670" s="2">
        <v>14410</v>
      </c>
      <c r="H670" s="2" t="s">
        <v>9</v>
      </c>
    </row>
    <row r="671" spans="1:8" x14ac:dyDescent="0.25">
      <c r="A671" s="2">
        <v>521546</v>
      </c>
      <c r="B671" s="2">
        <v>22588</v>
      </c>
      <c r="C671" s="2" t="s">
        <v>273</v>
      </c>
      <c r="D671" s="2">
        <v>6</v>
      </c>
      <c r="E671" s="3">
        <v>40427.644444444442</v>
      </c>
      <c r="F671" s="2">
        <v>2.5499999999999998</v>
      </c>
      <c r="G671" s="2">
        <v>13769</v>
      </c>
      <c r="H671" s="2" t="s">
        <v>9</v>
      </c>
    </row>
    <row r="672" spans="1:8" x14ac:dyDescent="0.25">
      <c r="A672" s="2">
        <v>516788</v>
      </c>
      <c r="B672" s="2">
        <v>20914</v>
      </c>
      <c r="C672" s="2" t="s">
        <v>78</v>
      </c>
      <c r="D672" s="2">
        <v>32</v>
      </c>
      <c r="E672" s="3">
        <v>40382.416666666657</v>
      </c>
      <c r="F672" s="2">
        <v>2.5499999999999998</v>
      </c>
      <c r="G672" s="2">
        <v>16843</v>
      </c>
      <c r="H672" s="2" t="s">
        <v>9</v>
      </c>
    </row>
    <row r="673" spans="1:8" x14ac:dyDescent="0.25">
      <c r="A673" s="2">
        <v>501710</v>
      </c>
      <c r="B673" s="2">
        <v>22151</v>
      </c>
      <c r="C673" s="2" t="s">
        <v>227</v>
      </c>
      <c r="D673" s="2">
        <v>24</v>
      </c>
      <c r="E673" s="3">
        <v>40256.421527777777</v>
      </c>
      <c r="F673" s="2">
        <v>0.42</v>
      </c>
      <c r="G673" s="2">
        <v>17738</v>
      </c>
      <c r="H673" s="2" t="s">
        <v>9</v>
      </c>
    </row>
    <row r="674" spans="1:8" x14ac:dyDescent="0.25">
      <c r="A674" s="2">
        <v>494870</v>
      </c>
      <c r="B674" s="2" t="s">
        <v>577</v>
      </c>
      <c r="C674" s="2" t="s">
        <v>578</v>
      </c>
      <c r="D674" s="2">
        <v>12</v>
      </c>
      <c r="E674" s="3">
        <v>40197.510416666657</v>
      </c>
      <c r="F674" s="2">
        <v>0.85</v>
      </c>
      <c r="G674" s="2">
        <v>15998</v>
      </c>
      <c r="H674" s="2" t="s">
        <v>9</v>
      </c>
    </row>
    <row r="675" spans="1:8" x14ac:dyDescent="0.25">
      <c r="A675" s="2">
        <v>490156</v>
      </c>
      <c r="B675" s="2">
        <v>84692</v>
      </c>
      <c r="C675" s="2" t="s">
        <v>716</v>
      </c>
      <c r="D675" s="2">
        <v>50</v>
      </c>
      <c r="E675" s="3">
        <v>40151.438888888893</v>
      </c>
      <c r="F675" s="2">
        <v>0.42</v>
      </c>
      <c r="G675" s="2">
        <v>13093</v>
      </c>
      <c r="H675" s="2" t="s">
        <v>9</v>
      </c>
    </row>
    <row r="676" spans="1:8" x14ac:dyDescent="0.25">
      <c r="A676" s="2">
        <v>494632</v>
      </c>
      <c r="B676" s="2">
        <v>21213</v>
      </c>
      <c r="C676" s="2" t="s">
        <v>243</v>
      </c>
      <c r="D676" s="2">
        <v>24</v>
      </c>
      <c r="E676" s="2" t="s">
        <v>717</v>
      </c>
      <c r="F676" s="2" t="s">
        <v>718</v>
      </c>
      <c r="G676" s="2">
        <v>15633</v>
      </c>
      <c r="H676" s="2" t="s">
        <v>9</v>
      </c>
    </row>
    <row r="677" spans="1:8" x14ac:dyDescent="0.25">
      <c r="A677" s="2">
        <v>520196</v>
      </c>
      <c r="B677" s="2" t="s">
        <v>719</v>
      </c>
      <c r="C677" s="2" t="s">
        <v>720</v>
      </c>
      <c r="D677" s="2">
        <v>3</v>
      </c>
      <c r="E677" s="3">
        <v>40414.624305555553</v>
      </c>
      <c r="F677" s="2">
        <v>3.75</v>
      </c>
      <c r="G677" s="2">
        <v>16161</v>
      </c>
      <c r="H677" s="2" t="s">
        <v>9</v>
      </c>
    </row>
    <row r="678" spans="1:8" x14ac:dyDescent="0.25">
      <c r="A678" s="2">
        <v>496288</v>
      </c>
      <c r="B678" s="2">
        <v>21700</v>
      </c>
      <c r="C678" s="2" t="s">
        <v>721</v>
      </c>
      <c r="D678" s="2">
        <v>12</v>
      </c>
      <c r="E678" s="3">
        <v>40207.725694444453</v>
      </c>
      <c r="F678" s="2">
        <v>0.85</v>
      </c>
      <c r="G678" s="2">
        <v>17603</v>
      </c>
      <c r="H678" s="2" t="s">
        <v>132</v>
      </c>
    </row>
    <row r="679" spans="1:8" x14ac:dyDescent="0.25">
      <c r="A679" s="2">
        <v>510546</v>
      </c>
      <c r="B679" s="2">
        <v>84674</v>
      </c>
      <c r="C679" s="2" t="s">
        <v>722</v>
      </c>
      <c r="D679" s="2">
        <v>2</v>
      </c>
      <c r="E679" s="3">
        <v>40330.65625</v>
      </c>
      <c r="F679" s="2">
        <v>2.95</v>
      </c>
      <c r="G679" s="2">
        <v>13110</v>
      </c>
      <c r="H679" s="2" t="s">
        <v>9</v>
      </c>
    </row>
    <row r="680" spans="1:8" x14ac:dyDescent="0.25">
      <c r="A680" s="2">
        <v>508483</v>
      </c>
      <c r="B680" s="2" t="s">
        <v>395</v>
      </c>
      <c r="C680" s="2" t="s">
        <v>401</v>
      </c>
      <c r="D680" s="2">
        <v>1</v>
      </c>
      <c r="E680" s="3">
        <v>40314.535416666673</v>
      </c>
      <c r="F680" s="2">
        <v>3.75</v>
      </c>
      <c r="G680" s="2">
        <v>17841</v>
      </c>
      <c r="H680" s="2" t="s">
        <v>9</v>
      </c>
    </row>
    <row r="681" spans="1:8" x14ac:dyDescent="0.25">
      <c r="A681" s="2">
        <v>496977</v>
      </c>
      <c r="B681" s="2">
        <v>82600</v>
      </c>
      <c r="C681" s="2" t="s">
        <v>268</v>
      </c>
      <c r="D681" s="2">
        <v>12</v>
      </c>
      <c r="E681" s="3">
        <v>40214.40902777778</v>
      </c>
      <c r="F681" s="2">
        <v>2.1</v>
      </c>
      <c r="G681" s="2">
        <v>13823</v>
      </c>
      <c r="H681" s="2" t="s">
        <v>9</v>
      </c>
    </row>
    <row r="682" spans="1:8" x14ac:dyDescent="0.25">
      <c r="A682" s="2">
        <v>509151</v>
      </c>
      <c r="B682" s="2" t="s">
        <v>723</v>
      </c>
      <c r="C682" s="2" t="s">
        <v>724</v>
      </c>
      <c r="D682" s="2">
        <v>1</v>
      </c>
      <c r="E682" s="3">
        <v>40318.54583333333</v>
      </c>
      <c r="F682" s="2">
        <v>2.95</v>
      </c>
      <c r="G682" s="2">
        <v>14606</v>
      </c>
      <c r="H682" s="2" t="s">
        <v>9</v>
      </c>
    </row>
    <row r="683" spans="1:8" x14ac:dyDescent="0.25">
      <c r="A683" s="2">
        <v>514630</v>
      </c>
      <c r="B683" s="2">
        <v>82581</v>
      </c>
      <c r="C683" s="2" t="s">
        <v>725</v>
      </c>
      <c r="D683" s="2">
        <v>6</v>
      </c>
      <c r="E683" s="3">
        <v>40364.523611111108</v>
      </c>
      <c r="F683" s="2">
        <v>0.55000000000000004</v>
      </c>
      <c r="G683" s="2">
        <v>16458</v>
      </c>
      <c r="H683" s="2" t="s">
        <v>9</v>
      </c>
    </row>
    <row r="684" spans="1:8" x14ac:dyDescent="0.25">
      <c r="A684" s="2">
        <v>508484</v>
      </c>
      <c r="B684" s="2">
        <v>22061</v>
      </c>
      <c r="C684" s="2" t="s">
        <v>473</v>
      </c>
      <c r="D684" s="2">
        <v>1</v>
      </c>
      <c r="E684" s="3">
        <v>40314.537499999999</v>
      </c>
      <c r="F684" s="2">
        <v>9.9499999999999993</v>
      </c>
      <c r="G684" s="2">
        <v>17582</v>
      </c>
      <c r="H684" s="2" t="s">
        <v>9</v>
      </c>
    </row>
    <row r="685" spans="1:8" x14ac:dyDescent="0.25">
      <c r="A685" s="2">
        <v>498132</v>
      </c>
      <c r="B685" s="2">
        <v>21410</v>
      </c>
      <c r="C685" s="2" t="s">
        <v>726</v>
      </c>
      <c r="D685" s="2">
        <v>1</v>
      </c>
      <c r="E685" s="3">
        <v>40225.703472222223</v>
      </c>
      <c r="F685" s="2">
        <v>4.25</v>
      </c>
      <c r="G685" s="2">
        <v>16774</v>
      </c>
      <c r="H685" s="2" t="s">
        <v>9</v>
      </c>
    </row>
    <row r="686" spans="1:8" x14ac:dyDescent="0.25">
      <c r="A686" s="2">
        <v>529547</v>
      </c>
      <c r="B686" s="2">
        <v>21212</v>
      </c>
      <c r="C686" s="2" t="s">
        <v>497</v>
      </c>
      <c r="D686" s="2">
        <v>24</v>
      </c>
      <c r="E686" s="3">
        <v>40479.717361111107</v>
      </c>
      <c r="F686" s="2">
        <v>0.55000000000000004</v>
      </c>
      <c r="G686" s="2">
        <v>14276</v>
      </c>
      <c r="H686" s="2" t="s">
        <v>9</v>
      </c>
    </row>
    <row r="687" spans="1:8" x14ac:dyDescent="0.25">
      <c r="A687" s="2">
        <v>536235</v>
      </c>
      <c r="B687" s="2">
        <v>20655</v>
      </c>
      <c r="C687" s="2" t="s">
        <v>727</v>
      </c>
      <c r="D687" s="2">
        <v>2</v>
      </c>
      <c r="E687" s="3">
        <v>40512.597916666673</v>
      </c>
      <c r="F687" s="2" t="s">
        <v>42</v>
      </c>
      <c r="G687" s="2">
        <v>18101</v>
      </c>
      <c r="H687" s="2" t="s">
        <v>9</v>
      </c>
    </row>
    <row r="688" spans="1:8" x14ac:dyDescent="0.25">
      <c r="A688" s="2">
        <v>523065</v>
      </c>
      <c r="B688" s="2">
        <v>21486</v>
      </c>
      <c r="C688" s="2" t="s">
        <v>728</v>
      </c>
      <c r="D688" s="2">
        <v>2</v>
      </c>
      <c r="E688" s="3">
        <v>40441.503472222219</v>
      </c>
      <c r="F688" s="2">
        <v>3.75</v>
      </c>
      <c r="G688" s="2">
        <v>16919</v>
      </c>
      <c r="H688" s="2" t="s">
        <v>9</v>
      </c>
    </row>
    <row r="689" spans="1:8" x14ac:dyDescent="0.25">
      <c r="A689" s="2">
        <v>491717</v>
      </c>
      <c r="B689" s="2" t="s">
        <v>729</v>
      </c>
      <c r="C689" s="2" t="s">
        <v>730</v>
      </c>
      <c r="D689" s="2">
        <v>1</v>
      </c>
      <c r="E689" s="3">
        <v>40160.662499999999</v>
      </c>
      <c r="F689" s="2">
        <v>1.25</v>
      </c>
      <c r="G689" s="2">
        <v>16725</v>
      </c>
      <c r="H689" s="2" t="s">
        <v>9</v>
      </c>
    </row>
    <row r="690" spans="1:8" x14ac:dyDescent="0.25">
      <c r="A690" s="2">
        <v>512411</v>
      </c>
      <c r="B690" s="2">
        <v>21777</v>
      </c>
      <c r="C690" s="2" t="s">
        <v>14</v>
      </c>
      <c r="D690" s="2">
        <v>48</v>
      </c>
      <c r="E690" s="3">
        <v>40344.554861111108</v>
      </c>
      <c r="F690" s="2">
        <v>6.95</v>
      </c>
      <c r="G690" s="2">
        <v>14156</v>
      </c>
      <c r="H690" s="2" t="s">
        <v>11</v>
      </c>
    </row>
    <row r="691" spans="1:8" x14ac:dyDescent="0.25">
      <c r="A691" s="2">
        <v>526889</v>
      </c>
      <c r="B691" s="2" t="s">
        <v>701</v>
      </c>
      <c r="C691" s="2" t="s">
        <v>702</v>
      </c>
      <c r="D691" s="2">
        <v>11</v>
      </c>
      <c r="E691" s="3">
        <v>40464.61041666667</v>
      </c>
      <c r="F691" s="2">
        <v>1.25</v>
      </c>
      <c r="G691" s="2">
        <v>14667</v>
      </c>
      <c r="H691" s="2" t="s">
        <v>9</v>
      </c>
    </row>
    <row r="692" spans="1:8" x14ac:dyDescent="0.25">
      <c r="A692" s="2">
        <v>521901</v>
      </c>
      <c r="B692" s="2">
        <v>21989</v>
      </c>
      <c r="C692" s="2" t="s">
        <v>731</v>
      </c>
      <c r="D692" s="2">
        <v>3</v>
      </c>
      <c r="E692" s="3">
        <v>40430.525694444441</v>
      </c>
      <c r="F692" s="2">
        <v>0.85</v>
      </c>
      <c r="G692" s="2">
        <v>14688</v>
      </c>
      <c r="H692" s="2" t="s">
        <v>9</v>
      </c>
    </row>
    <row r="693" spans="1:8" x14ac:dyDescent="0.25">
      <c r="A693" s="2">
        <v>526484</v>
      </c>
      <c r="B693" s="2">
        <v>22403</v>
      </c>
      <c r="C693" s="2" t="s">
        <v>732</v>
      </c>
      <c r="D693" s="2">
        <v>12</v>
      </c>
      <c r="E693" s="3">
        <v>40463.325694444437</v>
      </c>
      <c r="F693" s="2">
        <v>1.25</v>
      </c>
      <c r="G693" s="2">
        <v>17710</v>
      </c>
      <c r="H693" s="2" t="s">
        <v>9</v>
      </c>
    </row>
    <row r="694" spans="1:8" x14ac:dyDescent="0.25">
      <c r="A694" s="2">
        <v>514563</v>
      </c>
      <c r="B694" s="2">
        <v>22411</v>
      </c>
      <c r="C694" s="2" t="s">
        <v>206</v>
      </c>
      <c r="D694" s="2">
        <v>10</v>
      </c>
      <c r="E694" s="3">
        <v>40364.491666666669</v>
      </c>
      <c r="F694" s="2">
        <v>1.95</v>
      </c>
      <c r="G694" s="2">
        <v>15039</v>
      </c>
      <c r="H694" s="2" t="s">
        <v>9</v>
      </c>
    </row>
    <row r="695" spans="1:8" x14ac:dyDescent="0.25">
      <c r="A695" s="2">
        <v>526388</v>
      </c>
      <c r="B695" s="2">
        <v>21669</v>
      </c>
      <c r="C695" s="2" t="s">
        <v>733</v>
      </c>
      <c r="D695" s="2">
        <v>1</v>
      </c>
      <c r="E695" s="3">
        <v>40462.536111111112</v>
      </c>
      <c r="F695" s="2">
        <v>1.25</v>
      </c>
      <c r="G695" s="2">
        <v>17264</v>
      </c>
      <c r="H695" s="2" t="s">
        <v>9</v>
      </c>
    </row>
    <row r="696" spans="1:8" x14ac:dyDescent="0.25">
      <c r="A696" s="2">
        <v>513615</v>
      </c>
      <c r="B696" s="2">
        <v>21843</v>
      </c>
      <c r="C696" s="2" t="s">
        <v>734</v>
      </c>
      <c r="D696" s="2">
        <v>2</v>
      </c>
      <c r="E696" s="3">
        <v>40356.517361111109</v>
      </c>
      <c r="F696" s="2">
        <v>10.95</v>
      </c>
      <c r="G696" s="2">
        <v>15998</v>
      </c>
      <c r="H696" s="2" t="s">
        <v>9</v>
      </c>
    </row>
    <row r="697" spans="1:8" x14ac:dyDescent="0.25">
      <c r="A697" s="2">
        <v>514511</v>
      </c>
      <c r="B697" s="2">
        <v>21982</v>
      </c>
      <c r="C697" s="2" t="s">
        <v>735</v>
      </c>
      <c r="D697" s="2">
        <v>12</v>
      </c>
      <c r="E697" s="3">
        <v>40363.563194444447</v>
      </c>
      <c r="F697" s="2">
        <v>0.28999999999999998</v>
      </c>
      <c r="G697" s="2">
        <v>16032</v>
      </c>
      <c r="H697" s="2" t="s">
        <v>57</v>
      </c>
    </row>
    <row r="698" spans="1:8" x14ac:dyDescent="0.25">
      <c r="A698" s="2">
        <v>498095</v>
      </c>
      <c r="B698" s="2">
        <v>22318</v>
      </c>
      <c r="C698" s="2" t="s">
        <v>10</v>
      </c>
      <c r="D698" s="2">
        <v>4</v>
      </c>
      <c r="E698" s="3">
        <v>40225.534722222219</v>
      </c>
      <c r="F698" s="2">
        <v>2.95</v>
      </c>
      <c r="G698" s="2">
        <v>16940</v>
      </c>
      <c r="H698" s="2" t="s">
        <v>9</v>
      </c>
    </row>
    <row r="699" spans="1:8" x14ac:dyDescent="0.25">
      <c r="A699" s="2">
        <v>507405</v>
      </c>
      <c r="B699" s="2">
        <v>72741</v>
      </c>
      <c r="C699" s="2" t="s">
        <v>397</v>
      </c>
      <c r="D699" s="2">
        <v>18</v>
      </c>
      <c r="E699" s="3">
        <v>40307.572222222218</v>
      </c>
      <c r="F699" s="2">
        <v>1.45</v>
      </c>
      <c r="G699" s="2">
        <v>15109</v>
      </c>
      <c r="H699" s="2" t="s">
        <v>9</v>
      </c>
    </row>
    <row r="700" spans="1:8" x14ac:dyDescent="0.25">
      <c r="A700" s="2">
        <v>512949</v>
      </c>
      <c r="B700" s="2">
        <v>21034</v>
      </c>
      <c r="C700" s="2" t="s">
        <v>414</v>
      </c>
      <c r="D700" s="2">
        <v>1</v>
      </c>
      <c r="E700" s="3">
        <v>40349.67083333333</v>
      </c>
      <c r="F700" s="2">
        <v>0.95</v>
      </c>
      <c r="G700" s="2">
        <v>15555</v>
      </c>
      <c r="H700" s="2" t="s">
        <v>9</v>
      </c>
    </row>
    <row r="701" spans="1:8" x14ac:dyDescent="0.25">
      <c r="A701" s="2">
        <v>506873</v>
      </c>
      <c r="B701" s="2">
        <v>85060</v>
      </c>
      <c r="C701" s="2" t="s">
        <v>736</v>
      </c>
      <c r="D701" s="2">
        <v>24</v>
      </c>
      <c r="E701" s="3">
        <v>40302.679166666669</v>
      </c>
      <c r="F701" s="2">
        <v>1.25</v>
      </c>
      <c r="G701" s="2">
        <v>17188</v>
      </c>
      <c r="H701" s="2" t="s">
        <v>9</v>
      </c>
    </row>
    <row r="702" spans="1:8" x14ac:dyDescent="0.25">
      <c r="A702" s="2">
        <v>536214</v>
      </c>
      <c r="B702" s="2">
        <v>22149</v>
      </c>
      <c r="C702" s="2" t="s">
        <v>450</v>
      </c>
      <c r="D702" s="2">
        <v>6</v>
      </c>
      <c r="E702" s="3">
        <v>40512.56527777778</v>
      </c>
      <c r="F702" s="2">
        <v>2.1</v>
      </c>
      <c r="G702" s="2">
        <v>16600</v>
      </c>
      <c r="H702" s="2" t="s">
        <v>9</v>
      </c>
    </row>
    <row r="703" spans="1:8" x14ac:dyDescent="0.25">
      <c r="A703" s="2" t="s">
        <v>737</v>
      </c>
      <c r="B703" s="2" t="s">
        <v>738</v>
      </c>
      <c r="C703" s="2" t="s">
        <v>739</v>
      </c>
      <c r="D703" s="2">
        <v>-1</v>
      </c>
      <c r="E703" s="3">
        <v>40280.374305555553</v>
      </c>
      <c r="F703" s="2">
        <v>4.25</v>
      </c>
      <c r="G703" s="2">
        <v>16554</v>
      </c>
      <c r="H703" s="2" t="s">
        <v>9</v>
      </c>
    </row>
    <row r="704" spans="1:8" x14ac:dyDescent="0.25">
      <c r="A704" s="2">
        <v>490685</v>
      </c>
      <c r="B704" s="2" t="s">
        <v>740</v>
      </c>
      <c r="C704" s="2" t="s">
        <v>741</v>
      </c>
      <c r="D704" s="2">
        <v>32</v>
      </c>
      <c r="E704" s="3">
        <v>40154.574999999997</v>
      </c>
      <c r="F704" s="2">
        <v>1.95</v>
      </c>
      <c r="G704" s="2">
        <v>13206</v>
      </c>
      <c r="H704" s="2" t="s">
        <v>9</v>
      </c>
    </row>
    <row r="705" spans="1:8" x14ac:dyDescent="0.25">
      <c r="A705" s="2">
        <v>529323</v>
      </c>
      <c r="B705" s="2">
        <v>22697</v>
      </c>
      <c r="C705" s="2" t="s">
        <v>699</v>
      </c>
      <c r="D705" s="2">
        <v>3</v>
      </c>
      <c r="E705" s="2" t="s">
        <v>742</v>
      </c>
      <c r="F705" s="2">
        <v>2.95</v>
      </c>
      <c r="G705" s="2">
        <v>16713</v>
      </c>
      <c r="H705" s="2" t="s">
        <v>9</v>
      </c>
    </row>
    <row r="706" spans="1:8" x14ac:dyDescent="0.25">
      <c r="A706" s="2">
        <v>517712</v>
      </c>
      <c r="B706" s="2" t="s">
        <v>743</v>
      </c>
      <c r="C706" s="2" t="s">
        <v>744</v>
      </c>
      <c r="D706" s="2">
        <v>6</v>
      </c>
      <c r="E706" s="3">
        <v>40391.470138888893</v>
      </c>
      <c r="F706" s="2">
        <v>4.95</v>
      </c>
      <c r="G706" s="2">
        <v>13564</v>
      </c>
      <c r="H706" s="2" t="s">
        <v>9</v>
      </c>
    </row>
    <row r="707" spans="1:8" x14ac:dyDescent="0.25">
      <c r="A707" s="2">
        <v>514809</v>
      </c>
      <c r="B707" s="2">
        <v>22636</v>
      </c>
      <c r="C707" s="2" t="s">
        <v>745</v>
      </c>
      <c r="D707" s="2">
        <v>52</v>
      </c>
      <c r="E707" s="3">
        <v>40365.488888888889</v>
      </c>
      <c r="F707" s="2">
        <v>7.65</v>
      </c>
      <c r="G707" s="2">
        <v>12678</v>
      </c>
      <c r="H707" s="2" t="s">
        <v>28</v>
      </c>
    </row>
    <row r="708" spans="1:8" x14ac:dyDescent="0.25">
      <c r="A708" s="2">
        <v>490705</v>
      </c>
      <c r="B708" s="2">
        <v>22083</v>
      </c>
      <c r="C708" s="2" t="s">
        <v>20</v>
      </c>
      <c r="D708" s="2">
        <v>40</v>
      </c>
      <c r="E708" s="3">
        <v>40154.62222222222</v>
      </c>
      <c r="F708" s="2">
        <v>2.5499999999999998</v>
      </c>
      <c r="G708" s="2">
        <v>12913</v>
      </c>
      <c r="H708" s="2" t="s">
        <v>9</v>
      </c>
    </row>
    <row r="709" spans="1:8" x14ac:dyDescent="0.25">
      <c r="A709" s="2">
        <v>503730</v>
      </c>
      <c r="B709" s="2">
        <v>84691</v>
      </c>
      <c r="C709" s="2" t="s">
        <v>746</v>
      </c>
      <c r="D709" s="2">
        <v>12</v>
      </c>
      <c r="E709" s="2" t="s">
        <v>747</v>
      </c>
      <c r="F709" s="2">
        <v>0.85</v>
      </c>
      <c r="G709" s="2">
        <v>17563</v>
      </c>
      <c r="H709" s="2" t="s">
        <v>9</v>
      </c>
    </row>
    <row r="710" spans="1:8" x14ac:dyDescent="0.25">
      <c r="A710" s="2">
        <v>535787</v>
      </c>
      <c r="B710" s="2">
        <v>22969</v>
      </c>
      <c r="C710" s="2" t="s">
        <v>748</v>
      </c>
      <c r="D710" s="2">
        <v>12</v>
      </c>
      <c r="E710" s="3">
        <v>40510.593055555553</v>
      </c>
      <c r="F710" s="2">
        <v>1.45</v>
      </c>
      <c r="G710" s="2">
        <v>13295</v>
      </c>
      <c r="H710" s="2" t="s">
        <v>9</v>
      </c>
    </row>
    <row r="711" spans="1:8" x14ac:dyDescent="0.25">
      <c r="A711" s="2">
        <v>530540</v>
      </c>
      <c r="B711" s="2" t="s">
        <v>594</v>
      </c>
      <c r="C711" s="2" t="s">
        <v>595</v>
      </c>
      <c r="D711" s="2">
        <v>10</v>
      </c>
      <c r="E711" s="3">
        <v>40485.545138888891</v>
      </c>
      <c r="F711" s="2">
        <v>1.95</v>
      </c>
      <c r="G711" s="2">
        <v>12793</v>
      </c>
      <c r="H711" s="2" t="s">
        <v>245</v>
      </c>
    </row>
    <row r="712" spans="1:8" x14ac:dyDescent="0.25">
      <c r="A712" s="2">
        <v>505969</v>
      </c>
      <c r="B712" s="2">
        <v>22171</v>
      </c>
      <c r="C712" s="2" t="s">
        <v>749</v>
      </c>
      <c r="D712" s="2">
        <v>1</v>
      </c>
      <c r="E712" s="3">
        <v>40294.691666666673</v>
      </c>
      <c r="F712" s="2">
        <v>8.5</v>
      </c>
      <c r="G712" s="2">
        <v>17231</v>
      </c>
      <c r="H712" s="2" t="s">
        <v>9</v>
      </c>
    </row>
    <row r="713" spans="1:8" x14ac:dyDescent="0.25">
      <c r="A713" s="2">
        <v>507840</v>
      </c>
      <c r="B713" s="2">
        <v>21175</v>
      </c>
      <c r="C713" s="2" t="s">
        <v>118</v>
      </c>
      <c r="D713" s="2">
        <v>3</v>
      </c>
      <c r="E713" s="3">
        <v>40309.568055555559</v>
      </c>
      <c r="F713" s="2">
        <v>2.1</v>
      </c>
      <c r="G713" s="2">
        <v>16487</v>
      </c>
      <c r="H713" s="2" t="s">
        <v>9</v>
      </c>
    </row>
    <row r="714" spans="1:8" x14ac:dyDescent="0.25">
      <c r="A714" s="2">
        <v>519580</v>
      </c>
      <c r="B714" s="2">
        <v>21770</v>
      </c>
      <c r="C714" s="2" t="s">
        <v>750</v>
      </c>
      <c r="D714" s="2">
        <v>1</v>
      </c>
      <c r="E714" s="3">
        <v>40408.549305555563</v>
      </c>
      <c r="F714" s="2">
        <v>4.95</v>
      </c>
      <c r="G714" s="2">
        <v>16675</v>
      </c>
      <c r="H714" s="2" t="s">
        <v>9</v>
      </c>
    </row>
    <row r="715" spans="1:8" x14ac:dyDescent="0.25">
      <c r="A715" s="2">
        <v>519691</v>
      </c>
      <c r="B715" s="2" t="s">
        <v>751</v>
      </c>
      <c r="C715" s="2" t="s">
        <v>752</v>
      </c>
      <c r="D715" s="2">
        <v>1</v>
      </c>
      <c r="E715" s="3">
        <v>40409.563888888893</v>
      </c>
      <c r="F715" s="2">
        <v>3.75</v>
      </c>
      <c r="G715" s="2">
        <v>17841</v>
      </c>
      <c r="H715" s="2" t="s">
        <v>9</v>
      </c>
    </row>
    <row r="716" spans="1:8" x14ac:dyDescent="0.25">
      <c r="A716" s="2">
        <v>489562</v>
      </c>
      <c r="B716" s="2">
        <v>22139</v>
      </c>
      <c r="C716" s="2" t="s">
        <v>135</v>
      </c>
      <c r="D716" s="2">
        <v>1</v>
      </c>
      <c r="E716" s="3">
        <v>40148.546527777777</v>
      </c>
      <c r="F716" s="2">
        <v>4.95</v>
      </c>
      <c r="G716" s="2">
        <v>17998</v>
      </c>
      <c r="H716" s="2" t="s">
        <v>9</v>
      </c>
    </row>
    <row r="717" spans="1:8" x14ac:dyDescent="0.25">
      <c r="A717" s="2">
        <v>524708</v>
      </c>
      <c r="B717" s="2">
        <v>22086</v>
      </c>
      <c r="C717" s="2" t="s">
        <v>753</v>
      </c>
      <c r="D717" s="2">
        <v>6</v>
      </c>
      <c r="E717" s="3">
        <v>40451.526388888888</v>
      </c>
      <c r="F717" s="2">
        <v>2.95</v>
      </c>
      <c r="G717" s="2">
        <v>13394</v>
      </c>
      <c r="H717" s="2" t="s">
        <v>9</v>
      </c>
    </row>
    <row r="718" spans="1:8" x14ac:dyDescent="0.25">
      <c r="A718" s="2">
        <v>501542</v>
      </c>
      <c r="B718" s="2">
        <v>22356</v>
      </c>
      <c r="C718" s="2" t="s">
        <v>754</v>
      </c>
      <c r="D718" s="2">
        <v>30</v>
      </c>
      <c r="E718" s="3">
        <v>40254.602083333331</v>
      </c>
      <c r="F718" s="2">
        <v>0.85</v>
      </c>
      <c r="G718" s="2">
        <v>16004</v>
      </c>
      <c r="H718" s="2" t="s">
        <v>9</v>
      </c>
    </row>
    <row r="719" spans="1:8" x14ac:dyDescent="0.25">
      <c r="A719" s="2">
        <v>506254</v>
      </c>
      <c r="B719" s="2">
        <v>21156</v>
      </c>
      <c r="C719" s="2" t="s">
        <v>88</v>
      </c>
      <c r="D719" s="2">
        <v>16</v>
      </c>
      <c r="E719" s="3">
        <v>40296.582638888889</v>
      </c>
      <c r="F719" s="2">
        <v>1.95</v>
      </c>
      <c r="G719" s="2">
        <v>12714</v>
      </c>
      <c r="H719" s="2" t="s">
        <v>28</v>
      </c>
    </row>
    <row r="720" spans="1:8" x14ac:dyDescent="0.25">
      <c r="A720" s="2">
        <v>498046</v>
      </c>
      <c r="B720" s="2">
        <v>21283</v>
      </c>
      <c r="C720" s="2" t="s">
        <v>755</v>
      </c>
      <c r="D720" s="2">
        <v>4</v>
      </c>
      <c r="E720" s="3">
        <v>40225.447222222218</v>
      </c>
      <c r="F720" s="2">
        <v>3.25</v>
      </c>
      <c r="G720" s="2">
        <v>15051</v>
      </c>
      <c r="H720" s="2" t="s">
        <v>9</v>
      </c>
    </row>
    <row r="721" spans="1:8" x14ac:dyDescent="0.25">
      <c r="A721" s="2">
        <v>517977</v>
      </c>
      <c r="B721" s="2">
        <v>22666</v>
      </c>
      <c r="C721" s="2" t="s">
        <v>756</v>
      </c>
      <c r="D721" s="2">
        <v>1</v>
      </c>
      <c r="E721" s="3">
        <v>40393.599305555559</v>
      </c>
      <c r="F721" s="2">
        <v>2.95</v>
      </c>
      <c r="G721" s="2">
        <v>16938</v>
      </c>
      <c r="H721" s="2" t="s">
        <v>9</v>
      </c>
    </row>
    <row r="722" spans="1:8" x14ac:dyDescent="0.25">
      <c r="A722" s="2">
        <v>532088</v>
      </c>
      <c r="B722" s="2">
        <v>21039</v>
      </c>
      <c r="C722" s="2" t="s">
        <v>757</v>
      </c>
      <c r="D722" s="2">
        <v>6</v>
      </c>
      <c r="E722" s="2" t="s">
        <v>758</v>
      </c>
      <c r="F722" s="2">
        <v>2.5499999999999998</v>
      </c>
      <c r="G722" s="2">
        <v>12583</v>
      </c>
      <c r="H722" s="2" t="s">
        <v>28</v>
      </c>
    </row>
    <row r="723" spans="1:8" x14ac:dyDescent="0.25">
      <c r="A723" s="2">
        <v>532803</v>
      </c>
      <c r="B723" s="2" t="s">
        <v>759</v>
      </c>
      <c r="C723" s="2" t="s">
        <v>760</v>
      </c>
      <c r="D723" s="2">
        <v>4</v>
      </c>
      <c r="E723" s="3">
        <v>40496.622916666667</v>
      </c>
      <c r="F723" s="2">
        <v>7.95</v>
      </c>
      <c r="G723" s="2">
        <v>17544</v>
      </c>
      <c r="H723" s="2" t="s">
        <v>9</v>
      </c>
    </row>
    <row r="724" spans="1:8" x14ac:dyDescent="0.25">
      <c r="A724" s="2">
        <v>504890</v>
      </c>
      <c r="B724" s="2">
        <v>22098</v>
      </c>
      <c r="C724" s="2" t="s">
        <v>761</v>
      </c>
      <c r="D724" s="2">
        <v>1</v>
      </c>
      <c r="E724" s="3">
        <v>40286.578472222223</v>
      </c>
      <c r="F724" s="2">
        <v>1.25</v>
      </c>
      <c r="G724" s="2">
        <v>14415</v>
      </c>
      <c r="H724" s="2" t="s">
        <v>9</v>
      </c>
    </row>
    <row r="725" spans="1:8" x14ac:dyDescent="0.25">
      <c r="A725" s="2">
        <v>527759</v>
      </c>
      <c r="B725" s="2">
        <v>21181</v>
      </c>
      <c r="C725" s="2" t="s">
        <v>498</v>
      </c>
      <c r="D725" s="2">
        <v>24</v>
      </c>
      <c r="E725" s="3">
        <v>40469.71597222222</v>
      </c>
      <c r="F725" s="2">
        <v>2.1</v>
      </c>
      <c r="G725" s="2">
        <v>14572</v>
      </c>
      <c r="H725" s="2" t="s">
        <v>9</v>
      </c>
    </row>
    <row r="726" spans="1:8" x14ac:dyDescent="0.25">
      <c r="A726" s="2">
        <v>537594</v>
      </c>
      <c r="B726" s="2">
        <v>22244</v>
      </c>
      <c r="C726" s="2" t="s">
        <v>762</v>
      </c>
      <c r="D726" s="2">
        <v>12</v>
      </c>
      <c r="E726" s="3">
        <v>40519.519444444442</v>
      </c>
      <c r="F726" s="2">
        <v>1.95</v>
      </c>
      <c r="G726" s="2">
        <v>12647</v>
      </c>
      <c r="H726" s="2" t="s">
        <v>17</v>
      </c>
    </row>
    <row r="727" spans="1:8" x14ac:dyDescent="0.25">
      <c r="A727" s="2">
        <v>506957</v>
      </c>
      <c r="B727" s="2">
        <v>22719</v>
      </c>
      <c r="C727" s="2" t="s">
        <v>763</v>
      </c>
      <c r="D727" s="2">
        <v>3</v>
      </c>
      <c r="E727" s="3">
        <v>40303.495138888888</v>
      </c>
      <c r="F727" s="2">
        <v>1.25</v>
      </c>
      <c r="G727" s="2">
        <v>18231</v>
      </c>
      <c r="H727" s="2" t="s">
        <v>655</v>
      </c>
    </row>
    <row r="728" spans="1:8" x14ac:dyDescent="0.25">
      <c r="A728" s="2">
        <v>531468</v>
      </c>
      <c r="B728" s="2">
        <v>22158</v>
      </c>
      <c r="C728" s="2" t="s">
        <v>764</v>
      </c>
      <c r="D728" s="2">
        <v>3</v>
      </c>
      <c r="E728" s="3">
        <v>40490.581944444442</v>
      </c>
      <c r="F728" s="2">
        <v>2.95</v>
      </c>
      <c r="G728" s="2">
        <v>14821</v>
      </c>
      <c r="H728" s="2" t="s">
        <v>9</v>
      </c>
    </row>
    <row r="729" spans="1:8" x14ac:dyDescent="0.25">
      <c r="A729" s="2">
        <v>495369</v>
      </c>
      <c r="B729" s="2">
        <v>84879</v>
      </c>
      <c r="C729" s="2" t="s">
        <v>143</v>
      </c>
      <c r="D729" s="2">
        <v>16</v>
      </c>
      <c r="E729" s="3">
        <v>40202.521527777782</v>
      </c>
      <c r="F729" s="2">
        <v>1.69</v>
      </c>
      <c r="G729" s="2">
        <v>13527</v>
      </c>
      <c r="H729" s="2" t="s">
        <v>9</v>
      </c>
    </row>
    <row r="730" spans="1:8" x14ac:dyDescent="0.25">
      <c r="A730" s="2">
        <v>498222</v>
      </c>
      <c r="B730" s="2">
        <v>72741</v>
      </c>
      <c r="C730" s="2" t="s">
        <v>397</v>
      </c>
      <c r="D730" s="2">
        <v>9</v>
      </c>
      <c r="E730" s="3">
        <v>40226.584027777782</v>
      </c>
      <c r="F730" s="2">
        <v>1.45</v>
      </c>
      <c r="G730" s="2">
        <v>14584</v>
      </c>
      <c r="H730" s="2" t="s">
        <v>9</v>
      </c>
    </row>
    <row r="731" spans="1:8" x14ac:dyDescent="0.25">
      <c r="A731" s="2">
        <v>523626</v>
      </c>
      <c r="B731" s="2">
        <v>21084</v>
      </c>
      <c r="C731" s="2" t="s">
        <v>765</v>
      </c>
      <c r="D731" s="2">
        <v>12</v>
      </c>
      <c r="E731" s="3">
        <v>40444.476388888892</v>
      </c>
      <c r="F731" s="2">
        <v>0.65</v>
      </c>
      <c r="G731" s="2">
        <v>17735</v>
      </c>
      <c r="H731" s="2" t="s">
        <v>9</v>
      </c>
    </row>
    <row r="732" spans="1:8" x14ac:dyDescent="0.25">
      <c r="A732" s="2">
        <v>521159</v>
      </c>
      <c r="B732" s="2" t="s">
        <v>277</v>
      </c>
      <c r="C732" s="2" t="s">
        <v>278</v>
      </c>
      <c r="D732" s="2">
        <v>30</v>
      </c>
      <c r="E732" s="3">
        <v>40423.581250000003</v>
      </c>
      <c r="F732" s="2">
        <v>1.95</v>
      </c>
      <c r="G732" s="2">
        <v>16779</v>
      </c>
      <c r="H732" s="2" t="s">
        <v>57</v>
      </c>
    </row>
    <row r="733" spans="1:8" x14ac:dyDescent="0.25">
      <c r="A733" s="2">
        <v>533143</v>
      </c>
      <c r="B733" s="2">
        <v>22355</v>
      </c>
      <c r="C733" s="2" t="s">
        <v>766</v>
      </c>
      <c r="D733" s="2">
        <v>10</v>
      </c>
      <c r="E733" s="3">
        <v>40498.561111111107</v>
      </c>
      <c r="F733" s="2">
        <v>0.85</v>
      </c>
      <c r="G733" s="2">
        <v>12766</v>
      </c>
      <c r="H733" s="2" t="s">
        <v>245</v>
      </c>
    </row>
    <row r="734" spans="1:8" x14ac:dyDescent="0.25">
      <c r="A734" s="2">
        <v>507664</v>
      </c>
      <c r="B734" s="2">
        <v>85141</v>
      </c>
      <c r="C734" s="2" t="s">
        <v>767</v>
      </c>
      <c r="D734" s="2">
        <v>2</v>
      </c>
      <c r="E734" s="3">
        <v>40308.710416666669</v>
      </c>
      <c r="F734" s="2">
        <v>10.75</v>
      </c>
      <c r="G734" s="2">
        <v>17871</v>
      </c>
      <c r="H734" s="2" t="s">
        <v>9</v>
      </c>
    </row>
    <row r="735" spans="1:8" x14ac:dyDescent="0.25">
      <c r="A735" s="2">
        <v>518848</v>
      </c>
      <c r="B735" s="2">
        <v>21463</v>
      </c>
      <c r="C735" s="2" t="s">
        <v>600</v>
      </c>
      <c r="D735" s="2">
        <v>2</v>
      </c>
      <c r="E735" s="3">
        <v>40402.493055555547</v>
      </c>
      <c r="F735" s="2">
        <v>5.95</v>
      </c>
      <c r="G735" s="2">
        <v>15298</v>
      </c>
      <c r="H735" s="2" t="s">
        <v>9</v>
      </c>
    </row>
    <row r="736" spans="1:8" x14ac:dyDescent="0.25">
      <c r="A736" s="2">
        <v>508468</v>
      </c>
      <c r="B736" s="2">
        <v>22430</v>
      </c>
      <c r="C736" s="2" t="s">
        <v>768</v>
      </c>
      <c r="D736" s="2">
        <v>5</v>
      </c>
      <c r="E736" s="3">
        <v>40314.448611111111</v>
      </c>
      <c r="F736" s="2">
        <v>4.95</v>
      </c>
      <c r="G736" s="2">
        <v>14060</v>
      </c>
      <c r="H736" s="2" t="s">
        <v>9</v>
      </c>
    </row>
    <row r="737" spans="1:8" x14ac:dyDescent="0.25">
      <c r="A737" s="2">
        <v>521367</v>
      </c>
      <c r="B737" s="2">
        <v>20972</v>
      </c>
      <c r="C737" s="2" t="s">
        <v>512</v>
      </c>
      <c r="D737" s="2">
        <v>12</v>
      </c>
      <c r="E737" s="3">
        <v>40426.461111111108</v>
      </c>
      <c r="F737" s="2">
        <v>1.25</v>
      </c>
      <c r="G737" s="2">
        <v>14753</v>
      </c>
      <c r="H737" s="2" t="s">
        <v>9</v>
      </c>
    </row>
    <row r="738" spans="1:8" x14ac:dyDescent="0.25">
      <c r="A738" s="2" t="s">
        <v>769</v>
      </c>
      <c r="B738" s="2">
        <v>22806</v>
      </c>
      <c r="C738" s="2" t="s">
        <v>770</v>
      </c>
      <c r="D738" s="2">
        <v>-48</v>
      </c>
      <c r="E738" s="3">
        <v>40473.585416666669</v>
      </c>
      <c r="F738" s="2">
        <v>2.5499999999999998</v>
      </c>
      <c r="G738" s="2">
        <v>13316</v>
      </c>
      <c r="H738" s="2" t="s">
        <v>9</v>
      </c>
    </row>
    <row r="739" spans="1:8" x14ac:dyDescent="0.25">
      <c r="A739" s="2">
        <v>537254</v>
      </c>
      <c r="B739" s="2">
        <v>22149</v>
      </c>
      <c r="C739" s="2" t="s">
        <v>450</v>
      </c>
      <c r="D739" s="2">
        <v>2</v>
      </c>
      <c r="E739" s="3">
        <v>40518.459027777782</v>
      </c>
      <c r="F739" s="2">
        <v>2.1</v>
      </c>
      <c r="G739" s="2">
        <v>15898</v>
      </c>
      <c r="H739" s="2" t="s">
        <v>9</v>
      </c>
    </row>
    <row r="740" spans="1:8" x14ac:dyDescent="0.25">
      <c r="A740" s="2">
        <v>515335</v>
      </c>
      <c r="B740" s="2" t="s">
        <v>21</v>
      </c>
      <c r="C740" s="2" t="s">
        <v>22</v>
      </c>
      <c r="D740" s="2">
        <v>1</v>
      </c>
      <c r="E740" s="3">
        <v>40370.59652777778</v>
      </c>
      <c r="F740" s="2">
        <v>5.95</v>
      </c>
      <c r="G740" s="2">
        <v>14606</v>
      </c>
      <c r="H740" s="2" t="s">
        <v>9</v>
      </c>
    </row>
    <row r="741" spans="1:8" x14ac:dyDescent="0.25">
      <c r="A741" s="2">
        <v>512946</v>
      </c>
      <c r="B741" s="2" t="s">
        <v>771</v>
      </c>
      <c r="C741" s="2" t="s">
        <v>772</v>
      </c>
      <c r="D741" s="2">
        <v>4</v>
      </c>
      <c r="E741" s="3">
        <v>40349.647222222222</v>
      </c>
      <c r="F741" s="2">
        <v>0.85</v>
      </c>
      <c r="G741" s="2">
        <v>17625</v>
      </c>
      <c r="H741" s="2" t="s">
        <v>57</v>
      </c>
    </row>
    <row r="742" spans="1:8" x14ac:dyDescent="0.25">
      <c r="A742" s="2">
        <v>501657</v>
      </c>
      <c r="B742" s="2">
        <v>21894</v>
      </c>
      <c r="C742" s="2" t="s">
        <v>773</v>
      </c>
      <c r="D742" s="2">
        <v>1</v>
      </c>
      <c r="E742" s="3">
        <v>40255.548611111109</v>
      </c>
      <c r="F742" s="2">
        <v>1.25</v>
      </c>
      <c r="G742" s="2">
        <v>13243</v>
      </c>
      <c r="H742" s="2" t="s">
        <v>9</v>
      </c>
    </row>
    <row r="743" spans="1:8" x14ac:dyDescent="0.25">
      <c r="A743" s="2">
        <v>535953</v>
      </c>
      <c r="B743" s="2" t="s">
        <v>277</v>
      </c>
      <c r="C743" s="2" t="s">
        <v>278</v>
      </c>
      <c r="D743" s="2">
        <v>10</v>
      </c>
      <c r="E743" s="3">
        <v>40511.509027777778</v>
      </c>
      <c r="F743" s="2">
        <v>1.95</v>
      </c>
      <c r="G743" s="2">
        <v>15039</v>
      </c>
      <c r="H743" s="2" t="s">
        <v>9</v>
      </c>
    </row>
    <row r="744" spans="1:8" x14ac:dyDescent="0.25">
      <c r="A744" s="2">
        <v>533827</v>
      </c>
      <c r="B744" s="2">
        <v>22543</v>
      </c>
      <c r="C744" s="2" t="s">
        <v>774</v>
      </c>
      <c r="D744" s="2">
        <v>24</v>
      </c>
      <c r="E744" s="3">
        <v>40501.420138888891</v>
      </c>
      <c r="F744" s="2">
        <v>0.42</v>
      </c>
      <c r="G744" s="2">
        <v>12670</v>
      </c>
      <c r="H744" s="2" t="s">
        <v>28</v>
      </c>
    </row>
    <row r="745" spans="1:8" x14ac:dyDescent="0.25">
      <c r="A745" s="2">
        <v>532802</v>
      </c>
      <c r="B745" s="2">
        <v>84692</v>
      </c>
      <c r="C745" s="2" t="s">
        <v>716</v>
      </c>
      <c r="D745" s="2">
        <v>3</v>
      </c>
      <c r="E745" s="3">
        <v>40496.62222222222</v>
      </c>
      <c r="F745" s="2">
        <v>0.42</v>
      </c>
      <c r="G745" s="2">
        <v>17255</v>
      </c>
      <c r="H745" s="2" t="s">
        <v>9</v>
      </c>
    </row>
    <row r="746" spans="1:8" x14ac:dyDescent="0.25">
      <c r="A746" s="2">
        <v>489574</v>
      </c>
      <c r="B746" s="2">
        <v>21893</v>
      </c>
      <c r="C746" s="2" t="s">
        <v>775</v>
      </c>
      <c r="D746" s="2">
        <v>3</v>
      </c>
      <c r="E746" s="3">
        <v>40148.563194444447</v>
      </c>
      <c r="F746" s="2">
        <v>4.25</v>
      </c>
      <c r="G746" s="2">
        <v>13097</v>
      </c>
      <c r="H746" s="2" t="s">
        <v>9</v>
      </c>
    </row>
    <row r="747" spans="1:8" x14ac:dyDescent="0.25">
      <c r="A747" s="2">
        <v>494679</v>
      </c>
      <c r="B747" s="2">
        <v>22179</v>
      </c>
      <c r="C747" s="2" t="s">
        <v>628</v>
      </c>
      <c r="D747" s="2">
        <v>2</v>
      </c>
      <c r="E747" s="3">
        <v>40196.432638888888</v>
      </c>
      <c r="F747" s="2">
        <v>6.75</v>
      </c>
      <c r="G747" s="2">
        <v>12877</v>
      </c>
      <c r="H747" s="2" t="s">
        <v>9</v>
      </c>
    </row>
    <row r="748" spans="1:8" x14ac:dyDescent="0.25">
      <c r="A748" s="2">
        <v>527284</v>
      </c>
      <c r="B748" s="2">
        <v>85161</v>
      </c>
      <c r="C748" s="2" t="s">
        <v>776</v>
      </c>
      <c r="D748" s="2">
        <v>1</v>
      </c>
      <c r="E748" s="3">
        <v>40466.571527777778</v>
      </c>
      <c r="F748" s="2">
        <v>18.95</v>
      </c>
      <c r="G748" s="2">
        <v>12748</v>
      </c>
      <c r="H748" s="2" t="s">
        <v>9</v>
      </c>
    </row>
    <row r="749" spans="1:8" x14ac:dyDescent="0.25">
      <c r="A749" s="2">
        <v>495237</v>
      </c>
      <c r="B749" s="2">
        <v>22355</v>
      </c>
      <c r="C749" s="2" t="s">
        <v>97</v>
      </c>
      <c r="D749" s="2">
        <v>10</v>
      </c>
      <c r="E749" s="3">
        <v>40200.405555555553</v>
      </c>
      <c r="F749" s="2">
        <v>0.85</v>
      </c>
      <c r="G749" s="2">
        <v>17160</v>
      </c>
      <c r="H749" s="2" t="s">
        <v>9</v>
      </c>
    </row>
    <row r="750" spans="1:8" x14ac:dyDescent="0.25">
      <c r="A750" s="2">
        <v>532290</v>
      </c>
      <c r="B750" s="2">
        <v>22677</v>
      </c>
      <c r="C750" s="2" t="s">
        <v>777</v>
      </c>
      <c r="D750" s="2">
        <v>10</v>
      </c>
      <c r="E750" s="3">
        <v>40493.55972222222</v>
      </c>
      <c r="F750" s="2">
        <v>1.25</v>
      </c>
      <c r="G750" s="2">
        <v>17675</v>
      </c>
      <c r="H750" s="2" t="s">
        <v>9</v>
      </c>
    </row>
    <row r="751" spans="1:8" x14ac:dyDescent="0.25">
      <c r="A751" s="2">
        <v>493432</v>
      </c>
      <c r="B751" s="2" t="s">
        <v>778</v>
      </c>
      <c r="C751" s="2" t="s">
        <v>779</v>
      </c>
      <c r="D751" s="2">
        <v>2</v>
      </c>
      <c r="E751" s="3">
        <v>40182.520833333343</v>
      </c>
      <c r="F751" s="2">
        <v>9.9499999999999993</v>
      </c>
      <c r="G751" s="2">
        <v>14680</v>
      </c>
      <c r="H751" s="2" t="s">
        <v>57</v>
      </c>
    </row>
    <row r="752" spans="1:8" x14ac:dyDescent="0.25">
      <c r="A752" s="2">
        <v>513750</v>
      </c>
      <c r="B752" s="2">
        <v>22534</v>
      </c>
      <c r="C752" s="2" t="s">
        <v>780</v>
      </c>
      <c r="D752" s="2">
        <v>2</v>
      </c>
      <c r="E752" s="3">
        <v>40357.526388888888</v>
      </c>
      <c r="F752" s="2">
        <v>0.42</v>
      </c>
      <c r="G752" s="2">
        <v>17019</v>
      </c>
      <c r="H752" s="2" t="s">
        <v>9</v>
      </c>
    </row>
    <row r="753" spans="1:8" x14ac:dyDescent="0.25">
      <c r="A753" s="2">
        <v>509973</v>
      </c>
      <c r="B753" s="2" t="s">
        <v>781</v>
      </c>
      <c r="C753" s="2" t="s">
        <v>782</v>
      </c>
      <c r="D753" s="2">
        <v>6</v>
      </c>
      <c r="E753" s="3">
        <v>40324.565972222219</v>
      </c>
      <c r="F753" s="2">
        <v>2.95</v>
      </c>
      <c r="G753" s="2">
        <v>14938</v>
      </c>
      <c r="H753" s="2" t="s">
        <v>230</v>
      </c>
    </row>
    <row r="754" spans="1:8" x14ac:dyDescent="0.25">
      <c r="A754" s="2">
        <v>513830</v>
      </c>
      <c r="B754" s="2">
        <v>22417</v>
      </c>
      <c r="C754" s="2" t="s">
        <v>451</v>
      </c>
      <c r="D754" s="2">
        <v>24</v>
      </c>
      <c r="E754" s="3">
        <v>40358.45416666667</v>
      </c>
      <c r="F754" s="2">
        <v>0.55000000000000004</v>
      </c>
      <c r="G754" s="2">
        <v>13089</v>
      </c>
      <c r="H754" s="2" t="s">
        <v>9</v>
      </c>
    </row>
    <row r="755" spans="1:8" x14ac:dyDescent="0.25">
      <c r="A755" s="2">
        <v>505721</v>
      </c>
      <c r="B755" s="2">
        <v>21657</v>
      </c>
      <c r="C755" s="2" t="s">
        <v>783</v>
      </c>
      <c r="D755" s="2">
        <v>1</v>
      </c>
      <c r="E755" s="3">
        <v>40293.569444444453</v>
      </c>
      <c r="F755" s="2">
        <v>6.95</v>
      </c>
      <c r="G755" s="2">
        <v>15055</v>
      </c>
      <c r="H755" s="2" t="s">
        <v>9</v>
      </c>
    </row>
    <row r="756" spans="1:8" x14ac:dyDescent="0.25">
      <c r="A756" s="2">
        <v>506000</v>
      </c>
      <c r="B756" s="2">
        <v>21896</v>
      </c>
      <c r="C756" s="2" t="s">
        <v>784</v>
      </c>
      <c r="D756" s="2">
        <v>26</v>
      </c>
      <c r="E756" s="3">
        <v>40295.455555555563</v>
      </c>
      <c r="F756" s="2">
        <v>2.1</v>
      </c>
      <c r="G756" s="2">
        <v>16088</v>
      </c>
      <c r="H756" s="2" t="s">
        <v>9</v>
      </c>
    </row>
    <row r="757" spans="1:8" x14ac:dyDescent="0.25">
      <c r="A757" s="2">
        <v>513975</v>
      </c>
      <c r="B757" s="2">
        <v>22649</v>
      </c>
      <c r="C757" s="2" t="s">
        <v>785</v>
      </c>
      <c r="D757" s="2">
        <v>2</v>
      </c>
      <c r="E757" s="3">
        <v>40358.696527777778</v>
      </c>
      <c r="F757" s="2">
        <v>4.95</v>
      </c>
      <c r="G757" s="2">
        <v>13451</v>
      </c>
      <c r="H757" s="2" t="s">
        <v>9</v>
      </c>
    </row>
    <row r="758" spans="1:8" x14ac:dyDescent="0.25">
      <c r="A758" s="2">
        <v>525073</v>
      </c>
      <c r="B758" s="2" t="s">
        <v>786</v>
      </c>
      <c r="C758" s="2" t="s">
        <v>787</v>
      </c>
      <c r="D758" s="2">
        <v>2</v>
      </c>
      <c r="E758" s="3">
        <v>40454.619444444441</v>
      </c>
      <c r="F758" s="2">
        <v>18</v>
      </c>
      <c r="G758" s="2">
        <v>12490</v>
      </c>
      <c r="H758" s="2" t="s">
        <v>28</v>
      </c>
    </row>
    <row r="759" spans="1:8" x14ac:dyDescent="0.25">
      <c r="A759" s="2" t="s">
        <v>788</v>
      </c>
      <c r="B759" s="2">
        <v>20761</v>
      </c>
      <c r="C759" s="2" t="s">
        <v>789</v>
      </c>
      <c r="D759" s="2">
        <v>-4</v>
      </c>
      <c r="E759" s="3">
        <v>40246.573611111111</v>
      </c>
      <c r="F759" s="2">
        <v>3.75</v>
      </c>
      <c r="G759" s="2">
        <v>14748</v>
      </c>
      <c r="H759" s="2" t="s">
        <v>9</v>
      </c>
    </row>
    <row r="760" spans="1:8" x14ac:dyDescent="0.25">
      <c r="A760" s="2">
        <v>531754</v>
      </c>
      <c r="B760" s="2">
        <v>22767</v>
      </c>
      <c r="C760" s="2" t="s">
        <v>790</v>
      </c>
      <c r="D760" s="2" t="s">
        <v>711</v>
      </c>
      <c r="E760" s="3">
        <v>40491.553472222222</v>
      </c>
      <c r="F760" s="2">
        <v>9.9499999999999993</v>
      </c>
      <c r="G760" s="2">
        <v>16977</v>
      </c>
      <c r="H760" s="2" t="s">
        <v>9</v>
      </c>
    </row>
    <row r="761" spans="1:8" x14ac:dyDescent="0.25">
      <c r="A761" s="2">
        <v>498827</v>
      </c>
      <c r="B761" s="2" t="s">
        <v>791</v>
      </c>
      <c r="C761" s="2" t="s">
        <v>792</v>
      </c>
      <c r="D761" s="2">
        <v>100</v>
      </c>
      <c r="E761" s="3">
        <v>40232.48333333333</v>
      </c>
      <c r="F761" s="2">
        <v>1.69</v>
      </c>
      <c r="G761" s="2">
        <v>13798</v>
      </c>
      <c r="H761" s="2" t="s">
        <v>57</v>
      </c>
    </row>
    <row r="762" spans="1:8" x14ac:dyDescent="0.25">
      <c r="A762" s="2">
        <v>493050</v>
      </c>
      <c r="B762" s="2">
        <v>21479</v>
      </c>
      <c r="C762" s="2" t="s">
        <v>422</v>
      </c>
      <c r="D762" s="2">
        <v>1</v>
      </c>
      <c r="E762" s="3">
        <v>40168.683333333327</v>
      </c>
      <c r="F762" s="2">
        <v>3.75</v>
      </c>
      <c r="G762" s="2">
        <v>17377</v>
      </c>
      <c r="H762" s="2" t="s">
        <v>9</v>
      </c>
    </row>
    <row r="763" spans="1:8" x14ac:dyDescent="0.25">
      <c r="A763" s="2">
        <v>515192</v>
      </c>
      <c r="B763" s="2">
        <v>21115</v>
      </c>
      <c r="C763" s="2" t="s">
        <v>793</v>
      </c>
      <c r="D763" s="2">
        <v>3</v>
      </c>
      <c r="E763" s="3">
        <v>40368.43472222222</v>
      </c>
      <c r="F763" s="2">
        <v>6.75</v>
      </c>
      <c r="G763" s="2">
        <v>18225</v>
      </c>
      <c r="H763" s="2" t="s">
        <v>9</v>
      </c>
    </row>
    <row r="764" spans="1:8" x14ac:dyDescent="0.25">
      <c r="A764" s="2">
        <v>502848</v>
      </c>
      <c r="B764" s="2">
        <v>82486</v>
      </c>
      <c r="C764" s="2" t="s">
        <v>794</v>
      </c>
      <c r="D764" s="2">
        <v>2</v>
      </c>
      <c r="E764" s="3">
        <v>40265.586111111108</v>
      </c>
      <c r="F764" s="2">
        <v>7.95</v>
      </c>
      <c r="G764" s="2">
        <v>15570</v>
      </c>
      <c r="H764" s="2" t="s">
        <v>9</v>
      </c>
    </row>
    <row r="765" spans="1:8" x14ac:dyDescent="0.25">
      <c r="A765" s="2">
        <v>530302</v>
      </c>
      <c r="B765" s="2">
        <v>22411</v>
      </c>
      <c r="C765" s="2" t="s">
        <v>206</v>
      </c>
      <c r="D765" s="2">
        <v>10</v>
      </c>
      <c r="E765" s="3">
        <v>40484.546527777777</v>
      </c>
      <c r="F765" s="2">
        <v>1.95</v>
      </c>
      <c r="G765" s="2">
        <v>17003</v>
      </c>
      <c r="H765" s="2" t="s">
        <v>9</v>
      </c>
    </row>
    <row r="766" spans="1:8" x14ac:dyDescent="0.25">
      <c r="A766" s="2">
        <v>503432</v>
      </c>
      <c r="B766" s="2">
        <v>22468</v>
      </c>
      <c r="C766" s="2" t="s">
        <v>592</v>
      </c>
      <c r="D766" s="2">
        <v>6</v>
      </c>
      <c r="E766" s="3">
        <v>40269.356944444437</v>
      </c>
      <c r="F766" s="2">
        <v>6.75</v>
      </c>
      <c r="G766" s="2">
        <v>17739</v>
      </c>
      <c r="H766" s="2" t="s">
        <v>9</v>
      </c>
    </row>
    <row r="767" spans="1:8" x14ac:dyDescent="0.25">
      <c r="A767" s="2">
        <v>493716</v>
      </c>
      <c r="B767" s="2">
        <v>21614</v>
      </c>
      <c r="C767" s="2" t="s">
        <v>795</v>
      </c>
      <c r="D767" s="2">
        <v>6</v>
      </c>
      <c r="E767" s="3">
        <v>40183.701388888891</v>
      </c>
      <c r="F767" s="2">
        <v>2.95</v>
      </c>
      <c r="G767" s="2">
        <v>17364</v>
      </c>
      <c r="H767" s="2" t="s">
        <v>9</v>
      </c>
    </row>
    <row r="768" spans="1:8" x14ac:dyDescent="0.25">
      <c r="A768" s="2">
        <v>498107</v>
      </c>
      <c r="B768" s="2">
        <v>21930</v>
      </c>
      <c r="C768" s="2" t="s">
        <v>58</v>
      </c>
      <c r="D768" s="2">
        <v>10</v>
      </c>
      <c r="E768" s="3">
        <v>40225.581250000003</v>
      </c>
      <c r="F768" s="2">
        <v>1.95</v>
      </c>
      <c r="G768" s="2">
        <v>15078</v>
      </c>
      <c r="H768" s="2" t="s">
        <v>9</v>
      </c>
    </row>
    <row r="769" spans="1:8" x14ac:dyDescent="0.25">
      <c r="A769" s="2">
        <v>532964</v>
      </c>
      <c r="B769" s="2">
        <v>22510</v>
      </c>
      <c r="C769" s="2" t="s">
        <v>796</v>
      </c>
      <c r="D769" s="2">
        <v>1</v>
      </c>
      <c r="E769" s="3">
        <v>40497.529861111107</v>
      </c>
      <c r="F769" s="2">
        <v>3.75</v>
      </c>
      <c r="G769" s="2">
        <v>15493</v>
      </c>
      <c r="H769" s="2" t="s">
        <v>9</v>
      </c>
    </row>
    <row r="770" spans="1:8" x14ac:dyDescent="0.25">
      <c r="A770" s="2">
        <v>523132</v>
      </c>
      <c r="B770" s="2" t="s">
        <v>797</v>
      </c>
      <c r="C770" s="2" t="s">
        <v>798</v>
      </c>
      <c r="D770" s="2">
        <v>2</v>
      </c>
      <c r="E770" s="3">
        <v>40441.584722222222</v>
      </c>
      <c r="F770" s="2" t="s">
        <v>799</v>
      </c>
      <c r="G770" s="2">
        <v>17167</v>
      </c>
      <c r="H770" s="2" t="s">
        <v>9</v>
      </c>
    </row>
    <row r="771" spans="1:8" x14ac:dyDescent="0.25">
      <c r="A771" s="2">
        <v>493326</v>
      </c>
      <c r="B771" s="2">
        <v>21527</v>
      </c>
      <c r="C771" s="2" t="s">
        <v>800</v>
      </c>
      <c r="D771" s="2">
        <v>24</v>
      </c>
      <c r="E771" s="3">
        <v>40170.388888888891</v>
      </c>
      <c r="F771" s="2">
        <v>6.95</v>
      </c>
      <c r="G771" s="2">
        <v>18092</v>
      </c>
      <c r="H771" s="2" t="s">
        <v>9</v>
      </c>
    </row>
    <row r="772" spans="1:8" x14ac:dyDescent="0.25">
      <c r="A772" s="2">
        <v>527266</v>
      </c>
      <c r="B772" s="2">
        <v>20724</v>
      </c>
      <c r="C772" s="2" t="s">
        <v>801</v>
      </c>
      <c r="D772" s="2">
        <v>10</v>
      </c>
      <c r="E772" s="3">
        <v>40466.536111111112</v>
      </c>
      <c r="F772" s="2">
        <v>0.85</v>
      </c>
      <c r="G772" s="2">
        <v>15005</v>
      </c>
      <c r="H772" s="2" t="s">
        <v>57</v>
      </c>
    </row>
    <row r="773" spans="1:8" x14ac:dyDescent="0.25">
      <c r="A773" s="2">
        <v>500857</v>
      </c>
      <c r="B773" s="2">
        <v>20718</v>
      </c>
      <c r="C773" s="2" t="s">
        <v>593</v>
      </c>
      <c r="D773" s="2">
        <v>3</v>
      </c>
      <c r="E773" s="3">
        <v>40247.515972222223</v>
      </c>
      <c r="F773" s="2">
        <v>1.25</v>
      </c>
      <c r="G773" s="2">
        <v>15911</v>
      </c>
      <c r="H773" s="2" t="s">
        <v>9</v>
      </c>
    </row>
    <row r="774" spans="1:8" x14ac:dyDescent="0.25">
      <c r="A774" s="2">
        <v>505636</v>
      </c>
      <c r="B774" s="2">
        <v>84992</v>
      </c>
      <c r="C774" s="2" t="s">
        <v>400</v>
      </c>
      <c r="D774" s="2">
        <v>24</v>
      </c>
      <c r="E774" s="3">
        <v>40291.557638888888</v>
      </c>
      <c r="F774" s="2">
        <v>0.55000000000000004</v>
      </c>
      <c r="G774" s="2">
        <v>14755</v>
      </c>
      <c r="H774" s="2" t="s">
        <v>9</v>
      </c>
    </row>
    <row r="775" spans="1:8" x14ac:dyDescent="0.25">
      <c r="A775" s="2">
        <v>525077</v>
      </c>
      <c r="B775" s="2">
        <v>22375</v>
      </c>
      <c r="C775" s="2" t="s">
        <v>641</v>
      </c>
      <c r="D775" s="2">
        <v>6</v>
      </c>
      <c r="E775" s="3">
        <v>40454.645833333343</v>
      </c>
      <c r="F775" s="2">
        <v>4.25</v>
      </c>
      <c r="G775" s="2">
        <v>16485</v>
      </c>
      <c r="H775" s="2" t="s">
        <v>9</v>
      </c>
    </row>
    <row r="776" spans="1:8" x14ac:dyDescent="0.25">
      <c r="A776" s="2">
        <v>522384</v>
      </c>
      <c r="B776" s="2">
        <v>21977</v>
      </c>
      <c r="C776" s="2" t="s">
        <v>612</v>
      </c>
      <c r="D776" s="2">
        <v>24</v>
      </c>
      <c r="E776" s="3">
        <v>40435.463888888888</v>
      </c>
      <c r="F776" s="2">
        <v>0.55000000000000004</v>
      </c>
      <c r="G776" s="2">
        <v>15673</v>
      </c>
      <c r="H776" s="2" t="s">
        <v>9</v>
      </c>
    </row>
    <row r="777" spans="1:8" x14ac:dyDescent="0.25">
      <c r="A777" s="2">
        <v>528919</v>
      </c>
      <c r="B777" s="2">
        <v>22669</v>
      </c>
      <c r="C777" s="2" t="s">
        <v>307</v>
      </c>
      <c r="D777" s="2">
        <v>2</v>
      </c>
      <c r="E777" s="3">
        <v>40476.602083333331</v>
      </c>
      <c r="F777" s="2">
        <v>2.95</v>
      </c>
      <c r="G777" s="2">
        <v>16259</v>
      </c>
      <c r="H777" s="2" t="s">
        <v>9</v>
      </c>
    </row>
    <row r="778" spans="1:8" x14ac:dyDescent="0.25">
      <c r="A778" s="2">
        <v>511474</v>
      </c>
      <c r="B778" s="2" t="s">
        <v>802</v>
      </c>
      <c r="C778" s="2" t="s">
        <v>803</v>
      </c>
      <c r="D778" s="2">
        <v>2</v>
      </c>
      <c r="E778" s="3">
        <v>40337.560416666667</v>
      </c>
      <c r="F778" s="2">
        <v>5.95</v>
      </c>
      <c r="G778" s="2">
        <v>16791</v>
      </c>
      <c r="H778" s="2" t="s">
        <v>9</v>
      </c>
    </row>
    <row r="779" spans="1:8" x14ac:dyDescent="0.25">
      <c r="A779" s="2">
        <v>511864</v>
      </c>
      <c r="B779" s="2">
        <v>84991</v>
      </c>
      <c r="C779" s="2" t="s">
        <v>666</v>
      </c>
      <c r="D779" s="2">
        <v>1</v>
      </c>
      <c r="E779" s="3">
        <v>40340.432638888888</v>
      </c>
      <c r="F779" s="2">
        <v>0.55000000000000004</v>
      </c>
      <c r="G779" s="2">
        <v>15910</v>
      </c>
      <c r="H779" s="2" t="s">
        <v>9</v>
      </c>
    </row>
    <row r="780" spans="1:8" x14ac:dyDescent="0.25">
      <c r="A780" s="2">
        <v>535457</v>
      </c>
      <c r="B780" s="2">
        <v>84879</v>
      </c>
      <c r="C780" s="2" t="s">
        <v>143</v>
      </c>
      <c r="D780" s="2">
        <v>9</v>
      </c>
      <c r="E780" s="3">
        <v>40508.538888888892</v>
      </c>
      <c r="F780" s="2">
        <v>1.69</v>
      </c>
      <c r="G780" s="2">
        <v>15028</v>
      </c>
      <c r="H780" s="2" t="s">
        <v>9</v>
      </c>
    </row>
    <row r="781" spans="1:8" x14ac:dyDescent="0.25">
      <c r="A781" s="2">
        <v>521958</v>
      </c>
      <c r="B781" s="2">
        <v>21239</v>
      </c>
      <c r="C781" s="2" t="s">
        <v>804</v>
      </c>
      <c r="D781" s="2">
        <v>8</v>
      </c>
      <c r="E781" s="3">
        <v>40430.759722222218</v>
      </c>
      <c r="F781" s="2">
        <v>0.85</v>
      </c>
      <c r="G781" s="2">
        <v>12708</v>
      </c>
      <c r="H781" s="2" t="s">
        <v>17</v>
      </c>
    </row>
    <row r="782" spans="1:8" x14ac:dyDescent="0.25">
      <c r="A782" s="2">
        <v>521896</v>
      </c>
      <c r="B782" s="2">
        <v>22197</v>
      </c>
      <c r="C782" s="2" t="s">
        <v>805</v>
      </c>
      <c r="D782" s="2">
        <v>12</v>
      </c>
      <c r="E782" s="3">
        <v>40430.513194444437</v>
      </c>
      <c r="F782" s="2">
        <v>0.85</v>
      </c>
      <c r="G782" s="2">
        <v>12682</v>
      </c>
      <c r="H782" s="2" t="s">
        <v>28</v>
      </c>
    </row>
    <row r="783" spans="1:8" x14ac:dyDescent="0.25">
      <c r="A783" s="2">
        <v>517336</v>
      </c>
      <c r="B783" s="2">
        <v>20975</v>
      </c>
      <c r="C783" s="2" t="s">
        <v>806</v>
      </c>
      <c r="D783" s="2">
        <v>4</v>
      </c>
      <c r="E783" s="3">
        <v>40387.566666666673</v>
      </c>
      <c r="F783" s="2">
        <v>0.65</v>
      </c>
      <c r="G783" s="2">
        <v>13590</v>
      </c>
      <c r="H783" s="2" t="s">
        <v>9</v>
      </c>
    </row>
    <row r="784" spans="1:8" x14ac:dyDescent="0.25">
      <c r="A784" s="2">
        <v>503251</v>
      </c>
      <c r="B784" s="2">
        <v>21590</v>
      </c>
      <c r="C784" s="2" t="s">
        <v>345</v>
      </c>
      <c r="D784" s="2">
        <v>24</v>
      </c>
      <c r="E784" s="2" t="s">
        <v>807</v>
      </c>
      <c r="F784" s="2">
        <v>1.25</v>
      </c>
      <c r="G784" s="2">
        <v>15754</v>
      </c>
      <c r="H784" s="2" t="s">
        <v>9</v>
      </c>
    </row>
    <row r="785" spans="1:8" x14ac:dyDescent="0.25">
      <c r="A785" s="2">
        <v>530323</v>
      </c>
      <c r="B785" s="2">
        <v>22776</v>
      </c>
      <c r="C785" s="2" t="s">
        <v>808</v>
      </c>
      <c r="D785" s="2">
        <v>1</v>
      </c>
      <c r="E785" s="3">
        <v>40484.566666666673</v>
      </c>
      <c r="F785" s="2">
        <v>9.9499999999999993</v>
      </c>
      <c r="G785" s="2">
        <v>16255</v>
      </c>
      <c r="H785" s="2" t="s">
        <v>9</v>
      </c>
    </row>
    <row r="786" spans="1:8" x14ac:dyDescent="0.25">
      <c r="A786" s="2">
        <v>505364</v>
      </c>
      <c r="B786" s="2">
        <v>35644</v>
      </c>
      <c r="C786" s="2" t="s">
        <v>809</v>
      </c>
      <c r="D786" s="2">
        <v>4</v>
      </c>
      <c r="E786" s="3">
        <v>40289.656944444447</v>
      </c>
      <c r="F786" s="2">
        <v>1.95</v>
      </c>
      <c r="G786" s="2">
        <v>14395</v>
      </c>
      <c r="H786" s="2" t="s">
        <v>9</v>
      </c>
    </row>
    <row r="787" spans="1:8" x14ac:dyDescent="0.25">
      <c r="A787" s="2">
        <v>517960</v>
      </c>
      <c r="B787" s="2">
        <v>22386</v>
      </c>
      <c r="C787" s="2" t="s">
        <v>810</v>
      </c>
      <c r="D787" s="2">
        <v>10</v>
      </c>
      <c r="E787" s="3">
        <v>40393.522222222222</v>
      </c>
      <c r="F787" s="2">
        <v>1.95</v>
      </c>
      <c r="G787" s="2">
        <v>14841</v>
      </c>
      <c r="H787" s="2" t="s">
        <v>9</v>
      </c>
    </row>
    <row r="788" spans="1:8" x14ac:dyDescent="0.25">
      <c r="A788" s="2">
        <v>510141</v>
      </c>
      <c r="B788" s="2">
        <v>21158</v>
      </c>
      <c r="C788" s="2" t="s">
        <v>811</v>
      </c>
      <c r="D788" s="2">
        <v>1</v>
      </c>
      <c r="E788" s="3">
        <v>40325.520833333343</v>
      </c>
      <c r="F788" s="2">
        <v>1.45</v>
      </c>
      <c r="G788" s="2">
        <v>14069</v>
      </c>
      <c r="H788" s="2" t="s">
        <v>9</v>
      </c>
    </row>
    <row r="789" spans="1:8" x14ac:dyDescent="0.25">
      <c r="A789" s="2">
        <v>525433</v>
      </c>
      <c r="B789" s="2">
        <v>21755</v>
      </c>
      <c r="C789" s="2" t="s">
        <v>360</v>
      </c>
      <c r="D789" s="2">
        <v>3</v>
      </c>
      <c r="E789" s="3">
        <v>40456.552083333343</v>
      </c>
      <c r="F789" s="2">
        <v>5.95</v>
      </c>
      <c r="G789" s="2">
        <v>14180</v>
      </c>
      <c r="H789" s="2" t="s">
        <v>9</v>
      </c>
    </row>
    <row r="790" spans="1:8" x14ac:dyDescent="0.25">
      <c r="A790" s="2">
        <v>534160</v>
      </c>
      <c r="B790" s="2">
        <v>21107</v>
      </c>
      <c r="C790" s="2" t="s">
        <v>672</v>
      </c>
      <c r="D790" s="2">
        <v>1</v>
      </c>
      <c r="E790" s="3">
        <v>40503.538194444453</v>
      </c>
      <c r="F790" s="2">
        <v>2.95</v>
      </c>
      <c r="G790" s="2">
        <v>12858</v>
      </c>
      <c r="H790" s="2" t="s">
        <v>9</v>
      </c>
    </row>
    <row r="791" spans="1:8" x14ac:dyDescent="0.25">
      <c r="A791" s="2">
        <v>505496</v>
      </c>
      <c r="B791" s="2">
        <v>22554</v>
      </c>
      <c r="C791" s="2" t="s">
        <v>812</v>
      </c>
      <c r="D791" s="2">
        <v>12</v>
      </c>
      <c r="E791" s="3">
        <v>40290.55972222222</v>
      </c>
      <c r="F791" s="2">
        <v>1.65</v>
      </c>
      <c r="G791" s="2">
        <v>15651</v>
      </c>
      <c r="H791" s="2" t="s">
        <v>9</v>
      </c>
    </row>
    <row r="792" spans="1:8" x14ac:dyDescent="0.25">
      <c r="A792" s="2">
        <v>524420</v>
      </c>
      <c r="B792" s="2">
        <v>21744</v>
      </c>
      <c r="C792" s="2" t="s">
        <v>813</v>
      </c>
      <c r="D792" s="2">
        <v>12</v>
      </c>
      <c r="E792" s="3">
        <v>40450.431944444441</v>
      </c>
      <c r="F792" s="2">
        <v>2.95</v>
      </c>
      <c r="G792" s="2">
        <v>16293</v>
      </c>
      <c r="H792" s="2" t="s">
        <v>9</v>
      </c>
    </row>
    <row r="793" spans="1:8" x14ac:dyDescent="0.25">
      <c r="A793" s="2">
        <v>518767</v>
      </c>
      <c r="B793" s="2">
        <v>21870</v>
      </c>
      <c r="C793" s="2" t="s">
        <v>192</v>
      </c>
      <c r="D793" s="2">
        <v>12</v>
      </c>
      <c r="E793" s="3">
        <v>40401.618055555547</v>
      </c>
      <c r="F793" s="2">
        <v>1.25</v>
      </c>
      <c r="G793" s="2">
        <v>17469</v>
      </c>
      <c r="H793" s="2" t="s">
        <v>9</v>
      </c>
    </row>
    <row r="794" spans="1:8" x14ac:dyDescent="0.25">
      <c r="A794" s="2">
        <v>517487</v>
      </c>
      <c r="B794" s="2">
        <v>22332</v>
      </c>
      <c r="C794" s="2" t="s">
        <v>814</v>
      </c>
      <c r="D794" s="2">
        <v>3</v>
      </c>
      <c r="E794" s="3">
        <v>40388.523611111108</v>
      </c>
      <c r="F794" s="2">
        <v>1.65</v>
      </c>
      <c r="G794" s="2">
        <v>16779</v>
      </c>
      <c r="H794" s="2" t="s">
        <v>9</v>
      </c>
    </row>
    <row r="795" spans="1:8" x14ac:dyDescent="0.25">
      <c r="A795" s="2">
        <v>527819</v>
      </c>
      <c r="B795" s="2">
        <v>22147</v>
      </c>
      <c r="C795" s="2" t="s">
        <v>387</v>
      </c>
      <c r="D795" s="2">
        <v>1</v>
      </c>
      <c r="E795" s="3">
        <v>40470.473611111112</v>
      </c>
      <c r="F795" s="2">
        <v>1.45</v>
      </c>
      <c r="G795" s="2">
        <v>16515</v>
      </c>
      <c r="H795" s="2" t="s">
        <v>9</v>
      </c>
    </row>
    <row r="796" spans="1:8" x14ac:dyDescent="0.25">
      <c r="A796" s="2">
        <v>521970</v>
      </c>
      <c r="B796" s="2">
        <v>20906</v>
      </c>
      <c r="C796" s="2" t="s">
        <v>815</v>
      </c>
      <c r="D796" s="2">
        <v>1</v>
      </c>
      <c r="E796" s="3">
        <v>40430.807638888888</v>
      </c>
      <c r="G796" s="2">
        <v>17282</v>
      </c>
      <c r="H796" s="2" t="s">
        <v>9</v>
      </c>
    </row>
    <row r="797" spans="1:8" x14ac:dyDescent="0.25">
      <c r="A797" s="2">
        <v>524421</v>
      </c>
      <c r="B797" s="2">
        <v>21445</v>
      </c>
      <c r="C797" s="2" t="s">
        <v>490</v>
      </c>
      <c r="D797" s="2">
        <v>12</v>
      </c>
      <c r="E797" s="3">
        <v>40450.43472222222</v>
      </c>
      <c r="F797" s="2">
        <v>1.25</v>
      </c>
      <c r="G797" s="2">
        <v>13804</v>
      </c>
      <c r="H797" s="2" t="s">
        <v>9</v>
      </c>
    </row>
    <row r="798" spans="1:8" x14ac:dyDescent="0.25">
      <c r="A798" s="2">
        <v>505615</v>
      </c>
      <c r="B798" s="2">
        <v>22328</v>
      </c>
      <c r="C798" s="2" t="s">
        <v>91</v>
      </c>
      <c r="D798" s="2" t="s">
        <v>330</v>
      </c>
      <c r="E798" s="3">
        <v>40291.53402777778</v>
      </c>
      <c r="F798" s="2">
        <v>2.95</v>
      </c>
      <c r="G798" s="2">
        <v>15288</v>
      </c>
      <c r="H798" s="2" t="s">
        <v>9</v>
      </c>
    </row>
    <row r="799" spans="1:8" x14ac:dyDescent="0.25">
      <c r="A799" s="2">
        <v>534720</v>
      </c>
      <c r="B799" s="2">
        <v>22777</v>
      </c>
      <c r="C799" s="2" t="s">
        <v>816</v>
      </c>
      <c r="D799" s="2">
        <v>2</v>
      </c>
      <c r="E799" s="3">
        <v>40505.745138888888</v>
      </c>
      <c r="F799" s="2">
        <v>8.5</v>
      </c>
      <c r="G799" s="2">
        <v>14154</v>
      </c>
      <c r="H799" s="2" t="s">
        <v>9</v>
      </c>
    </row>
    <row r="800" spans="1:8" x14ac:dyDescent="0.25">
      <c r="A800" s="2">
        <v>533551</v>
      </c>
      <c r="B800" s="2">
        <v>85048</v>
      </c>
      <c r="C800" s="2" t="s">
        <v>817</v>
      </c>
      <c r="D800" s="2">
        <v>1</v>
      </c>
      <c r="E800" s="3">
        <v>40499.713888888888</v>
      </c>
      <c r="F800" s="2">
        <v>7.95</v>
      </c>
      <c r="G800" s="2">
        <v>17576</v>
      </c>
      <c r="H800" s="2" t="s">
        <v>9</v>
      </c>
    </row>
    <row r="801" spans="1:8" x14ac:dyDescent="0.25">
      <c r="A801" s="2">
        <v>503361</v>
      </c>
      <c r="B801" s="2">
        <v>22063</v>
      </c>
      <c r="C801" s="2" t="s">
        <v>487</v>
      </c>
      <c r="D801" s="2">
        <v>6</v>
      </c>
      <c r="E801" s="3">
        <v>40268.585416666669</v>
      </c>
      <c r="F801" s="2">
        <v>2.95</v>
      </c>
      <c r="G801" s="2">
        <v>17049</v>
      </c>
      <c r="H801" s="2" t="s">
        <v>9</v>
      </c>
    </row>
    <row r="802" spans="1:8" x14ac:dyDescent="0.25">
      <c r="A802" s="2">
        <v>489866</v>
      </c>
      <c r="B802" s="2">
        <v>82482</v>
      </c>
      <c r="C802" s="2" t="s">
        <v>818</v>
      </c>
      <c r="D802" s="2">
        <v>3</v>
      </c>
      <c r="E802" s="3">
        <v>40149.62777777778</v>
      </c>
      <c r="F802" s="2">
        <v>2.5499999999999998</v>
      </c>
      <c r="G802" s="2">
        <v>16200</v>
      </c>
      <c r="H802" s="2" t="s">
        <v>9</v>
      </c>
    </row>
    <row r="803" spans="1:8" x14ac:dyDescent="0.25">
      <c r="A803" s="2">
        <v>497798</v>
      </c>
      <c r="B803" s="2" t="s">
        <v>819</v>
      </c>
      <c r="C803" s="2" t="s">
        <v>820</v>
      </c>
      <c r="D803" s="2">
        <v>3</v>
      </c>
      <c r="E803" s="3">
        <v>40221.556944444441</v>
      </c>
      <c r="F803" s="2">
        <v>5.45</v>
      </c>
      <c r="G803" s="2">
        <v>12695</v>
      </c>
      <c r="H803" s="2" t="s">
        <v>28</v>
      </c>
    </row>
    <row r="804" spans="1:8" x14ac:dyDescent="0.25">
      <c r="A804" s="2">
        <v>508117</v>
      </c>
      <c r="B804" s="2">
        <v>22109</v>
      </c>
      <c r="C804" s="2" t="s">
        <v>821</v>
      </c>
      <c r="D804" s="2">
        <v>8</v>
      </c>
      <c r="E804" s="3">
        <v>40311.448611111111</v>
      </c>
      <c r="F804" s="2">
        <v>3.75</v>
      </c>
      <c r="G804" s="2">
        <v>18197</v>
      </c>
      <c r="H804" s="2" t="s">
        <v>9</v>
      </c>
    </row>
    <row r="805" spans="1:8" x14ac:dyDescent="0.25">
      <c r="A805" s="2">
        <v>524879</v>
      </c>
      <c r="B805" s="2">
        <v>22608</v>
      </c>
      <c r="C805" s="2" t="s">
        <v>822</v>
      </c>
      <c r="D805" s="2">
        <v>36</v>
      </c>
      <c r="E805" s="3">
        <v>40452.447916666657</v>
      </c>
      <c r="F805" s="2">
        <v>0.85</v>
      </c>
      <c r="G805" s="2">
        <v>16101</v>
      </c>
      <c r="H805" s="2" t="s">
        <v>9</v>
      </c>
    </row>
    <row r="806" spans="1:8" x14ac:dyDescent="0.25">
      <c r="A806" s="2">
        <v>504157</v>
      </c>
      <c r="B806" s="2">
        <v>84773</v>
      </c>
      <c r="C806" s="2" t="s">
        <v>823</v>
      </c>
      <c r="D806" s="2">
        <v>1</v>
      </c>
      <c r="E806" s="3">
        <v>40279.648611111108</v>
      </c>
      <c r="F806" s="2">
        <v>2.95</v>
      </c>
      <c r="G806" s="2">
        <v>17221</v>
      </c>
      <c r="H806" s="2" t="s">
        <v>9</v>
      </c>
    </row>
    <row r="807" spans="1:8" x14ac:dyDescent="0.25">
      <c r="A807" s="2">
        <v>491497</v>
      </c>
      <c r="B807" s="2">
        <v>21175</v>
      </c>
      <c r="C807" s="2" t="s">
        <v>118</v>
      </c>
      <c r="D807" s="2">
        <v>48</v>
      </c>
      <c r="E807" s="3">
        <v>40158.511805555558</v>
      </c>
      <c r="F807" s="2">
        <v>1.85</v>
      </c>
      <c r="G807" s="2">
        <v>17409</v>
      </c>
      <c r="H807" s="2" t="s">
        <v>9</v>
      </c>
    </row>
    <row r="808" spans="1:8" x14ac:dyDescent="0.25">
      <c r="A808" s="2">
        <v>512827</v>
      </c>
      <c r="B808" s="2">
        <v>21931</v>
      </c>
      <c r="C808" s="2" t="s">
        <v>434</v>
      </c>
      <c r="D808" s="2">
        <v>20</v>
      </c>
      <c r="E808" s="3">
        <v>40347.481944444437</v>
      </c>
      <c r="F808" s="2">
        <v>1.95</v>
      </c>
      <c r="G808" s="2">
        <v>15981</v>
      </c>
      <c r="H808" s="2" t="s">
        <v>9</v>
      </c>
    </row>
    <row r="809" spans="1:8" x14ac:dyDescent="0.25">
      <c r="A809" s="2">
        <v>526746</v>
      </c>
      <c r="B809" s="2" t="s">
        <v>277</v>
      </c>
      <c r="C809" s="2" t="s">
        <v>278</v>
      </c>
      <c r="D809" s="2">
        <v>10</v>
      </c>
      <c r="E809" s="3">
        <v>40464.388888888891</v>
      </c>
      <c r="F809" s="2">
        <v>1.95</v>
      </c>
      <c r="G809" s="2">
        <v>13985</v>
      </c>
      <c r="H809" s="2" t="s">
        <v>9</v>
      </c>
    </row>
    <row r="810" spans="1:8" x14ac:dyDescent="0.25">
      <c r="A810" s="2">
        <v>502419</v>
      </c>
      <c r="B810" s="2">
        <v>84880</v>
      </c>
      <c r="C810" s="2" t="s">
        <v>824</v>
      </c>
      <c r="D810" s="2">
        <v>2</v>
      </c>
      <c r="E810" s="3">
        <v>40261.510416666657</v>
      </c>
      <c r="F810" s="2">
        <v>5.95</v>
      </c>
      <c r="G810" s="2">
        <v>16300</v>
      </c>
      <c r="H810" s="2" t="s">
        <v>9</v>
      </c>
    </row>
    <row r="811" spans="1:8" x14ac:dyDescent="0.25">
      <c r="A811" s="2">
        <v>534631</v>
      </c>
      <c r="B811" s="2">
        <v>22516</v>
      </c>
      <c r="C811" s="2" t="s">
        <v>825</v>
      </c>
      <c r="D811" s="2">
        <v>1</v>
      </c>
      <c r="E811" s="3">
        <v>40505.539583333331</v>
      </c>
      <c r="F811" s="2">
        <v>2.1</v>
      </c>
      <c r="G811" s="2">
        <v>18047</v>
      </c>
      <c r="H811" s="2" t="s">
        <v>9</v>
      </c>
    </row>
    <row r="812" spans="1:8" x14ac:dyDescent="0.25">
      <c r="A812" s="2">
        <v>489866</v>
      </c>
      <c r="B812" s="2">
        <v>85151</v>
      </c>
      <c r="C812" s="2" t="s">
        <v>826</v>
      </c>
      <c r="D812" s="2">
        <v>5</v>
      </c>
      <c r="E812" s="3">
        <v>40149.62777777778</v>
      </c>
      <c r="F812" s="2">
        <v>1.25</v>
      </c>
      <c r="G812" s="2">
        <v>16200</v>
      </c>
      <c r="H812" s="2" t="s">
        <v>481</v>
      </c>
    </row>
    <row r="813" spans="1:8" x14ac:dyDescent="0.25">
      <c r="A813" s="2">
        <v>529850</v>
      </c>
      <c r="B813" s="2">
        <v>21827</v>
      </c>
      <c r="C813" s="2" t="s">
        <v>827</v>
      </c>
      <c r="D813" s="2">
        <v>3</v>
      </c>
      <c r="E813" s="3">
        <v>40482.565972222219</v>
      </c>
      <c r="F813" s="2">
        <v>1.25</v>
      </c>
      <c r="G813" s="2">
        <v>16788</v>
      </c>
      <c r="H813" s="2" t="s">
        <v>9</v>
      </c>
    </row>
    <row r="814" spans="1:8" x14ac:dyDescent="0.25">
      <c r="A814" s="2">
        <v>490669</v>
      </c>
      <c r="B814" s="2" t="s">
        <v>482</v>
      </c>
      <c r="C814" s="2" t="s">
        <v>483</v>
      </c>
      <c r="D814" s="2">
        <v>2</v>
      </c>
      <c r="E814" s="3">
        <v>40154.529166666667</v>
      </c>
      <c r="F814" s="2">
        <v>3.75</v>
      </c>
      <c r="G814" s="2">
        <v>15716</v>
      </c>
      <c r="H814" s="2" t="s">
        <v>9</v>
      </c>
    </row>
    <row r="815" spans="1:8" x14ac:dyDescent="0.25">
      <c r="A815" s="2">
        <v>507838</v>
      </c>
      <c r="B815" s="2">
        <v>20983</v>
      </c>
      <c r="C815" s="2" t="s">
        <v>828</v>
      </c>
      <c r="E815" s="3">
        <v>40309.5625</v>
      </c>
      <c r="F815" s="2">
        <v>0.85</v>
      </c>
      <c r="G815" s="2">
        <v>15034</v>
      </c>
      <c r="H815" s="2" t="s">
        <v>9</v>
      </c>
    </row>
    <row r="816" spans="1:8" x14ac:dyDescent="0.25">
      <c r="A816" s="2" t="s">
        <v>829</v>
      </c>
      <c r="B816" s="2">
        <v>85141</v>
      </c>
      <c r="C816" s="2" t="s">
        <v>767</v>
      </c>
      <c r="D816" s="2">
        <v>-1</v>
      </c>
      <c r="E816" s="3">
        <v>40449.775694444441</v>
      </c>
      <c r="F816" s="2">
        <v>10.75</v>
      </c>
      <c r="G816" s="2">
        <v>13980</v>
      </c>
      <c r="H816" s="2" t="s">
        <v>9</v>
      </c>
    </row>
    <row r="817" spans="1:8" x14ac:dyDescent="0.25">
      <c r="A817" s="2">
        <v>526201</v>
      </c>
      <c r="B817" s="2" t="s">
        <v>830</v>
      </c>
      <c r="C817" s="2" t="s">
        <v>831</v>
      </c>
      <c r="D817" s="2">
        <v>6</v>
      </c>
      <c r="E817" s="3">
        <v>40461.54583333333</v>
      </c>
      <c r="F817" s="2">
        <v>3.75</v>
      </c>
      <c r="G817" s="2">
        <v>14820</v>
      </c>
      <c r="H817" s="2" t="s">
        <v>9</v>
      </c>
    </row>
    <row r="818" spans="1:8" x14ac:dyDescent="0.25">
      <c r="A818" s="2">
        <v>534512</v>
      </c>
      <c r="B818" s="2">
        <v>84678</v>
      </c>
      <c r="C818" s="2" t="s">
        <v>832</v>
      </c>
      <c r="D818" s="2">
        <v>6</v>
      </c>
      <c r="E818" s="3">
        <v>40505.493750000001</v>
      </c>
      <c r="F818" s="2">
        <v>2.5499999999999998</v>
      </c>
      <c r="G818" s="2">
        <v>14679</v>
      </c>
      <c r="H818" s="2" t="s">
        <v>9</v>
      </c>
    </row>
    <row r="819" spans="1:8" x14ac:dyDescent="0.25">
      <c r="A819" s="2">
        <v>521406</v>
      </c>
      <c r="B819" s="2">
        <v>22379</v>
      </c>
      <c r="C819" s="2" t="s">
        <v>168</v>
      </c>
      <c r="D819" s="2">
        <v>25</v>
      </c>
      <c r="E819" s="3">
        <v>40427.445833333331</v>
      </c>
      <c r="F819" s="2">
        <v>2.1</v>
      </c>
      <c r="G819" s="2">
        <v>13093</v>
      </c>
      <c r="H819" s="2" t="s">
        <v>9</v>
      </c>
    </row>
    <row r="820" spans="1:8" x14ac:dyDescent="0.25">
      <c r="A820" s="2">
        <v>507398</v>
      </c>
      <c r="B820" s="2">
        <v>22507</v>
      </c>
      <c r="C820" s="2" t="s">
        <v>833</v>
      </c>
      <c r="D820" s="2">
        <v>2</v>
      </c>
      <c r="E820" s="3">
        <v>40307.552083333343</v>
      </c>
      <c r="F820" s="2">
        <v>4.95</v>
      </c>
      <c r="G820" s="2">
        <v>17913</v>
      </c>
      <c r="H820" s="2" t="s">
        <v>9</v>
      </c>
    </row>
    <row r="821" spans="1:8" x14ac:dyDescent="0.25">
      <c r="A821" s="2">
        <v>496427</v>
      </c>
      <c r="B821" s="2">
        <v>21746</v>
      </c>
      <c r="C821" s="2" t="s">
        <v>834</v>
      </c>
      <c r="D821" s="2">
        <v>3</v>
      </c>
      <c r="E821" s="3">
        <v>40210.509027777778</v>
      </c>
      <c r="F821" s="2">
        <v>1.25</v>
      </c>
      <c r="G821" s="2">
        <v>17841</v>
      </c>
      <c r="H821" s="2" t="s">
        <v>9</v>
      </c>
    </row>
    <row r="822" spans="1:8" x14ac:dyDescent="0.25">
      <c r="A822" s="2">
        <v>530014</v>
      </c>
      <c r="B822" s="2">
        <v>20676</v>
      </c>
      <c r="C822" s="2" t="s">
        <v>835</v>
      </c>
      <c r="D822" s="2">
        <v>4</v>
      </c>
      <c r="E822" s="3">
        <v>40483.442361111112</v>
      </c>
      <c r="F822" s="2">
        <v>1.25</v>
      </c>
      <c r="G822" s="2" t="s">
        <v>836</v>
      </c>
      <c r="H822" s="2" t="s">
        <v>9</v>
      </c>
    </row>
    <row r="823" spans="1:8" x14ac:dyDescent="0.25">
      <c r="A823" s="2">
        <v>511357</v>
      </c>
      <c r="B823" s="2">
        <v>21669</v>
      </c>
      <c r="C823" s="2" t="s">
        <v>733</v>
      </c>
      <c r="D823" s="2">
        <v>12</v>
      </c>
      <c r="E823" s="3">
        <v>40337.457638888889</v>
      </c>
      <c r="F823" s="2">
        <v>1.25</v>
      </c>
      <c r="G823" s="2">
        <v>17849</v>
      </c>
      <c r="H823" s="2" t="s">
        <v>9</v>
      </c>
    </row>
    <row r="824" spans="1:8" x14ac:dyDescent="0.25">
      <c r="A824" s="2" t="s">
        <v>837</v>
      </c>
      <c r="B824" s="2">
        <v>22667</v>
      </c>
      <c r="C824" s="2" t="s">
        <v>838</v>
      </c>
      <c r="D824" s="2">
        <v>-2</v>
      </c>
      <c r="E824" s="3">
        <v>40476.556250000001</v>
      </c>
      <c r="F824" s="2">
        <v>2.95</v>
      </c>
      <c r="G824" s="2">
        <v>13502</v>
      </c>
      <c r="H824" s="2" t="s">
        <v>9</v>
      </c>
    </row>
    <row r="825" spans="1:8" x14ac:dyDescent="0.25">
      <c r="A825" s="2">
        <v>505847</v>
      </c>
      <c r="B825" s="2">
        <v>47505</v>
      </c>
      <c r="C825" s="2" t="s">
        <v>839</v>
      </c>
      <c r="D825" s="2">
        <v>3</v>
      </c>
      <c r="E825" s="3">
        <v>40294.507638888892</v>
      </c>
      <c r="F825" s="2">
        <v>4.95</v>
      </c>
      <c r="G825" s="2">
        <v>14710</v>
      </c>
      <c r="H825" s="2" t="s">
        <v>9</v>
      </c>
    </row>
    <row r="826" spans="1:8" x14ac:dyDescent="0.25">
      <c r="A826" s="2">
        <v>518902</v>
      </c>
      <c r="B826" s="2">
        <v>22591</v>
      </c>
      <c r="C826" s="2" t="s">
        <v>840</v>
      </c>
      <c r="D826" s="2">
        <v>4</v>
      </c>
      <c r="E826" s="3">
        <v>40402.59375</v>
      </c>
      <c r="F826" s="2">
        <v>2.5499999999999998</v>
      </c>
      <c r="G826" s="2">
        <v>14461</v>
      </c>
      <c r="H826" s="2" t="s">
        <v>9</v>
      </c>
    </row>
    <row r="827" spans="1:8" x14ac:dyDescent="0.25">
      <c r="A827" s="2">
        <v>532725</v>
      </c>
      <c r="B827" s="2">
        <v>22121</v>
      </c>
      <c r="C827" s="2" t="s">
        <v>841</v>
      </c>
      <c r="D827" s="2">
        <v>2</v>
      </c>
      <c r="E827" s="3">
        <v>40496.540972222218</v>
      </c>
      <c r="F827" s="2">
        <v>5.95</v>
      </c>
      <c r="G827" s="2">
        <v>16983</v>
      </c>
      <c r="H827" s="2" t="s">
        <v>9</v>
      </c>
    </row>
    <row r="828" spans="1:8" x14ac:dyDescent="0.25">
      <c r="A828" s="2">
        <v>515115</v>
      </c>
      <c r="B828" s="2">
        <v>21936</v>
      </c>
      <c r="C828" s="2" t="s">
        <v>842</v>
      </c>
      <c r="D828" s="2">
        <v>1</v>
      </c>
      <c r="E828" s="3">
        <v>40367.546527777777</v>
      </c>
      <c r="F828" s="2">
        <v>2.95</v>
      </c>
      <c r="G828" s="2">
        <v>16383</v>
      </c>
      <c r="H828" s="2" t="s">
        <v>9</v>
      </c>
    </row>
    <row r="829" spans="1:8" x14ac:dyDescent="0.25">
      <c r="A829" s="2">
        <v>497732</v>
      </c>
      <c r="B829" s="2" t="s">
        <v>843</v>
      </c>
      <c r="C829" s="2" t="s">
        <v>844</v>
      </c>
      <c r="D829" s="2">
        <v>4</v>
      </c>
      <c r="E829" s="3">
        <v>40220.775000000001</v>
      </c>
      <c r="F829" s="2">
        <v>1.25</v>
      </c>
      <c r="G829" s="2">
        <v>13291</v>
      </c>
      <c r="H829" s="2" t="s">
        <v>9</v>
      </c>
    </row>
    <row r="830" spans="1:8" x14ac:dyDescent="0.25">
      <c r="A830" s="2">
        <v>506285</v>
      </c>
      <c r="B830" s="2">
        <v>21651</v>
      </c>
      <c r="C830" s="2" t="s">
        <v>73</v>
      </c>
      <c r="D830" s="2">
        <v>6</v>
      </c>
      <c r="E830" s="3">
        <v>40296.700694444437</v>
      </c>
      <c r="F830" s="2">
        <v>1.65</v>
      </c>
      <c r="G830" s="2">
        <v>16767</v>
      </c>
      <c r="H830" s="2" t="s">
        <v>9</v>
      </c>
    </row>
    <row r="831" spans="1:8" x14ac:dyDescent="0.25">
      <c r="A831" s="2">
        <v>536618</v>
      </c>
      <c r="B831" s="2">
        <v>22943</v>
      </c>
      <c r="C831" s="2" t="s">
        <v>845</v>
      </c>
      <c r="D831" s="2" t="s">
        <v>342</v>
      </c>
      <c r="E831" s="3">
        <v>40514.428472222222</v>
      </c>
      <c r="F831" s="2">
        <v>4.25</v>
      </c>
      <c r="G831" s="2">
        <v>17017</v>
      </c>
      <c r="H831" s="2" t="s">
        <v>9</v>
      </c>
    </row>
    <row r="832" spans="1:8" x14ac:dyDescent="0.25">
      <c r="A832" s="2">
        <v>538056</v>
      </c>
      <c r="B832" s="2" t="s">
        <v>846</v>
      </c>
      <c r="C832" s="2" t="s">
        <v>847</v>
      </c>
      <c r="D832" s="2">
        <v>4</v>
      </c>
      <c r="E832" s="3">
        <v>40521.56527777778</v>
      </c>
      <c r="F832" s="2">
        <v>8.9499999999999993</v>
      </c>
      <c r="G832" s="2">
        <v>17198</v>
      </c>
      <c r="H832" s="2" t="s">
        <v>9</v>
      </c>
    </row>
    <row r="833" spans="1:8" x14ac:dyDescent="0.25">
      <c r="A833" s="2">
        <v>523586</v>
      </c>
      <c r="B833" s="2">
        <v>22470</v>
      </c>
      <c r="C833" s="2" t="s">
        <v>164</v>
      </c>
      <c r="D833" s="2">
        <v>40</v>
      </c>
      <c r="E833" s="3">
        <v>40444.370833333327</v>
      </c>
      <c r="F833" s="2">
        <v>2.5499999999999998</v>
      </c>
      <c r="G833" s="2">
        <v>14648</v>
      </c>
      <c r="H833" s="2" t="s">
        <v>9</v>
      </c>
    </row>
    <row r="834" spans="1:8" x14ac:dyDescent="0.25">
      <c r="A834" s="2">
        <v>534232</v>
      </c>
      <c r="B834" s="2">
        <v>84879</v>
      </c>
      <c r="C834" s="2" t="s">
        <v>143</v>
      </c>
      <c r="D834" s="2">
        <v>16</v>
      </c>
      <c r="E834" s="3">
        <v>40504.418749999997</v>
      </c>
      <c r="F834" s="2">
        <v>1.69</v>
      </c>
      <c r="G834" s="2">
        <v>17782</v>
      </c>
      <c r="H834" s="2" t="s">
        <v>9</v>
      </c>
    </row>
    <row r="835" spans="1:8" x14ac:dyDescent="0.25">
      <c r="A835" s="2">
        <v>531566</v>
      </c>
      <c r="B835" s="2">
        <v>84879</v>
      </c>
      <c r="C835" s="2" t="s">
        <v>143</v>
      </c>
      <c r="D835" s="2">
        <v>24</v>
      </c>
      <c r="E835" s="2" t="s">
        <v>848</v>
      </c>
      <c r="F835" s="2">
        <v>1.69</v>
      </c>
      <c r="G835" s="2">
        <v>14902</v>
      </c>
      <c r="H835" s="2" t="s">
        <v>9</v>
      </c>
    </row>
    <row r="836" spans="1:8" x14ac:dyDescent="0.25">
      <c r="A836" s="2">
        <v>520505</v>
      </c>
      <c r="B836" s="2">
        <v>21258</v>
      </c>
      <c r="C836" s="2" t="s">
        <v>49</v>
      </c>
      <c r="D836" s="2">
        <v>1</v>
      </c>
      <c r="E836" s="3">
        <v>40416.535416666673</v>
      </c>
      <c r="F836" s="2">
        <v>12.75</v>
      </c>
      <c r="G836" s="2">
        <v>17663</v>
      </c>
      <c r="H836" s="2" t="s">
        <v>9</v>
      </c>
    </row>
    <row r="837" spans="1:8" x14ac:dyDescent="0.25">
      <c r="A837" s="2">
        <v>513768</v>
      </c>
      <c r="B837" s="2">
        <v>22606</v>
      </c>
      <c r="C837" s="2" t="s">
        <v>849</v>
      </c>
      <c r="D837" s="2">
        <v>4</v>
      </c>
      <c r="E837" s="3">
        <v>40357.571527777778</v>
      </c>
      <c r="F837" s="2">
        <v>12.75</v>
      </c>
      <c r="G837" s="2">
        <v>17667</v>
      </c>
      <c r="H837" s="2" t="s">
        <v>9</v>
      </c>
    </row>
    <row r="838" spans="1:8" x14ac:dyDescent="0.25">
      <c r="A838" s="2">
        <v>523309</v>
      </c>
      <c r="B838" s="2">
        <v>20712</v>
      </c>
      <c r="C838" s="2" t="s">
        <v>67</v>
      </c>
      <c r="D838" s="2">
        <v>10</v>
      </c>
      <c r="E838" s="3">
        <v>40442.547222222223</v>
      </c>
      <c r="F838" s="2">
        <v>1.95</v>
      </c>
      <c r="G838" s="2">
        <v>14156</v>
      </c>
      <c r="H838" s="2" t="s">
        <v>850</v>
      </c>
    </row>
    <row r="839" spans="1:8" x14ac:dyDescent="0.25">
      <c r="A839" s="2">
        <v>519602</v>
      </c>
      <c r="B839" s="2" t="s">
        <v>153</v>
      </c>
      <c r="C839" s="2" t="s">
        <v>154</v>
      </c>
      <c r="D839" s="2">
        <v>6</v>
      </c>
      <c r="E839" s="3">
        <v>40408.666666666657</v>
      </c>
      <c r="F839" s="2">
        <v>2.95</v>
      </c>
      <c r="G839" s="2">
        <v>18226</v>
      </c>
      <c r="H839" s="2" t="s">
        <v>9</v>
      </c>
    </row>
    <row r="840" spans="1:8" x14ac:dyDescent="0.25">
      <c r="A840" s="2">
        <v>524207</v>
      </c>
      <c r="B840" s="2">
        <v>20702</v>
      </c>
      <c r="C840" s="2" t="s">
        <v>525</v>
      </c>
      <c r="D840" s="2">
        <v>6</v>
      </c>
      <c r="E840" s="3">
        <v>40449.440972222219</v>
      </c>
      <c r="F840" s="2">
        <v>4.25</v>
      </c>
      <c r="G840" s="2">
        <v>12648</v>
      </c>
      <c r="H840" s="2" t="s">
        <v>17</v>
      </c>
    </row>
    <row r="841" spans="1:8" x14ac:dyDescent="0.25">
      <c r="A841" s="2">
        <v>516111</v>
      </c>
      <c r="B841" s="2">
        <v>48187</v>
      </c>
      <c r="C841" s="2" t="s">
        <v>851</v>
      </c>
      <c r="D841" s="2">
        <v>2</v>
      </c>
      <c r="E841" s="3">
        <v>40375.556250000001</v>
      </c>
      <c r="F841" s="2">
        <v>7.49</v>
      </c>
      <c r="G841" s="2">
        <v>13728</v>
      </c>
      <c r="H841" s="2" t="s">
        <v>9</v>
      </c>
    </row>
    <row r="842" spans="1:8" x14ac:dyDescent="0.25">
      <c r="A842" s="2">
        <v>534091</v>
      </c>
      <c r="B842" s="2">
        <v>22945</v>
      </c>
      <c r="C842" s="2" t="s">
        <v>852</v>
      </c>
      <c r="D842" s="2">
        <v>18</v>
      </c>
      <c r="E842" s="3">
        <v>40503.498611111107</v>
      </c>
      <c r="F842" s="2">
        <v>0.85</v>
      </c>
      <c r="G842" s="2">
        <v>14499</v>
      </c>
      <c r="H842" s="2" t="s">
        <v>9</v>
      </c>
    </row>
    <row r="843" spans="1:8" x14ac:dyDescent="0.25">
      <c r="A843" s="2">
        <v>519404</v>
      </c>
      <c r="B843" s="2">
        <v>22557</v>
      </c>
      <c r="C843" s="2" t="s">
        <v>853</v>
      </c>
      <c r="D843" s="2">
        <v>96</v>
      </c>
      <c r="E843" s="3">
        <v>40407.37222222222</v>
      </c>
      <c r="F843" s="2">
        <v>1.45</v>
      </c>
      <c r="G843" s="2">
        <v>14646</v>
      </c>
      <c r="H843" s="2" t="s">
        <v>116</v>
      </c>
    </row>
    <row r="844" spans="1:8" x14ac:dyDescent="0.25">
      <c r="A844" s="2">
        <v>532993</v>
      </c>
      <c r="B844" s="2">
        <v>16235</v>
      </c>
      <c r="C844" s="2" t="s">
        <v>854</v>
      </c>
      <c r="D844" s="2">
        <v>60</v>
      </c>
      <c r="E844" s="3">
        <v>40497.601388888892</v>
      </c>
      <c r="F844" s="2">
        <v>0.21</v>
      </c>
      <c r="G844" s="2">
        <v>14156</v>
      </c>
      <c r="H844" s="2" t="s">
        <v>11</v>
      </c>
    </row>
    <row r="845" spans="1:8" x14ac:dyDescent="0.25">
      <c r="A845" s="2">
        <v>525068</v>
      </c>
      <c r="B845" s="2">
        <v>35965</v>
      </c>
      <c r="C845" s="2" t="s">
        <v>855</v>
      </c>
      <c r="D845" s="2">
        <v>6</v>
      </c>
      <c r="E845" s="3">
        <v>40454.609027777777</v>
      </c>
      <c r="F845" s="2">
        <v>2.95</v>
      </c>
      <c r="G845" s="2">
        <v>15579</v>
      </c>
      <c r="H845" s="2" t="s">
        <v>9</v>
      </c>
    </row>
    <row r="846" spans="1:8" x14ac:dyDescent="0.25">
      <c r="A846" s="2">
        <v>490707</v>
      </c>
      <c r="B846" s="2">
        <v>21875</v>
      </c>
      <c r="C846" s="2" t="s">
        <v>620</v>
      </c>
      <c r="D846" s="2">
        <v>1</v>
      </c>
      <c r="E846" s="3">
        <v>40154.626388888893</v>
      </c>
      <c r="F846" s="2">
        <v>1.25</v>
      </c>
      <c r="G846" s="2">
        <v>17865</v>
      </c>
      <c r="H846" s="2" t="s">
        <v>9</v>
      </c>
    </row>
    <row r="847" spans="1:8" x14ac:dyDescent="0.25">
      <c r="A847" s="2">
        <v>505499</v>
      </c>
      <c r="B847" s="2">
        <v>21429</v>
      </c>
      <c r="C847" s="2" t="s">
        <v>856</v>
      </c>
      <c r="D847" s="2">
        <v>8</v>
      </c>
      <c r="E847" s="3">
        <v>40290.566666666673</v>
      </c>
      <c r="F847" s="2">
        <v>1.65</v>
      </c>
      <c r="G847" s="2">
        <v>16862</v>
      </c>
      <c r="H847" s="2" t="s">
        <v>9</v>
      </c>
    </row>
    <row r="848" spans="1:8" x14ac:dyDescent="0.25">
      <c r="A848" s="2">
        <v>512426</v>
      </c>
      <c r="B848" s="2">
        <v>22469</v>
      </c>
      <c r="C848" s="2" t="s">
        <v>663</v>
      </c>
      <c r="D848" s="2">
        <v>4</v>
      </c>
      <c r="E848" s="3">
        <v>40344.625</v>
      </c>
      <c r="F848" s="2">
        <v>1.65</v>
      </c>
      <c r="G848" s="2">
        <v>13168</v>
      </c>
      <c r="H848" s="2" t="s">
        <v>9</v>
      </c>
    </row>
    <row r="849" spans="1:8" x14ac:dyDescent="0.25">
      <c r="A849" s="2">
        <v>532821</v>
      </c>
      <c r="B849" s="2">
        <v>22441</v>
      </c>
      <c r="C849" s="2" t="s">
        <v>255</v>
      </c>
      <c r="D849" s="2">
        <v>5</v>
      </c>
      <c r="E849" s="3">
        <v>40496.688888888893</v>
      </c>
      <c r="F849" s="2">
        <v>2.1</v>
      </c>
      <c r="G849" s="2">
        <v>14382</v>
      </c>
      <c r="H849" s="2" t="s">
        <v>9</v>
      </c>
    </row>
    <row r="850" spans="1:8" x14ac:dyDescent="0.25">
      <c r="A850" s="2">
        <v>511501</v>
      </c>
      <c r="B850" s="2">
        <v>21109</v>
      </c>
      <c r="C850" s="2" t="s">
        <v>583</v>
      </c>
      <c r="D850" s="2">
        <v>1</v>
      </c>
      <c r="E850" s="3">
        <v>40337.619444444441</v>
      </c>
      <c r="F850" s="2">
        <v>6.75</v>
      </c>
      <c r="G850" s="2">
        <v>15532</v>
      </c>
      <c r="H850" s="2" t="s">
        <v>9</v>
      </c>
    </row>
    <row r="851" spans="1:8" x14ac:dyDescent="0.25">
      <c r="A851" s="2">
        <v>500347</v>
      </c>
      <c r="B851" s="2">
        <v>21788</v>
      </c>
      <c r="C851" s="2" t="s">
        <v>857</v>
      </c>
      <c r="D851" s="2">
        <v>24</v>
      </c>
      <c r="E851" s="3">
        <v>40244.619444444441</v>
      </c>
      <c r="F851" s="2">
        <v>0.85</v>
      </c>
      <c r="G851" s="2">
        <v>15631</v>
      </c>
      <c r="H851" s="2" t="s">
        <v>9</v>
      </c>
    </row>
    <row r="852" spans="1:8" x14ac:dyDescent="0.25">
      <c r="A852" s="2">
        <v>528737</v>
      </c>
      <c r="B852" s="2">
        <v>82600</v>
      </c>
      <c r="C852" s="2" t="s">
        <v>268</v>
      </c>
      <c r="D852" s="2">
        <v>12</v>
      </c>
      <c r="E852" s="3">
        <v>40475.587500000001</v>
      </c>
      <c r="F852" s="2">
        <v>2.1</v>
      </c>
      <c r="G852" s="2">
        <v>18065</v>
      </c>
      <c r="H852" s="2" t="s">
        <v>9</v>
      </c>
    </row>
    <row r="853" spans="1:8" x14ac:dyDescent="0.25">
      <c r="A853" s="2">
        <v>517106</v>
      </c>
      <c r="B853" s="2">
        <v>22493</v>
      </c>
      <c r="C853" s="2" t="s">
        <v>858</v>
      </c>
      <c r="D853" s="2">
        <v>5</v>
      </c>
      <c r="E853" s="3">
        <v>40385.636805555558</v>
      </c>
      <c r="F853" s="2">
        <v>1.65</v>
      </c>
      <c r="G853" s="2">
        <v>12867</v>
      </c>
      <c r="H853" s="2" t="s">
        <v>9</v>
      </c>
    </row>
    <row r="854" spans="1:8" x14ac:dyDescent="0.25">
      <c r="A854" s="2">
        <v>531806</v>
      </c>
      <c r="B854" s="2">
        <v>22904</v>
      </c>
      <c r="C854" s="2" t="s">
        <v>216</v>
      </c>
      <c r="D854" s="2">
        <v>3</v>
      </c>
      <c r="E854" s="3">
        <v>40491.673611111109</v>
      </c>
      <c r="F854" s="2">
        <v>2.95</v>
      </c>
      <c r="G854" s="2">
        <v>17757</v>
      </c>
      <c r="H854" s="2" t="s">
        <v>9</v>
      </c>
    </row>
    <row r="855" spans="1:8" x14ac:dyDescent="0.25">
      <c r="A855" s="2">
        <v>524099</v>
      </c>
      <c r="B855" s="2">
        <v>22312</v>
      </c>
      <c r="C855" s="2" t="s">
        <v>529</v>
      </c>
      <c r="D855" s="2">
        <v>3</v>
      </c>
      <c r="E855" s="3">
        <v>40448.51666666667</v>
      </c>
      <c r="F855" s="2">
        <v>2.95</v>
      </c>
      <c r="G855" s="2">
        <v>13448</v>
      </c>
      <c r="H855" s="2" t="s">
        <v>9</v>
      </c>
    </row>
    <row r="856" spans="1:8" x14ac:dyDescent="0.25">
      <c r="A856" s="2">
        <v>537050</v>
      </c>
      <c r="B856" s="2">
        <v>22551</v>
      </c>
      <c r="C856" s="2" t="s">
        <v>69</v>
      </c>
      <c r="D856" s="2">
        <v>2</v>
      </c>
      <c r="E856" s="3">
        <v>40517.465277777781</v>
      </c>
      <c r="F856" s="2">
        <v>1.65</v>
      </c>
      <c r="G856" s="2">
        <v>14800</v>
      </c>
      <c r="H856" s="2" t="s">
        <v>9</v>
      </c>
    </row>
    <row r="857" spans="1:8" x14ac:dyDescent="0.25">
      <c r="A857" s="2">
        <v>531439</v>
      </c>
      <c r="B857" s="2" t="s">
        <v>232</v>
      </c>
      <c r="C857" s="2" t="s">
        <v>233</v>
      </c>
      <c r="D857" s="2">
        <v>6</v>
      </c>
      <c r="E857" s="3">
        <v>40490.515277777777</v>
      </c>
      <c r="F857" s="2">
        <v>2.95</v>
      </c>
      <c r="G857" s="2" t="s">
        <v>859</v>
      </c>
      <c r="H857" s="2" t="s">
        <v>9</v>
      </c>
    </row>
    <row r="858" spans="1:8" x14ac:dyDescent="0.25">
      <c r="A858" s="2">
        <v>502764</v>
      </c>
      <c r="B858" s="2">
        <v>21284</v>
      </c>
      <c r="C858" s="2" t="s">
        <v>860</v>
      </c>
      <c r="D858" s="2">
        <v>12</v>
      </c>
      <c r="E858" s="3">
        <v>40263.584027777782</v>
      </c>
      <c r="F858" s="2">
        <v>1.69</v>
      </c>
      <c r="G858" s="2">
        <v>12477</v>
      </c>
      <c r="H858" s="2" t="s">
        <v>17</v>
      </c>
    </row>
    <row r="859" spans="1:8" x14ac:dyDescent="0.25">
      <c r="A859" s="2">
        <v>503295</v>
      </c>
      <c r="B859" s="2">
        <v>22326</v>
      </c>
      <c r="C859" s="2" t="s">
        <v>861</v>
      </c>
      <c r="D859" s="2">
        <v>6</v>
      </c>
      <c r="E859" s="2" t="s">
        <v>862</v>
      </c>
      <c r="F859" s="2">
        <v>2.95</v>
      </c>
      <c r="G859" s="2">
        <v>13179</v>
      </c>
      <c r="H859" s="2" t="s">
        <v>9</v>
      </c>
    </row>
    <row r="860" spans="1:8" x14ac:dyDescent="0.25">
      <c r="A860" s="2">
        <v>532798</v>
      </c>
      <c r="B860" s="2">
        <v>22026</v>
      </c>
      <c r="C860" s="2" t="s">
        <v>555</v>
      </c>
      <c r="D860" s="2">
        <v>12</v>
      </c>
      <c r="E860" s="3">
        <v>40496.615972222222</v>
      </c>
      <c r="F860" s="2">
        <v>0.42</v>
      </c>
      <c r="G860" s="2">
        <v>17544</v>
      </c>
      <c r="H860" s="2" t="s">
        <v>9</v>
      </c>
    </row>
    <row r="861" spans="1:8" x14ac:dyDescent="0.25">
      <c r="A861" s="2">
        <v>498570</v>
      </c>
      <c r="B861" s="2">
        <v>22202</v>
      </c>
      <c r="C861" s="2" t="s">
        <v>863</v>
      </c>
      <c r="D861" s="2">
        <v>1</v>
      </c>
      <c r="E861" s="3">
        <v>40230.536111111112</v>
      </c>
      <c r="F861" s="2">
        <v>3.75</v>
      </c>
      <c r="G861" s="2">
        <v>15059</v>
      </c>
      <c r="H861" s="2" t="s">
        <v>9</v>
      </c>
    </row>
    <row r="862" spans="1:8" x14ac:dyDescent="0.25">
      <c r="A862" s="2">
        <v>490461</v>
      </c>
      <c r="B862" s="2">
        <v>22218</v>
      </c>
      <c r="C862" s="2" t="s">
        <v>589</v>
      </c>
      <c r="D862" s="2">
        <v>2</v>
      </c>
      <c r="E862" s="3">
        <v>40153.504861111112</v>
      </c>
      <c r="F862" s="2">
        <v>4.25</v>
      </c>
      <c r="G862" s="2">
        <v>13736</v>
      </c>
      <c r="H862" s="2" t="s">
        <v>9</v>
      </c>
    </row>
    <row r="863" spans="1:8" x14ac:dyDescent="0.25">
      <c r="A863" s="2">
        <v>523369</v>
      </c>
      <c r="B863" s="2">
        <v>21527</v>
      </c>
      <c r="C863" s="2" t="s">
        <v>864</v>
      </c>
      <c r="D863" s="2">
        <v>6</v>
      </c>
      <c r="E863" s="3">
        <v>40442.770833333343</v>
      </c>
      <c r="F863" s="2">
        <v>7.95</v>
      </c>
      <c r="G863" s="2">
        <v>14113</v>
      </c>
      <c r="H863" s="2" t="s">
        <v>9</v>
      </c>
    </row>
    <row r="864" spans="1:8" x14ac:dyDescent="0.25">
      <c r="A864" s="2">
        <v>499874</v>
      </c>
      <c r="B864" s="2">
        <v>21390</v>
      </c>
      <c r="C864" s="2" t="s">
        <v>865</v>
      </c>
      <c r="D864" s="2">
        <v>24</v>
      </c>
      <c r="E864" s="3">
        <v>40240.362500000003</v>
      </c>
      <c r="F864" s="2">
        <v>1.25</v>
      </c>
      <c r="G864" s="2">
        <v>16556</v>
      </c>
      <c r="H864" s="2" t="s">
        <v>9</v>
      </c>
    </row>
    <row r="865" spans="1:8" x14ac:dyDescent="0.25">
      <c r="A865" s="2">
        <v>503987</v>
      </c>
      <c r="B865" s="2">
        <v>22198</v>
      </c>
      <c r="C865" s="2" t="s">
        <v>866</v>
      </c>
      <c r="D865" s="2">
        <v>48</v>
      </c>
      <c r="E865" s="3">
        <v>40277.428472222222</v>
      </c>
      <c r="F865" s="2">
        <v>1.65</v>
      </c>
      <c r="G865" s="2">
        <v>14961</v>
      </c>
      <c r="H865" s="2" t="s">
        <v>9</v>
      </c>
    </row>
    <row r="866" spans="1:8" x14ac:dyDescent="0.25">
      <c r="A866" s="2">
        <v>496609</v>
      </c>
      <c r="B866" s="2" t="s">
        <v>867</v>
      </c>
      <c r="C866" s="2" t="s">
        <v>868</v>
      </c>
      <c r="D866" s="2">
        <v>4</v>
      </c>
      <c r="E866" s="3">
        <v>40211.695833333331</v>
      </c>
      <c r="F866" s="2">
        <v>2.95</v>
      </c>
      <c r="G866" s="2">
        <v>17092</v>
      </c>
      <c r="H866" s="2" t="s">
        <v>9</v>
      </c>
    </row>
    <row r="867" spans="1:8" x14ac:dyDescent="0.25">
      <c r="A867" s="2">
        <v>523513</v>
      </c>
      <c r="B867" s="2">
        <v>71477</v>
      </c>
      <c r="C867" s="2" t="s">
        <v>84</v>
      </c>
      <c r="D867" s="2">
        <v>6</v>
      </c>
      <c r="E867" s="3">
        <v>40443.526388888888</v>
      </c>
      <c r="F867" s="2">
        <v>2.75</v>
      </c>
      <c r="G867" s="2">
        <v>17850</v>
      </c>
      <c r="H867" s="2" t="s">
        <v>9</v>
      </c>
    </row>
    <row r="868" spans="1:8" x14ac:dyDescent="0.25">
      <c r="A868" s="2">
        <v>531352</v>
      </c>
      <c r="B868" s="2" t="s">
        <v>869</v>
      </c>
      <c r="C868" s="2" t="s">
        <v>676</v>
      </c>
      <c r="D868" s="2">
        <v>5</v>
      </c>
      <c r="E868" s="3">
        <v>40489.572916666657</v>
      </c>
      <c r="F868" s="2">
        <v>1.65</v>
      </c>
      <c r="G868" s="2">
        <v>13137</v>
      </c>
      <c r="H868" s="2" t="s">
        <v>9</v>
      </c>
    </row>
    <row r="869" spans="1:8" x14ac:dyDescent="0.25">
      <c r="A869" s="2">
        <v>515595</v>
      </c>
      <c r="B869" s="2">
        <v>84836</v>
      </c>
      <c r="C869" s="2" t="s">
        <v>15</v>
      </c>
      <c r="D869" s="2">
        <v>24</v>
      </c>
      <c r="E869" s="3">
        <v>40372.576388888891</v>
      </c>
      <c r="F869" s="2">
        <v>1.25</v>
      </c>
      <c r="G869" s="2" t="s">
        <v>417</v>
      </c>
      <c r="H869" s="2" t="s">
        <v>9</v>
      </c>
    </row>
    <row r="870" spans="1:8" x14ac:dyDescent="0.25">
      <c r="A870" s="2">
        <v>512332</v>
      </c>
      <c r="B870" s="2">
        <v>22491</v>
      </c>
      <c r="C870" s="2" t="s">
        <v>870</v>
      </c>
      <c r="D870" s="2">
        <v>12</v>
      </c>
      <c r="E870" s="3">
        <v>40344.487500000003</v>
      </c>
      <c r="F870" s="2">
        <v>0.85</v>
      </c>
      <c r="G870" s="2">
        <v>15358</v>
      </c>
      <c r="H870" s="2" t="s">
        <v>9</v>
      </c>
    </row>
    <row r="871" spans="1:8" x14ac:dyDescent="0.25">
      <c r="A871" s="2">
        <v>536535</v>
      </c>
      <c r="B871" s="2">
        <v>22311</v>
      </c>
      <c r="C871" s="2" t="s">
        <v>871</v>
      </c>
      <c r="D871" s="2">
        <v>6</v>
      </c>
      <c r="E871" s="3">
        <v>40513.568055555559</v>
      </c>
      <c r="F871" s="2">
        <v>2.95</v>
      </c>
      <c r="G871" s="2">
        <v>15605</v>
      </c>
      <c r="H871" s="2" t="s">
        <v>9</v>
      </c>
    </row>
    <row r="872" spans="1:8" x14ac:dyDescent="0.25">
      <c r="A872" s="2">
        <v>507289</v>
      </c>
      <c r="B872" s="2">
        <v>21171</v>
      </c>
      <c r="C872" s="2" t="s">
        <v>556</v>
      </c>
      <c r="D872" s="2">
        <v>3</v>
      </c>
      <c r="E872" s="3">
        <v>40305.584722222222</v>
      </c>
      <c r="F872" s="2">
        <v>1.45</v>
      </c>
      <c r="G872" s="2">
        <v>14535</v>
      </c>
      <c r="H872" s="2" t="s">
        <v>9</v>
      </c>
    </row>
    <row r="873" spans="1:8" x14ac:dyDescent="0.25">
      <c r="A873" s="2">
        <v>527407</v>
      </c>
      <c r="B873" s="2">
        <v>22451</v>
      </c>
      <c r="C873" s="2" t="s">
        <v>625</v>
      </c>
      <c r="D873" s="2">
        <v>1</v>
      </c>
      <c r="E873" s="3">
        <v>40468.613888888889</v>
      </c>
      <c r="F873" s="2">
        <v>3.35</v>
      </c>
      <c r="G873" s="2">
        <v>17141</v>
      </c>
      <c r="H873" s="2" t="s">
        <v>9</v>
      </c>
    </row>
    <row r="874" spans="1:8" x14ac:dyDescent="0.25">
      <c r="A874" s="2">
        <v>505340</v>
      </c>
      <c r="B874" s="2">
        <v>21519</v>
      </c>
      <c r="C874" s="2" t="s">
        <v>435</v>
      </c>
      <c r="D874" s="2">
        <v>12</v>
      </c>
      <c r="E874" s="3">
        <v>40289.555555555547</v>
      </c>
      <c r="F874" s="2">
        <v>0.36</v>
      </c>
      <c r="G874" s="2">
        <v>17448</v>
      </c>
      <c r="H874" s="2" t="s">
        <v>9</v>
      </c>
    </row>
    <row r="875" spans="1:8" x14ac:dyDescent="0.25">
      <c r="A875" s="2">
        <v>490281</v>
      </c>
      <c r="B875" s="2">
        <v>48185</v>
      </c>
      <c r="C875" s="2" t="s">
        <v>872</v>
      </c>
      <c r="D875" s="2">
        <v>2</v>
      </c>
      <c r="E875" s="3">
        <v>40151.525694444441</v>
      </c>
      <c r="F875" s="2">
        <v>6.75</v>
      </c>
      <c r="G875" s="2">
        <v>13481</v>
      </c>
      <c r="H875" s="2" t="s">
        <v>9</v>
      </c>
    </row>
    <row r="876" spans="1:8" x14ac:dyDescent="0.25">
      <c r="A876" s="2">
        <v>494866</v>
      </c>
      <c r="B876" s="2">
        <v>22261</v>
      </c>
      <c r="C876" s="2" t="s">
        <v>873</v>
      </c>
      <c r="D876" s="2">
        <v>5</v>
      </c>
      <c r="E876" s="3">
        <v>40197.472222222219</v>
      </c>
      <c r="F876" s="2">
        <v>0.85</v>
      </c>
      <c r="G876" s="2">
        <v>16253</v>
      </c>
      <c r="H876" s="2" t="s">
        <v>9</v>
      </c>
    </row>
    <row r="877" spans="1:8" x14ac:dyDescent="0.25">
      <c r="A877" s="2">
        <v>495415</v>
      </c>
      <c r="B877" s="2" t="s">
        <v>874</v>
      </c>
      <c r="C877" s="2" t="s">
        <v>875</v>
      </c>
      <c r="D877" s="2">
        <v>6</v>
      </c>
      <c r="E877" s="3">
        <v>40203.480555555558</v>
      </c>
      <c r="F877" s="2">
        <v>2.5499999999999998</v>
      </c>
      <c r="G877" s="2">
        <v>18199</v>
      </c>
      <c r="H877" s="2" t="s">
        <v>9</v>
      </c>
    </row>
    <row r="878" spans="1:8" x14ac:dyDescent="0.25">
      <c r="A878" s="2">
        <v>499168</v>
      </c>
      <c r="B878" s="2">
        <v>47502</v>
      </c>
      <c r="C878" s="2" t="s">
        <v>626</v>
      </c>
      <c r="D878" s="2">
        <v>10</v>
      </c>
      <c r="E878" s="3">
        <v>40234.397916666669</v>
      </c>
      <c r="F878" s="2">
        <v>9.9499999999999993</v>
      </c>
      <c r="G878" s="2">
        <v>16029</v>
      </c>
      <c r="H878" s="2" t="s">
        <v>9</v>
      </c>
    </row>
    <row r="879" spans="1:8" x14ac:dyDescent="0.25">
      <c r="A879" s="2">
        <v>519881</v>
      </c>
      <c r="B879" s="2">
        <v>21932</v>
      </c>
      <c r="C879" s="2" t="s">
        <v>876</v>
      </c>
      <c r="D879" s="2">
        <v>5</v>
      </c>
      <c r="E879" s="3">
        <v>40412.477777777778</v>
      </c>
      <c r="F879" s="2">
        <v>2.95</v>
      </c>
      <c r="G879" s="2">
        <v>16275</v>
      </c>
      <c r="H879" s="2" t="s">
        <v>9</v>
      </c>
    </row>
    <row r="880" spans="1:8" x14ac:dyDescent="0.25">
      <c r="A880" s="2">
        <v>490542</v>
      </c>
      <c r="B880" s="2" t="s">
        <v>877</v>
      </c>
      <c r="C880" s="2" t="s">
        <v>878</v>
      </c>
      <c r="D880" s="2">
        <v>1</v>
      </c>
      <c r="E880" s="3">
        <v>40154.404166666667</v>
      </c>
      <c r="F880" s="2">
        <v>50</v>
      </c>
      <c r="G880" s="2">
        <v>14911</v>
      </c>
      <c r="H880" s="2" t="s">
        <v>11</v>
      </c>
    </row>
    <row r="881" spans="1:8" x14ac:dyDescent="0.25">
      <c r="A881" s="2">
        <v>525030</v>
      </c>
      <c r="B881" s="2">
        <v>22577</v>
      </c>
      <c r="C881" s="2" t="s">
        <v>601</v>
      </c>
      <c r="D881" s="2">
        <v>13</v>
      </c>
      <c r="E881" s="3">
        <v>40454.512499999997</v>
      </c>
      <c r="F881" s="2">
        <v>0.85</v>
      </c>
      <c r="G881" s="2">
        <v>15351</v>
      </c>
      <c r="H881" s="2" t="s">
        <v>9</v>
      </c>
    </row>
    <row r="882" spans="1:8" x14ac:dyDescent="0.25">
      <c r="A882" s="2">
        <v>495029</v>
      </c>
      <c r="B882" s="2">
        <v>22293</v>
      </c>
      <c r="C882" s="2" t="s">
        <v>879</v>
      </c>
      <c r="D882" s="2">
        <v>3</v>
      </c>
      <c r="E882" s="3">
        <v>40198.585416666669</v>
      </c>
      <c r="F882" s="2">
        <v>1.45</v>
      </c>
      <c r="G882" s="2">
        <v>16085</v>
      </c>
      <c r="H882" s="2" t="s">
        <v>9</v>
      </c>
    </row>
    <row r="883" spans="1:8" x14ac:dyDescent="0.25">
      <c r="A883" s="2">
        <v>516193</v>
      </c>
      <c r="B883" s="2">
        <v>82551</v>
      </c>
      <c r="C883" s="2" t="s">
        <v>662</v>
      </c>
      <c r="D883" s="2">
        <v>12</v>
      </c>
      <c r="E883" s="3">
        <v>40378.418055555558</v>
      </c>
      <c r="F883" s="2">
        <v>1.25</v>
      </c>
      <c r="G883" s="2">
        <v>12696</v>
      </c>
      <c r="H883" s="2" t="s">
        <v>880</v>
      </c>
    </row>
    <row r="884" spans="1:8" x14ac:dyDescent="0.25">
      <c r="A884" s="2">
        <v>528615</v>
      </c>
      <c r="B884" s="2">
        <v>22736</v>
      </c>
      <c r="C884" s="2" t="s">
        <v>596</v>
      </c>
      <c r="D884" s="2">
        <v>1</v>
      </c>
      <c r="E884" s="3">
        <v>40473.691666666673</v>
      </c>
      <c r="F884" s="2">
        <v>1.65</v>
      </c>
      <c r="G884" s="2">
        <v>17231</v>
      </c>
      <c r="H884" s="2" t="s">
        <v>9</v>
      </c>
    </row>
    <row r="885" spans="1:8" x14ac:dyDescent="0.25">
      <c r="A885" s="2">
        <v>520336</v>
      </c>
      <c r="B885" s="2">
        <v>84879</v>
      </c>
      <c r="C885" s="2" t="s">
        <v>143</v>
      </c>
      <c r="D885" s="2">
        <v>8</v>
      </c>
      <c r="E885" s="3">
        <v>40415.527083333327</v>
      </c>
      <c r="F885" s="2">
        <v>1.69</v>
      </c>
      <c r="G885" s="2">
        <v>16019</v>
      </c>
      <c r="H885" s="2" t="s">
        <v>9</v>
      </c>
    </row>
    <row r="886" spans="1:8" x14ac:dyDescent="0.25">
      <c r="A886" s="2">
        <v>529522</v>
      </c>
      <c r="B886" s="2">
        <v>22178</v>
      </c>
      <c r="C886" s="2" t="s">
        <v>193</v>
      </c>
      <c r="D886" s="2">
        <v>12</v>
      </c>
      <c r="E886" s="3">
        <v>40479.650694444441</v>
      </c>
      <c r="F886" s="2">
        <v>1.25</v>
      </c>
      <c r="G886" s="2">
        <v>14303</v>
      </c>
      <c r="H886" s="2" t="s">
        <v>9</v>
      </c>
    </row>
    <row r="887" spans="1:8" x14ac:dyDescent="0.25">
      <c r="A887" s="2" t="s">
        <v>881</v>
      </c>
      <c r="B887" s="2">
        <v>21467</v>
      </c>
      <c r="C887" s="2" t="s">
        <v>882</v>
      </c>
      <c r="D887" s="2">
        <v>1</v>
      </c>
      <c r="E887" s="3">
        <v>40421.644444444442</v>
      </c>
      <c r="F887" s="2">
        <v>3.75</v>
      </c>
      <c r="G887" s="2">
        <v>17346</v>
      </c>
      <c r="H887" s="2" t="s">
        <v>9</v>
      </c>
    </row>
    <row r="888" spans="1:8" x14ac:dyDescent="0.25">
      <c r="A888" s="2">
        <v>519586</v>
      </c>
      <c r="B888" s="2">
        <v>21733</v>
      </c>
      <c r="C888" s="2" t="s">
        <v>883</v>
      </c>
      <c r="D888" s="2">
        <v>6</v>
      </c>
      <c r="E888" s="3">
        <v>40408.581944444442</v>
      </c>
      <c r="F888" s="2">
        <v>2.95</v>
      </c>
      <c r="G888" s="2">
        <v>15764</v>
      </c>
      <c r="H888" s="2" t="s">
        <v>132</v>
      </c>
    </row>
    <row r="889" spans="1:8" x14ac:dyDescent="0.25">
      <c r="A889" s="2">
        <v>530953</v>
      </c>
      <c r="B889" s="2">
        <v>21231</v>
      </c>
      <c r="C889" s="2" t="s">
        <v>493</v>
      </c>
      <c r="D889" s="2">
        <v>4</v>
      </c>
      <c r="E889" s="3">
        <v>40486.779166666667</v>
      </c>
      <c r="F889" s="2">
        <v>1.25</v>
      </c>
      <c r="G889" s="2">
        <v>18168</v>
      </c>
      <c r="H889" s="2" t="s">
        <v>9</v>
      </c>
    </row>
    <row r="890" spans="1:8" x14ac:dyDescent="0.25">
      <c r="A890" s="2">
        <v>492839</v>
      </c>
      <c r="B890" s="2">
        <v>82600</v>
      </c>
      <c r="C890" s="2" t="s">
        <v>268</v>
      </c>
      <c r="D890" s="2">
        <v>3</v>
      </c>
      <c r="E890" s="3">
        <v>40168.463888888888</v>
      </c>
      <c r="F890" s="2">
        <v>2.1</v>
      </c>
      <c r="G890" s="2">
        <v>14085</v>
      </c>
      <c r="H890" s="2" t="s">
        <v>9</v>
      </c>
    </row>
    <row r="891" spans="1:8" x14ac:dyDescent="0.25">
      <c r="A891" s="2">
        <v>520484</v>
      </c>
      <c r="B891" s="2">
        <v>20685</v>
      </c>
      <c r="C891" s="2" t="s">
        <v>884</v>
      </c>
      <c r="D891" s="2">
        <v>2</v>
      </c>
      <c r="E891" s="2" t="s">
        <v>885</v>
      </c>
      <c r="F891" s="2">
        <v>7.49</v>
      </c>
      <c r="G891" s="2">
        <v>14930</v>
      </c>
      <c r="H891" s="2" t="s">
        <v>230</v>
      </c>
    </row>
    <row r="892" spans="1:8" x14ac:dyDescent="0.25">
      <c r="A892" s="2">
        <v>524534</v>
      </c>
      <c r="B892" s="2">
        <v>22816</v>
      </c>
      <c r="C892" s="2" t="s">
        <v>886</v>
      </c>
      <c r="D892" s="2">
        <v>24</v>
      </c>
      <c r="E892" s="3">
        <v>40450.565972222219</v>
      </c>
      <c r="F892" s="2">
        <v>0.42</v>
      </c>
      <c r="G892" s="2">
        <v>14510</v>
      </c>
      <c r="H892" s="2" t="s">
        <v>9</v>
      </c>
    </row>
    <row r="893" spans="1:8" x14ac:dyDescent="0.25">
      <c r="A893" s="2">
        <v>532821</v>
      </c>
      <c r="B893" s="2">
        <v>20961</v>
      </c>
      <c r="C893" s="2" t="s">
        <v>156</v>
      </c>
      <c r="D893" s="2">
        <v>2</v>
      </c>
      <c r="E893" s="3">
        <v>40496.688888888893</v>
      </c>
      <c r="F893" s="2" t="s">
        <v>42</v>
      </c>
      <c r="G893" s="2">
        <v>14382</v>
      </c>
      <c r="H893" s="2" t="s">
        <v>9</v>
      </c>
    </row>
    <row r="894" spans="1:8" x14ac:dyDescent="0.25">
      <c r="A894" s="2">
        <v>527073</v>
      </c>
      <c r="B894" s="2">
        <v>22470</v>
      </c>
      <c r="D894" s="2">
        <v>44</v>
      </c>
      <c r="E894" s="3">
        <v>40465.595833333333</v>
      </c>
      <c r="F894" s="2">
        <v>2.5499999999999998</v>
      </c>
      <c r="G894" s="2">
        <v>15050</v>
      </c>
      <c r="H894" s="2" t="s">
        <v>9</v>
      </c>
    </row>
    <row r="895" spans="1:8" x14ac:dyDescent="0.25">
      <c r="A895" s="2">
        <v>491800</v>
      </c>
      <c r="B895" s="2">
        <v>21268</v>
      </c>
      <c r="C895" s="2" t="s">
        <v>887</v>
      </c>
      <c r="D895" s="2">
        <v>48</v>
      </c>
      <c r="E895" s="3">
        <v>40161.540277777778</v>
      </c>
      <c r="F895" s="2">
        <v>0.42</v>
      </c>
      <c r="G895" s="2">
        <v>17511</v>
      </c>
      <c r="H895" s="2" t="s">
        <v>9</v>
      </c>
    </row>
    <row r="896" spans="1:8" x14ac:dyDescent="0.25">
      <c r="A896" s="2">
        <v>532989</v>
      </c>
      <c r="B896" s="2">
        <v>22271</v>
      </c>
      <c r="C896" s="2" t="s">
        <v>888</v>
      </c>
      <c r="D896" s="2">
        <v>1</v>
      </c>
      <c r="E896" s="3">
        <v>40497.589583333327</v>
      </c>
      <c r="F896" s="2">
        <v>2.95</v>
      </c>
      <c r="G896" s="2" t="s">
        <v>889</v>
      </c>
      <c r="H896" s="2" t="s">
        <v>9</v>
      </c>
    </row>
    <row r="897" spans="1:8" x14ac:dyDescent="0.25">
      <c r="A897" s="2" t="s">
        <v>890</v>
      </c>
      <c r="B897" s="2">
        <v>22109</v>
      </c>
      <c r="C897" s="2" t="s">
        <v>821</v>
      </c>
      <c r="D897" s="2">
        <v>-1</v>
      </c>
      <c r="E897" s="3">
        <v>40253.421527777777</v>
      </c>
      <c r="F897" s="2">
        <v>3.75</v>
      </c>
      <c r="G897" s="2" t="s">
        <v>891</v>
      </c>
      <c r="H897" s="2" t="s">
        <v>9</v>
      </c>
    </row>
    <row r="898" spans="1:8" x14ac:dyDescent="0.25">
      <c r="A898" s="2">
        <v>504717</v>
      </c>
      <c r="B898" s="2">
        <v>22605</v>
      </c>
      <c r="C898" s="2" t="s">
        <v>103</v>
      </c>
      <c r="D898" s="2">
        <v>4</v>
      </c>
      <c r="E898" s="3">
        <v>40284.450694444437</v>
      </c>
      <c r="F898" s="2">
        <v>10.95</v>
      </c>
      <c r="G898" s="2">
        <v>16098</v>
      </c>
      <c r="H898" s="2" t="s">
        <v>9</v>
      </c>
    </row>
    <row r="899" spans="1:8" x14ac:dyDescent="0.25">
      <c r="A899" s="2">
        <v>513964</v>
      </c>
      <c r="B899" s="2" t="s">
        <v>751</v>
      </c>
      <c r="C899" s="2" t="s">
        <v>752</v>
      </c>
      <c r="D899" s="2">
        <v>6</v>
      </c>
      <c r="E899" s="3">
        <v>40358.636805555558</v>
      </c>
      <c r="F899" s="2">
        <v>3.75</v>
      </c>
      <c r="G899" s="2">
        <v>12380</v>
      </c>
      <c r="H899" s="2" t="s">
        <v>82</v>
      </c>
    </row>
    <row r="900" spans="1:8" x14ac:dyDescent="0.25">
      <c r="A900" s="2">
        <v>510360</v>
      </c>
      <c r="B900" s="2">
        <v>22090</v>
      </c>
      <c r="C900" s="2" t="s">
        <v>538</v>
      </c>
      <c r="D900" s="2">
        <v>1</v>
      </c>
      <c r="E900" s="3">
        <v>40326.674305555563</v>
      </c>
      <c r="F900" s="2">
        <v>2.95</v>
      </c>
      <c r="G900" s="2">
        <v>14104</v>
      </c>
      <c r="H900" s="2" t="s">
        <v>9</v>
      </c>
    </row>
    <row r="901" spans="1:8" x14ac:dyDescent="0.25">
      <c r="A901" s="2">
        <v>524323</v>
      </c>
      <c r="B901" s="2">
        <v>22726</v>
      </c>
      <c r="C901" s="2" t="s">
        <v>383</v>
      </c>
      <c r="D901" s="2">
        <v>4</v>
      </c>
      <c r="E901" s="3">
        <v>40449.611805555563</v>
      </c>
      <c r="F901" s="2">
        <v>3.75</v>
      </c>
      <c r="G901" s="2">
        <v>12476</v>
      </c>
      <c r="H901" s="2" t="s">
        <v>17</v>
      </c>
    </row>
    <row r="902" spans="1:8" x14ac:dyDescent="0.25">
      <c r="A902" s="2">
        <v>521974</v>
      </c>
      <c r="B902" s="2">
        <v>21156</v>
      </c>
      <c r="C902" s="2" t="s">
        <v>23</v>
      </c>
      <c r="D902" s="2">
        <v>2</v>
      </c>
      <c r="E902" s="3">
        <v>40430.830555555563</v>
      </c>
      <c r="F902" s="2">
        <v>1.95</v>
      </c>
      <c r="G902" s="2">
        <v>15861</v>
      </c>
      <c r="H902" s="2" t="s">
        <v>9</v>
      </c>
    </row>
    <row r="903" spans="1:8" x14ac:dyDescent="0.25">
      <c r="A903" s="2">
        <v>532764</v>
      </c>
      <c r="B903" s="2">
        <v>22576</v>
      </c>
      <c r="C903" s="2" t="s">
        <v>258</v>
      </c>
      <c r="D903" s="2">
        <v>1</v>
      </c>
      <c r="E903" s="3">
        <v>40496.588194444441</v>
      </c>
      <c r="F903" s="2">
        <v>0.85</v>
      </c>
      <c r="G903" s="2">
        <v>14684</v>
      </c>
      <c r="H903" s="2" t="s">
        <v>9</v>
      </c>
    </row>
    <row r="904" spans="1:8" x14ac:dyDescent="0.25">
      <c r="A904" s="2">
        <v>498696</v>
      </c>
      <c r="B904" s="2" t="s">
        <v>892</v>
      </c>
      <c r="C904" s="2" t="s">
        <v>893</v>
      </c>
      <c r="D904" s="2">
        <v>1</v>
      </c>
      <c r="E904" s="3">
        <v>40231.503472222219</v>
      </c>
      <c r="F904" s="2">
        <v>10.75</v>
      </c>
      <c r="G904" s="2">
        <v>16619</v>
      </c>
      <c r="H904" s="2" t="s">
        <v>9</v>
      </c>
    </row>
    <row r="905" spans="1:8" x14ac:dyDescent="0.25">
      <c r="A905" s="2">
        <v>501665</v>
      </c>
      <c r="B905" s="2" t="s">
        <v>277</v>
      </c>
      <c r="C905" s="2" t="s">
        <v>894</v>
      </c>
      <c r="D905" s="2">
        <v>10</v>
      </c>
      <c r="E905" s="3">
        <v>40255.593055555553</v>
      </c>
      <c r="F905" s="2">
        <v>1.95</v>
      </c>
      <c r="G905" s="2">
        <v>16108</v>
      </c>
      <c r="H905" s="2" t="s">
        <v>9</v>
      </c>
    </row>
    <row r="906" spans="1:8" x14ac:dyDescent="0.25">
      <c r="A906" s="2">
        <v>534003</v>
      </c>
      <c r="B906" s="2">
        <v>21587</v>
      </c>
      <c r="C906" s="2" t="s">
        <v>895</v>
      </c>
      <c r="D906" s="2">
        <v>1</v>
      </c>
      <c r="E906" s="3">
        <v>40501.602083333331</v>
      </c>
      <c r="F906" s="2">
        <v>2.5499999999999998</v>
      </c>
      <c r="G906" s="2" t="s">
        <v>896</v>
      </c>
      <c r="H906" s="2" t="s">
        <v>9</v>
      </c>
    </row>
    <row r="907" spans="1:8" x14ac:dyDescent="0.25">
      <c r="A907" s="2">
        <v>530350</v>
      </c>
      <c r="B907" s="2">
        <v>84773</v>
      </c>
      <c r="C907" s="2" t="s">
        <v>823</v>
      </c>
      <c r="D907" s="2">
        <v>2</v>
      </c>
      <c r="E907" s="3">
        <v>40484.658333333333</v>
      </c>
      <c r="F907" s="2">
        <v>2.95</v>
      </c>
      <c r="G907" s="2">
        <v>14506</v>
      </c>
      <c r="H907" s="2" t="s">
        <v>9</v>
      </c>
    </row>
    <row r="908" spans="1:8" x14ac:dyDescent="0.25">
      <c r="A908" s="2">
        <v>526204</v>
      </c>
      <c r="B908" s="2">
        <v>22750</v>
      </c>
      <c r="C908" s="2" t="s">
        <v>545</v>
      </c>
      <c r="D908" s="2">
        <v>3</v>
      </c>
      <c r="E908" s="3">
        <v>40461.557638888888</v>
      </c>
      <c r="F908" s="2">
        <v>3.75</v>
      </c>
      <c r="G908" s="2">
        <v>14040</v>
      </c>
      <c r="H908" s="2" t="s">
        <v>9</v>
      </c>
    </row>
    <row r="909" spans="1:8" x14ac:dyDescent="0.25">
      <c r="A909" s="2">
        <v>500338</v>
      </c>
      <c r="B909" s="2">
        <v>21889</v>
      </c>
      <c r="C909" s="2" t="s">
        <v>346</v>
      </c>
      <c r="D909" s="2">
        <v>2</v>
      </c>
      <c r="E909" s="3">
        <v>40244.586805555547</v>
      </c>
      <c r="F909" s="2">
        <v>1.25</v>
      </c>
      <c r="G909" s="2">
        <v>13276</v>
      </c>
      <c r="H909" s="2" t="s">
        <v>9</v>
      </c>
    </row>
    <row r="910" spans="1:8" x14ac:dyDescent="0.25">
      <c r="A910" s="2">
        <v>511266</v>
      </c>
      <c r="B910" s="2">
        <v>21544</v>
      </c>
      <c r="C910" s="2" t="s">
        <v>897</v>
      </c>
      <c r="D910" s="2">
        <v>2</v>
      </c>
      <c r="E910" s="3">
        <v>40336.535416666673</v>
      </c>
      <c r="F910" s="2">
        <v>0.85</v>
      </c>
      <c r="G910" s="2">
        <v>14534</v>
      </c>
      <c r="H910" s="2" t="s">
        <v>9</v>
      </c>
    </row>
    <row r="911" spans="1:8" x14ac:dyDescent="0.25">
      <c r="A911" s="2">
        <v>528957</v>
      </c>
      <c r="B911" s="2">
        <v>21219</v>
      </c>
      <c r="C911" s="2" t="s">
        <v>898</v>
      </c>
      <c r="D911" s="2" t="s">
        <v>59</v>
      </c>
      <c r="E911" s="3">
        <v>40477.367361111108</v>
      </c>
      <c r="F911" s="2">
        <v>1.25</v>
      </c>
      <c r="H911" s="2" t="s">
        <v>17</v>
      </c>
    </row>
    <row r="912" spans="1:8" x14ac:dyDescent="0.25">
      <c r="A912" s="2">
        <v>513762</v>
      </c>
      <c r="B912" s="2">
        <v>22558</v>
      </c>
      <c r="C912" s="2" t="s">
        <v>899</v>
      </c>
      <c r="D912" s="2">
        <v>24</v>
      </c>
      <c r="E912" s="3">
        <v>40357.540277777778</v>
      </c>
      <c r="F912" s="2">
        <v>1.25</v>
      </c>
      <c r="G912" s="2">
        <v>12451</v>
      </c>
      <c r="H912" s="2" t="s">
        <v>343</v>
      </c>
    </row>
    <row r="913" spans="1:8" x14ac:dyDescent="0.25">
      <c r="A913" s="2">
        <v>522086</v>
      </c>
      <c r="B913" s="2">
        <v>22582</v>
      </c>
      <c r="C913" s="2" t="s">
        <v>382</v>
      </c>
      <c r="D913" s="2">
        <v>6</v>
      </c>
      <c r="E913" s="3">
        <v>40433.5</v>
      </c>
      <c r="F913" s="2">
        <v>2.5499999999999998</v>
      </c>
      <c r="G913" s="2">
        <v>16042</v>
      </c>
      <c r="H913" s="2" t="s">
        <v>9</v>
      </c>
    </row>
    <row r="914" spans="1:8" x14ac:dyDescent="0.25">
      <c r="A914" s="2">
        <v>536213</v>
      </c>
      <c r="B914" s="2">
        <v>22469</v>
      </c>
      <c r="C914" s="2" t="s">
        <v>663</v>
      </c>
      <c r="D914" s="2">
        <v>10</v>
      </c>
      <c r="E914" s="3">
        <v>40512.564583333333</v>
      </c>
      <c r="F914" s="2">
        <v>1.65</v>
      </c>
      <c r="G914" s="2">
        <v>18170</v>
      </c>
      <c r="H914" s="2" t="s">
        <v>9</v>
      </c>
    </row>
    <row r="915" spans="1:8" x14ac:dyDescent="0.25">
      <c r="A915" s="2">
        <v>501320</v>
      </c>
      <c r="B915" s="2">
        <v>22331</v>
      </c>
      <c r="C915" s="2" t="s">
        <v>309</v>
      </c>
      <c r="D915" s="2">
        <v>8</v>
      </c>
      <c r="E915" s="3">
        <v>40253.40902777778</v>
      </c>
      <c r="F915" s="2">
        <v>1.65</v>
      </c>
      <c r="G915" s="2">
        <v>15123</v>
      </c>
      <c r="H915" s="2" t="s">
        <v>9</v>
      </c>
    </row>
    <row r="916" spans="1:8" x14ac:dyDescent="0.25">
      <c r="A916" s="2">
        <v>496341</v>
      </c>
      <c r="B916" s="2">
        <v>22236</v>
      </c>
      <c r="C916" s="2" t="s">
        <v>80</v>
      </c>
      <c r="D916" s="2">
        <v>2</v>
      </c>
      <c r="E916" s="3">
        <v>40209.657638888893</v>
      </c>
      <c r="F916" s="2">
        <v>12.75</v>
      </c>
      <c r="G916" s="2">
        <v>17107</v>
      </c>
      <c r="H916" s="2" t="s">
        <v>9</v>
      </c>
    </row>
    <row r="917" spans="1:8" x14ac:dyDescent="0.25">
      <c r="A917" s="2">
        <v>492540</v>
      </c>
      <c r="B917" s="2">
        <v>22124</v>
      </c>
      <c r="C917" s="2" t="s">
        <v>900</v>
      </c>
      <c r="D917" s="2">
        <v>1</v>
      </c>
      <c r="E917" s="3">
        <v>40164.566666666673</v>
      </c>
      <c r="F917" s="2">
        <v>2.95</v>
      </c>
      <c r="G917" s="2">
        <v>15005</v>
      </c>
      <c r="H917" s="2" t="s">
        <v>32</v>
      </c>
    </row>
    <row r="918" spans="1:8" x14ac:dyDescent="0.25">
      <c r="A918" s="2">
        <v>496338</v>
      </c>
      <c r="B918" s="2">
        <v>85047</v>
      </c>
      <c r="C918" s="2" t="s">
        <v>374</v>
      </c>
      <c r="D918" s="2">
        <v>6</v>
      </c>
      <c r="E918" s="3">
        <v>40209.648611111108</v>
      </c>
      <c r="F918" s="2">
        <v>6.35</v>
      </c>
      <c r="G918" s="2">
        <v>17230</v>
      </c>
      <c r="H918" s="2" t="s">
        <v>9</v>
      </c>
    </row>
    <row r="919" spans="1:8" x14ac:dyDescent="0.25">
      <c r="A919" s="2">
        <v>501884</v>
      </c>
      <c r="B919" s="2" t="s">
        <v>901</v>
      </c>
      <c r="C919" s="2" t="s">
        <v>902</v>
      </c>
      <c r="D919" s="2">
        <v>1</v>
      </c>
      <c r="E919" s="3">
        <v>40258.586111111108</v>
      </c>
      <c r="F919" s="2">
        <v>6.95</v>
      </c>
      <c r="G919" s="2">
        <v>17611</v>
      </c>
      <c r="H919" s="2" t="s">
        <v>9</v>
      </c>
    </row>
    <row r="920" spans="1:8" x14ac:dyDescent="0.25">
      <c r="A920" s="2">
        <v>501168</v>
      </c>
      <c r="B920" s="2">
        <v>21716</v>
      </c>
      <c r="C920" s="2" t="s">
        <v>903</v>
      </c>
      <c r="D920" s="2">
        <v>8</v>
      </c>
      <c r="E920" s="3">
        <v>40252.418749999997</v>
      </c>
      <c r="F920" s="2">
        <v>2.5499999999999998</v>
      </c>
      <c r="G920" s="2">
        <v>13883</v>
      </c>
      <c r="H920" s="2" t="s">
        <v>9</v>
      </c>
    </row>
    <row r="921" spans="1:8" x14ac:dyDescent="0.25">
      <c r="A921" s="2">
        <v>499465</v>
      </c>
      <c r="B921" s="2">
        <v>22071</v>
      </c>
      <c r="C921" s="2" t="s">
        <v>904</v>
      </c>
      <c r="D921" s="2">
        <v>3</v>
      </c>
      <c r="E921" s="3">
        <v>40237.481249999997</v>
      </c>
      <c r="F921" s="2">
        <v>3.75</v>
      </c>
      <c r="G921" s="2">
        <v>14807</v>
      </c>
      <c r="H921" s="2" t="s">
        <v>9</v>
      </c>
    </row>
    <row r="922" spans="1:8" x14ac:dyDescent="0.25">
      <c r="A922" s="2">
        <v>535981</v>
      </c>
      <c r="B922" s="2">
        <v>21259</v>
      </c>
      <c r="C922" s="2" t="s">
        <v>905</v>
      </c>
      <c r="D922" s="2">
        <v>4</v>
      </c>
      <c r="E922" s="3">
        <v>40511.54791666667</v>
      </c>
      <c r="F922" s="2">
        <v>5.95</v>
      </c>
      <c r="G922" s="2">
        <v>18109</v>
      </c>
      <c r="H922" s="2" t="s">
        <v>9</v>
      </c>
    </row>
    <row r="923" spans="1:8" x14ac:dyDescent="0.25">
      <c r="A923" s="2">
        <v>526207</v>
      </c>
      <c r="B923" s="2">
        <v>21351</v>
      </c>
      <c r="C923" s="2" t="s">
        <v>478</v>
      </c>
      <c r="D923" s="2">
        <v>16</v>
      </c>
      <c r="E923" s="3">
        <v>40461.563194444447</v>
      </c>
      <c r="F923" s="2">
        <v>1.95</v>
      </c>
      <c r="G923" s="2">
        <v>15547</v>
      </c>
      <c r="H923" s="2" t="s">
        <v>9</v>
      </c>
    </row>
    <row r="924" spans="1:8" x14ac:dyDescent="0.25">
      <c r="A924" s="2">
        <v>525013</v>
      </c>
      <c r="B924" s="2">
        <v>22577</v>
      </c>
      <c r="C924" s="2" t="s">
        <v>601</v>
      </c>
      <c r="D924" s="2">
        <v>12</v>
      </c>
      <c r="E924" s="3">
        <v>40454.46875</v>
      </c>
      <c r="F924" s="2">
        <v>0.85</v>
      </c>
      <c r="G924" s="2">
        <v>14911</v>
      </c>
      <c r="H924" s="2" t="s">
        <v>11</v>
      </c>
    </row>
    <row r="925" spans="1:8" x14ac:dyDescent="0.25">
      <c r="A925" s="2">
        <v>516157</v>
      </c>
      <c r="B925" s="2">
        <v>22382</v>
      </c>
      <c r="C925" s="2" t="s">
        <v>906</v>
      </c>
      <c r="D925" s="2">
        <v>2</v>
      </c>
      <c r="E925" s="3">
        <v>40377.492361111108</v>
      </c>
      <c r="F925" s="2">
        <v>1.65</v>
      </c>
      <c r="G925" s="2">
        <v>17261</v>
      </c>
      <c r="H925" s="2" t="s">
        <v>9</v>
      </c>
    </row>
    <row r="926" spans="1:8" x14ac:dyDescent="0.25">
      <c r="A926" s="2">
        <v>537393</v>
      </c>
      <c r="B926" s="2">
        <v>21485</v>
      </c>
      <c r="C926" s="2" t="s">
        <v>907</v>
      </c>
      <c r="D926" s="2">
        <v>48</v>
      </c>
      <c r="E926" s="3">
        <v>40518.582638888889</v>
      </c>
      <c r="F926" s="2">
        <v>4.25</v>
      </c>
      <c r="G926" s="2">
        <v>13089</v>
      </c>
      <c r="H926" s="2" t="s">
        <v>57</v>
      </c>
    </row>
    <row r="927" spans="1:8" x14ac:dyDescent="0.25">
      <c r="A927" s="2">
        <v>513426</v>
      </c>
      <c r="B927" s="2">
        <v>21203</v>
      </c>
      <c r="C927" s="2" t="s">
        <v>908</v>
      </c>
      <c r="D927" s="2">
        <v>6</v>
      </c>
      <c r="E927" s="3">
        <v>40353.542361111111</v>
      </c>
      <c r="F927" s="2">
        <v>1.65</v>
      </c>
      <c r="G927" s="2">
        <v>17142</v>
      </c>
      <c r="H927" s="2" t="s">
        <v>9</v>
      </c>
    </row>
    <row r="928" spans="1:8" x14ac:dyDescent="0.25">
      <c r="A928" s="2">
        <v>495072</v>
      </c>
      <c r="B928" s="2">
        <v>22195</v>
      </c>
      <c r="C928" s="2" t="s">
        <v>909</v>
      </c>
      <c r="D928" s="2">
        <v>12</v>
      </c>
      <c r="E928" s="3">
        <v>40199.348611111112</v>
      </c>
      <c r="F928" s="2">
        <v>1.65</v>
      </c>
      <c r="G928" s="2">
        <v>14215</v>
      </c>
      <c r="H928" s="2" t="s">
        <v>9</v>
      </c>
    </row>
    <row r="929" spans="1:8" x14ac:dyDescent="0.25">
      <c r="A929" s="2">
        <v>528438</v>
      </c>
      <c r="B929" s="2">
        <v>22363</v>
      </c>
      <c r="C929" s="2" t="s">
        <v>910</v>
      </c>
      <c r="D929" s="2">
        <v>6</v>
      </c>
      <c r="E929" s="3">
        <v>40473.444444444453</v>
      </c>
      <c r="F929" s="2">
        <v>2.95</v>
      </c>
      <c r="G929" s="2">
        <v>12419</v>
      </c>
      <c r="H929" s="2" t="s">
        <v>568</v>
      </c>
    </row>
    <row r="930" spans="1:8" x14ac:dyDescent="0.25">
      <c r="A930" s="2">
        <v>533143</v>
      </c>
      <c r="B930" s="2">
        <v>22355</v>
      </c>
      <c r="C930" s="2" t="s">
        <v>766</v>
      </c>
      <c r="D930" s="2">
        <v>10</v>
      </c>
      <c r="E930" s="3">
        <v>40498.561111111107</v>
      </c>
      <c r="F930" s="2">
        <v>0.85</v>
      </c>
      <c r="G930" s="2">
        <v>12766</v>
      </c>
      <c r="H930" s="2" t="s">
        <v>245</v>
      </c>
    </row>
    <row r="931" spans="1:8" x14ac:dyDescent="0.25">
      <c r="A931" s="2">
        <v>491186</v>
      </c>
      <c r="B931" s="2">
        <v>21491</v>
      </c>
      <c r="C931" s="2" t="s">
        <v>911</v>
      </c>
      <c r="D931" s="2">
        <v>2</v>
      </c>
      <c r="E931" s="3">
        <v>40157.51458333333</v>
      </c>
      <c r="F931" s="2">
        <v>1.95</v>
      </c>
      <c r="G931" s="2">
        <v>15889</v>
      </c>
      <c r="H931" s="2" t="s">
        <v>9</v>
      </c>
    </row>
    <row r="932" spans="1:8" x14ac:dyDescent="0.25">
      <c r="A932" s="2">
        <v>496340</v>
      </c>
      <c r="B932" s="2">
        <v>21426</v>
      </c>
      <c r="C932" s="2" t="s">
        <v>137</v>
      </c>
      <c r="D932" s="2">
        <v>6</v>
      </c>
      <c r="E932" s="3">
        <v>40209.65625</v>
      </c>
      <c r="F932" s="2">
        <v>2.1</v>
      </c>
      <c r="G932" s="2">
        <v>12668</v>
      </c>
      <c r="H932" s="2" t="s">
        <v>17</v>
      </c>
    </row>
    <row r="933" spans="1:8" x14ac:dyDescent="0.25">
      <c r="A933" s="2">
        <v>527358</v>
      </c>
      <c r="B933" s="2">
        <v>22199</v>
      </c>
      <c r="C933" s="2" t="s">
        <v>912</v>
      </c>
      <c r="D933" s="2">
        <v>1</v>
      </c>
      <c r="E933" s="3">
        <v>40468.445833333331</v>
      </c>
      <c r="F933" s="2">
        <v>4.25</v>
      </c>
      <c r="H933" s="2" t="s">
        <v>9</v>
      </c>
    </row>
    <row r="934" spans="1:8" x14ac:dyDescent="0.25">
      <c r="A934" s="2">
        <v>533968</v>
      </c>
      <c r="B934" s="2">
        <v>84580</v>
      </c>
      <c r="C934" s="2" t="s">
        <v>127</v>
      </c>
      <c r="D934" s="2">
        <v>1</v>
      </c>
      <c r="E934" s="3">
        <v>40501.551388888889</v>
      </c>
      <c r="F934" s="2">
        <v>3.75</v>
      </c>
      <c r="G934" s="2">
        <v>13884</v>
      </c>
      <c r="H934" s="2" t="s">
        <v>9</v>
      </c>
    </row>
    <row r="935" spans="1:8" x14ac:dyDescent="0.25">
      <c r="A935" s="2">
        <v>506114</v>
      </c>
      <c r="B935" s="2">
        <v>82583</v>
      </c>
      <c r="C935" s="2" t="s">
        <v>913</v>
      </c>
      <c r="D935" s="2">
        <v>12</v>
      </c>
      <c r="E935" s="3">
        <v>40295.574999999997</v>
      </c>
      <c r="F935" s="2">
        <v>2.1</v>
      </c>
      <c r="G935" s="2">
        <v>13001</v>
      </c>
      <c r="H935" s="2" t="s">
        <v>9</v>
      </c>
    </row>
    <row r="936" spans="1:8" x14ac:dyDescent="0.25">
      <c r="A936" s="2">
        <v>531945</v>
      </c>
      <c r="B936" s="2" t="s">
        <v>153</v>
      </c>
      <c r="C936" s="2" t="s">
        <v>154</v>
      </c>
      <c r="D936" s="2">
        <v>12</v>
      </c>
      <c r="E936" s="3">
        <v>40492.511111111111</v>
      </c>
      <c r="F936" s="2">
        <v>2.95</v>
      </c>
      <c r="G936" s="2">
        <v>12997</v>
      </c>
      <c r="H936" s="2" t="s">
        <v>9</v>
      </c>
    </row>
    <row r="937" spans="1:8" x14ac:dyDescent="0.25">
      <c r="A937" s="2">
        <v>521822</v>
      </c>
      <c r="B937" s="2" t="s">
        <v>53</v>
      </c>
      <c r="C937" s="2" t="s">
        <v>54</v>
      </c>
      <c r="D937" s="2">
        <v>9</v>
      </c>
      <c r="E937" s="3">
        <v>40430.442361111112</v>
      </c>
      <c r="F937" s="2">
        <v>5.95</v>
      </c>
      <c r="G937" s="2">
        <v>12714</v>
      </c>
      <c r="H937" s="2" t="s">
        <v>28</v>
      </c>
    </row>
    <row r="938" spans="1:8" x14ac:dyDescent="0.25">
      <c r="A938" s="2">
        <v>509100</v>
      </c>
      <c r="B938" s="2">
        <v>20978</v>
      </c>
      <c r="C938" s="2" t="s">
        <v>914</v>
      </c>
      <c r="D938" s="2">
        <v>1</v>
      </c>
      <c r="E938" s="3">
        <v>40318.492361111108</v>
      </c>
      <c r="F938" s="2">
        <v>1.25</v>
      </c>
      <c r="G938" s="2">
        <v>17841</v>
      </c>
      <c r="H938" s="2" t="s">
        <v>9</v>
      </c>
    </row>
    <row r="939" spans="1:8" x14ac:dyDescent="0.25">
      <c r="A939" s="2">
        <v>493812</v>
      </c>
      <c r="B939" s="2" t="s">
        <v>915</v>
      </c>
      <c r="C939" s="2" t="s">
        <v>916</v>
      </c>
      <c r="D939" s="2">
        <v>24</v>
      </c>
      <c r="E939" s="3">
        <v>40185.494444444441</v>
      </c>
      <c r="F939" s="2">
        <v>0.42</v>
      </c>
      <c r="G939" s="2">
        <v>13081</v>
      </c>
      <c r="H939" s="2" t="s">
        <v>9</v>
      </c>
    </row>
    <row r="940" spans="1:8" x14ac:dyDescent="0.25">
      <c r="A940" s="2">
        <v>511772</v>
      </c>
      <c r="B940" s="2">
        <v>21670</v>
      </c>
      <c r="C940" s="2" t="s">
        <v>631</v>
      </c>
      <c r="D940" s="2">
        <v>12</v>
      </c>
      <c r="E940" s="3">
        <v>40339.509722222218</v>
      </c>
      <c r="F940" s="2">
        <v>1.25</v>
      </c>
      <c r="G940" s="2">
        <v>17491</v>
      </c>
      <c r="H940" s="2" t="s">
        <v>9</v>
      </c>
    </row>
    <row r="941" spans="1:8" x14ac:dyDescent="0.25">
      <c r="A941" s="2">
        <v>505380</v>
      </c>
      <c r="B941" s="2">
        <v>85042</v>
      </c>
      <c r="C941" s="2" t="s">
        <v>661</v>
      </c>
      <c r="D941" s="2">
        <v>8</v>
      </c>
      <c r="E941" s="3">
        <v>40290.35833333333</v>
      </c>
      <c r="F941" s="2">
        <v>4.95</v>
      </c>
      <c r="G941" s="2">
        <v>17675</v>
      </c>
      <c r="H941" s="2" t="s">
        <v>9</v>
      </c>
    </row>
    <row r="942" spans="1:8" x14ac:dyDescent="0.25">
      <c r="A942" s="2">
        <v>511174</v>
      </c>
      <c r="B942" s="2">
        <v>22078</v>
      </c>
      <c r="C942" s="2" t="s">
        <v>917</v>
      </c>
      <c r="D942" s="2" t="s">
        <v>59</v>
      </c>
      <c r="E942" s="3">
        <v>40336.505555555559</v>
      </c>
      <c r="F942" s="2">
        <v>2.1</v>
      </c>
      <c r="G942" s="2">
        <v>15249</v>
      </c>
      <c r="H942" s="2" t="s">
        <v>9</v>
      </c>
    </row>
    <row r="943" spans="1:8" x14ac:dyDescent="0.25">
      <c r="A943" s="2">
        <v>506246</v>
      </c>
      <c r="B943" s="2">
        <v>22090</v>
      </c>
      <c r="C943" s="2" t="s">
        <v>538</v>
      </c>
      <c r="D943" s="2">
        <v>6</v>
      </c>
      <c r="E943" s="3">
        <v>40296.557638888888</v>
      </c>
      <c r="F943" s="2">
        <v>2.95</v>
      </c>
      <c r="G943" s="2">
        <v>14194</v>
      </c>
      <c r="H943" s="2" t="s">
        <v>132</v>
      </c>
    </row>
    <row r="944" spans="1:8" x14ac:dyDescent="0.25">
      <c r="A944" s="2">
        <v>508996</v>
      </c>
      <c r="B944" s="2">
        <v>21363</v>
      </c>
      <c r="C944" s="2" t="s">
        <v>918</v>
      </c>
      <c r="D944" s="2">
        <v>6</v>
      </c>
      <c r="E944" s="3">
        <v>40317.536111111112</v>
      </c>
      <c r="F944" s="2">
        <v>4.95</v>
      </c>
      <c r="G944" s="2">
        <v>13982</v>
      </c>
      <c r="H944" s="2" t="s">
        <v>9</v>
      </c>
    </row>
    <row r="945" spans="1:8" x14ac:dyDescent="0.25">
      <c r="A945" s="2">
        <v>491178</v>
      </c>
      <c r="B945" s="2">
        <v>85152</v>
      </c>
      <c r="C945" s="2" t="s">
        <v>919</v>
      </c>
      <c r="D945" s="2">
        <v>5</v>
      </c>
      <c r="E945" s="3">
        <v>40157.496527777781</v>
      </c>
      <c r="F945" s="2">
        <v>2.1</v>
      </c>
      <c r="G945" s="2">
        <v>14099</v>
      </c>
      <c r="H945" s="2" t="s">
        <v>9</v>
      </c>
    </row>
    <row r="946" spans="1:8" x14ac:dyDescent="0.25">
      <c r="A946" s="2">
        <v>502608</v>
      </c>
      <c r="B946" s="2">
        <v>47566</v>
      </c>
      <c r="C946" s="2" t="s">
        <v>55</v>
      </c>
      <c r="D946" s="2">
        <v>15</v>
      </c>
      <c r="E946" s="3">
        <v>40262.578472222223</v>
      </c>
      <c r="F946" s="2">
        <v>4.6500000000000004</v>
      </c>
      <c r="G946" s="2">
        <v>13001</v>
      </c>
      <c r="H946" s="2" t="s">
        <v>9</v>
      </c>
    </row>
    <row r="947" spans="1:8" x14ac:dyDescent="0.25">
      <c r="A947" s="2">
        <v>528169</v>
      </c>
      <c r="B947" s="2">
        <v>22809</v>
      </c>
      <c r="C947" s="2" t="s">
        <v>920</v>
      </c>
      <c r="D947" s="2">
        <v>6</v>
      </c>
      <c r="E947" s="3">
        <v>40472.413194444453</v>
      </c>
      <c r="G947" s="2">
        <v>13117</v>
      </c>
      <c r="H947" s="2" t="s">
        <v>9</v>
      </c>
    </row>
    <row r="948" spans="1:8" x14ac:dyDescent="0.25">
      <c r="A948" s="2">
        <v>513625</v>
      </c>
      <c r="B948" s="2">
        <v>84755</v>
      </c>
      <c r="C948" s="2" t="s">
        <v>921</v>
      </c>
      <c r="D948" s="2">
        <v>12</v>
      </c>
      <c r="E948" s="3">
        <v>40356.54791666667</v>
      </c>
      <c r="F948" s="2">
        <v>0.65</v>
      </c>
      <c r="G948" s="2">
        <v>14505</v>
      </c>
      <c r="H948" s="2" t="s">
        <v>9</v>
      </c>
    </row>
    <row r="949" spans="1:8" x14ac:dyDescent="0.25">
      <c r="A949" s="2">
        <v>530543</v>
      </c>
      <c r="B949" s="2">
        <v>22625</v>
      </c>
      <c r="C949" s="2" t="s">
        <v>423</v>
      </c>
      <c r="D949" s="2">
        <v>1</v>
      </c>
      <c r="E949" s="3">
        <v>40485.548611111109</v>
      </c>
      <c r="G949" s="2">
        <v>15005</v>
      </c>
      <c r="H949" s="2" t="s">
        <v>9</v>
      </c>
    </row>
    <row r="950" spans="1:8" x14ac:dyDescent="0.25">
      <c r="A950" s="2">
        <v>518224</v>
      </c>
      <c r="B950" s="2">
        <v>21746</v>
      </c>
      <c r="C950" s="2" t="s">
        <v>922</v>
      </c>
      <c r="D950" s="2">
        <v>24</v>
      </c>
      <c r="E950" s="3">
        <v>40395.59097222222</v>
      </c>
      <c r="F950" s="2">
        <v>1.25</v>
      </c>
      <c r="G950" s="2">
        <v>15400</v>
      </c>
      <c r="H950" s="2" t="s">
        <v>9</v>
      </c>
    </row>
    <row r="951" spans="1:8" x14ac:dyDescent="0.25">
      <c r="A951" s="2">
        <v>516944</v>
      </c>
      <c r="B951" s="2">
        <v>22089</v>
      </c>
      <c r="C951" s="2" t="s">
        <v>923</v>
      </c>
      <c r="D951" s="2">
        <v>6</v>
      </c>
      <c r="E951" s="3">
        <v>40384.622916666667</v>
      </c>
      <c r="F951" s="2">
        <v>2.95</v>
      </c>
      <c r="G951" s="2">
        <v>15260</v>
      </c>
      <c r="H951" s="2" t="s">
        <v>9</v>
      </c>
    </row>
    <row r="952" spans="1:8" x14ac:dyDescent="0.25">
      <c r="A952" s="2">
        <v>528757</v>
      </c>
      <c r="B952" s="2">
        <v>82551</v>
      </c>
      <c r="C952" s="2" t="s">
        <v>662</v>
      </c>
      <c r="D952" s="2">
        <v>12</v>
      </c>
      <c r="E952" s="3">
        <v>40475.644444444442</v>
      </c>
      <c r="F952" s="2">
        <v>1.45</v>
      </c>
      <c r="G952" s="2">
        <v>12720</v>
      </c>
      <c r="H952" s="2" t="s">
        <v>17</v>
      </c>
    </row>
    <row r="953" spans="1:8" x14ac:dyDescent="0.25">
      <c r="A953" s="2">
        <v>533959</v>
      </c>
      <c r="B953" s="2">
        <v>20966</v>
      </c>
      <c r="C953" s="2" t="s">
        <v>329</v>
      </c>
      <c r="D953" s="2">
        <v>10</v>
      </c>
      <c r="E953" s="3">
        <v>40501.538888888892</v>
      </c>
      <c r="F953" s="2">
        <v>1.25</v>
      </c>
      <c r="G953" s="2">
        <v>12921</v>
      </c>
      <c r="H953" s="2" t="s">
        <v>9</v>
      </c>
    </row>
    <row r="954" spans="1:8" x14ac:dyDescent="0.25">
      <c r="A954" s="2">
        <v>510416</v>
      </c>
      <c r="B954" s="2" t="s">
        <v>924</v>
      </c>
      <c r="C954" s="2" t="s">
        <v>925</v>
      </c>
      <c r="D954" s="2">
        <v>4</v>
      </c>
      <c r="E954" s="3">
        <v>40328.472916666673</v>
      </c>
      <c r="F954" s="2">
        <v>4.6500000000000004</v>
      </c>
      <c r="G954" s="2">
        <v>13113</v>
      </c>
      <c r="H954" s="2" t="s">
        <v>9</v>
      </c>
    </row>
    <row r="955" spans="1:8" x14ac:dyDescent="0.25">
      <c r="A955" s="2">
        <v>510450</v>
      </c>
      <c r="B955" s="2">
        <v>22565</v>
      </c>
      <c r="C955" s="2" t="s">
        <v>926</v>
      </c>
      <c r="D955" s="2">
        <v>12</v>
      </c>
      <c r="E955" s="3">
        <v>40330.404166666667</v>
      </c>
      <c r="F955" s="2">
        <v>0.85</v>
      </c>
      <c r="G955" s="2">
        <v>14857</v>
      </c>
      <c r="H955" s="2" t="s">
        <v>9</v>
      </c>
    </row>
    <row r="956" spans="1:8" x14ac:dyDescent="0.25">
      <c r="A956" s="2">
        <v>520196</v>
      </c>
      <c r="B956" s="2">
        <v>21481</v>
      </c>
      <c r="C956" s="2" t="s">
        <v>927</v>
      </c>
      <c r="D956" s="2">
        <v>4</v>
      </c>
      <c r="E956" s="3">
        <v>40414.624305555553</v>
      </c>
      <c r="F956" s="2">
        <v>2.95</v>
      </c>
      <c r="G956" s="2">
        <v>16161</v>
      </c>
      <c r="H956" s="2" t="s">
        <v>9</v>
      </c>
    </row>
    <row r="957" spans="1:8" x14ac:dyDescent="0.25">
      <c r="A957" s="2">
        <v>492296</v>
      </c>
      <c r="B957" s="2">
        <v>84950</v>
      </c>
      <c r="C957" s="2" t="s">
        <v>413</v>
      </c>
      <c r="D957" s="2">
        <v>12</v>
      </c>
      <c r="E957" s="3">
        <v>40163.495138888888</v>
      </c>
      <c r="F957" s="2">
        <v>0.85</v>
      </c>
      <c r="G957" s="2">
        <v>14667</v>
      </c>
      <c r="H957" s="2" t="s">
        <v>9</v>
      </c>
    </row>
    <row r="958" spans="1:8" x14ac:dyDescent="0.25">
      <c r="A958" s="2">
        <v>524944</v>
      </c>
      <c r="B958" s="2">
        <v>21134</v>
      </c>
      <c r="C958" s="2" t="s">
        <v>928</v>
      </c>
      <c r="D958" s="2">
        <v>2</v>
      </c>
      <c r="E958" s="2" t="s">
        <v>929</v>
      </c>
      <c r="F958" s="2">
        <v>1.65</v>
      </c>
      <c r="G958" s="2">
        <v>15276</v>
      </c>
      <c r="H958" s="2" t="s">
        <v>9</v>
      </c>
    </row>
    <row r="959" spans="1:8" x14ac:dyDescent="0.25">
      <c r="A959" s="2">
        <v>501444</v>
      </c>
      <c r="B959" s="2">
        <v>22617</v>
      </c>
      <c r="C959" s="2" t="s">
        <v>174</v>
      </c>
      <c r="D959" s="2">
        <v>3</v>
      </c>
      <c r="E959" s="3">
        <v>40253.588888888888</v>
      </c>
      <c r="F959" s="2">
        <v>4.95</v>
      </c>
      <c r="G959" s="2">
        <v>17716</v>
      </c>
      <c r="H959" s="2" t="s">
        <v>9</v>
      </c>
    </row>
    <row r="960" spans="1:8" x14ac:dyDescent="0.25">
      <c r="A960" s="2">
        <v>502272</v>
      </c>
      <c r="B960" s="2">
        <v>21166</v>
      </c>
      <c r="C960" s="2" t="s">
        <v>930</v>
      </c>
      <c r="D960" s="2">
        <v>1</v>
      </c>
      <c r="E960" s="3">
        <v>40260.657638888893</v>
      </c>
      <c r="F960" s="2">
        <v>1.95</v>
      </c>
      <c r="G960" s="2">
        <v>14344</v>
      </c>
      <c r="H960" s="2" t="s">
        <v>9</v>
      </c>
    </row>
    <row r="961" spans="1:8" x14ac:dyDescent="0.25">
      <c r="A961" s="2">
        <v>503255</v>
      </c>
      <c r="B961" s="2">
        <v>48194</v>
      </c>
      <c r="C961" s="2" t="s">
        <v>931</v>
      </c>
      <c r="D961" s="2">
        <v>2</v>
      </c>
      <c r="E961" s="3">
        <v>40268.450694444437</v>
      </c>
      <c r="F961" s="2">
        <v>7.49</v>
      </c>
      <c r="G961" s="2">
        <v>13709</v>
      </c>
      <c r="H961" s="2" t="s">
        <v>9</v>
      </c>
    </row>
    <row r="962" spans="1:8" x14ac:dyDescent="0.25">
      <c r="A962" s="2">
        <v>489532</v>
      </c>
      <c r="B962" s="2">
        <v>84990</v>
      </c>
      <c r="C962" s="2" t="s">
        <v>932</v>
      </c>
      <c r="D962" s="2">
        <v>24</v>
      </c>
      <c r="E962" s="3">
        <v>40148.498611111107</v>
      </c>
      <c r="F962" s="2">
        <v>0.55000000000000004</v>
      </c>
      <c r="G962" s="2">
        <v>13394</v>
      </c>
      <c r="H962" s="2" t="s">
        <v>9</v>
      </c>
    </row>
    <row r="963" spans="1:8" x14ac:dyDescent="0.25">
      <c r="A963" s="2">
        <v>536063</v>
      </c>
      <c r="B963" s="2">
        <v>22114</v>
      </c>
      <c r="C963" s="2" t="s">
        <v>933</v>
      </c>
      <c r="D963" s="2">
        <v>4</v>
      </c>
      <c r="E963" s="3">
        <v>40512.444444444453</v>
      </c>
      <c r="F963" s="2">
        <v>3.95</v>
      </c>
      <c r="G963" s="2">
        <v>15796</v>
      </c>
      <c r="H963" s="2" t="s">
        <v>9</v>
      </c>
    </row>
    <row r="964" spans="1:8" x14ac:dyDescent="0.25">
      <c r="A964" s="2">
        <v>518947</v>
      </c>
      <c r="B964" s="2">
        <v>22627</v>
      </c>
      <c r="C964" s="2" t="s">
        <v>934</v>
      </c>
      <c r="D964" s="2">
        <v>2</v>
      </c>
      <c r="E964" s="3">
        <v>40402.625</v>
      </c>
      <c r="F964" s="2">
        <v>8.5</v>
      </c>
      <c r="G964" s="2">
        <v>15365</v>
      </c>
      <c r="H964" s="2" t="s">
        <v>9</v>
      </c>
    </row>
    <row r="965" spans="1:8" x14ac:dyDescent="0.25">
      <c r="A965" s="2">
        <v>533838</v>
      </c>
      <c r="B965" s="2">
        <v>22847</v>
      </c>
      <c r="C965" s="2" t="s">
        <v>507</v>
      </c>
      <c r="D965" s="2">
        <v>1</v>
      </c>
      <c r="E965" s="3">
        <v>40501.456250000003</v>
      </c>
      <c r="F965" s="2">
        <v>16.95</v>
      </c>
      <c r="G965" s="2">
        <v>13662</v>
      </c>
      <c r="H965" s="2" t="s">
        <v>9</v>
      </c>
    </row>
    <row r="966" spans="1:8" x14ac:dyDescent="0.25">
      <c r="A966" s="2">
        <v>507837</v>
      </c>
      <c r="B966" s="2">
        <v>21259</v>
      </c>
      <c r="C966" s="2" t="s">
        <v>905</v>
      </c>
      <c r="D966" s="2">
        <v>2</v>
      </c>
      <c r="E966" s="3">
        <v>40309.561805555553</v>
      </c>
      <c r="F966" s="2">
        <v>5.95</v>
      </c>
      <c r="G966" s="2">
        <v>15358</v>
      </c>
      <c r="H966" s="2" t="s">
        <v>9</v>
      </c>
    </row>
    <row r="967" spans="1:8" x14ac:dyDescent="0.25">
      <c r="A967" s="2">
        <v>502828</v>
      </c>
      <c r="B967" s="2">
        <v>21679</v>
      </c>
      <c r="C967" s="2" t="s">
        <v>935</v>
      </c>
      <c r="D967" s="2">
        <v>6</v>
      </c>
      <c r="E967" s="3">
        <v>40265.512499999997</v>
      </c>
      <c r="F967" s="2">
        <v>0.85</v>
      </c>
      <c r="G967" s="2">
        <v>16727</v>
      </c>
    </row>
    <row r="968" spans="1:8" x14ac:dyDescent="0.25">
      <c r="A968" s="2">
        <v>496335</v>
      </c>
      <c r="B968" s="2">
        <v>21832</v>
      </c>
      <c r="C968" s="2" t="s">
        <v>936</v>
      </c>
      <c r="D968" s="2">
        <v>12</v>
      </c>
      <c r="E968" s="3">
        <v>40209.612500000003</v>
      </c>
      <c r="F968" s="2">
        <v>1.65</v>
      </c>
      <c r="G968" s="2">
        <v>18212</v>
      </c>
      <c r="H968" s="2" t="s">
        <v>9</v>
      </c>
    </row>
    <row r="969" spans="1:8" x14ac:dyDescent="0.25">
      <c r="A969" s="2">
        <v>529589</v>
      </c>
      <c r="B969" s="2">
        <v>20724</v>
      </c>
      <c r="C969" s="2" t="s">
        <v>801</v>
      </c>
      <c r="D969" s="2">
        <v>10</v>
      </c>
      <c r="E969" s="2" t="s">
        <v>937</v>
      </c>
      <c r="F969" s="2">
        <v>0.85</v>
      </c>
      <c r="G969" s="2">
        <v>17323</v>
      </c>
      <c r="H969" s="2" t="s">
        <v>9</v>
      </c>
    </row>
    <row r="970" spans="1:8" x14ac:dyDescent="0.25">
      <c r="A970" s="2">
        <v>489866</v>
      </c>
      <c r="B970" s="2">
        <v>82578</v>
      </c>
      <c r="C970" s="2" t="s">
        <v>623</v>
      </c>
      <c r="D970" s="2">
        <v>2</v>
      </c>
      <c r="E970" s="3">
        <v>40149.62777777778</v>
      </c>
      <c r="F970" s="2">
        <v>0.55000000000000004</v>
      </c>
      <c r="G970" s="2">
        <v>16200</v>
      </c>
      <c r="H970" s="2" t="s">
        <v>9</v>
      </c>
    </row>
    <row r="971" spans="1:8" x14ac:dyDescent="0.25">
      <c r="A971" s="2">
        <v>537153</v>
      </c>
      <c r="B971" s="2">
        <v>21888</v>
      </c>
      <c r="C971" s="2" t="s">
        <v>149</v>
      </c>
      <c r="D971" s="2">
        <v>6</v>
      </c>
      <c r="E971" s="3">
        <v>40517.543749999997</v>
      </c>
      <c r="F971" s="2">
        <v>3.75</v>
      </c>
      <c r="G971" s="2">
        <v>16718</v>
      </c>
      <c r="H971" s="2" t="s">
        <v>9</v>
      </c>
    </row>
    <row r="972" spans="1:8" x14ac:dyDescent="0.25">
      <c r="A972" s="2">
        <v>504854</v>
      </c>
      <c r="B972" s="2">
        <v>21228</v>
      </c>
      <c r="C972" s="2" t="s">
        <v>938</v>
      </c>
      <c r="D972" s="2">
        <v>1</v>
      </c>
      <c r="E972" s="3">
        <v>40286.444444444453</v>
      </c>
      <c r="F972" s="2">
        <v>1.25</v>
      </c>
      <c r="G972" s="2">
        <v>16923</v>
      </c>
      <c r="H972" s="2" t="s">
        <v>9</v>
      </c>
    </row>
    <row r="973" spans="1:8" x14ac:dyDescent="0.25">
      <c r="A973" s="2">
        <v>522627</v>
      </c>
      <c r="B973" s="2">
        <v>22821</v>
      </c>
      <c r="C973" s="2" t="s">
        <v>939</v>
      </c>
      <c r="D973" s="2">
        <v>12</v>
      </c>
      <c r="E973" s="3">
        <v>40436.686111111107</v>
      </c>
      <c r="F973" s="2">
        <v>0.65</v>
      </c>
      <c r="G973" s="2">
        <v>15660</v>
      </c>
      <c r="H973" s="2" t="s">
        <v>9</v>
      </c>
    </row>
    <row r="974" spans="1:8" x14ac:dyDescent="0.25">
      <c r="A974" s="2">
        <v>502925</v>
      </c>
      <c r="B974" s="2">
        <v>20729</v>
      </c>
      <c r="C974" s="2" t="s">
        <v>940</v>
      </c>
      <c r="D974" s="2">
        <v>1</v>
      </c>
      <c r="E974" s="3">
        <v>40266.59652777778</v>
      </c>
      <c r="F974" s="2">
        <v>1.25</v>
      </c>
      <c r="G974" s="2">
        <v>17841</v>
      </c>
      <c r="H974" s="2" t="s">
        <v>9</v>
      </c>
    </row>
    <row r="975" spans="1:8" x14ac:dyDescent="0.25">
      <c r="A975" s="2">
        <v>504861</v>
      </c>
      <c r="B975" s="2">
        <v>21927</v>
      </c>
      <c r="C975" s="2" t="s">
        <v>941</v>
      </c>
      <c r="D975" s="2">
        <v>4</v>
      </c>
      <c r="E975" s="3">
        <v>40286.503472222219</v>
      </c>
      <c r="F975" s="2">
        <v>1.25</v>
      </c>
      <c r="G975" s="2">
        <v>14702</v>
      </c>
      <c r="H975" s="2" t="s">
        <v>9</v>
      </c>
    </row>
    <row r="976" spans="1:8" x14ac:dyDescent="0.25">
      <c r="A976" s="2">
        <v>526900</v>
      </c>
      <c r="B976" s="2">
        <v>22389</v>
      </c>
      <c r="C976" s="2" t="s">
        <v>942</v>
      </c>
      <c r="D976" s="2">
        <v>36</v>
      </c>
      <c r="E976" s="3">
        <v>40464.629861111112</v>
      </c>
      <c r="F976" s="2">
        <v>0.85</v>
      </c>
      <c r="G976" s="2">
        <v>16120</v>
      </c>
      <c r="H976" s="2" t="s">
        <v>9</v>
      </c>
    </row>
    <row r="977" spans="1:8" x14ac:dyDescent="0.25">
      <c r="A977" s="2">
        <v>496222</v>
      </c>
      <c r="B977" s="2">
        <v>84946</v>
      </c>
      <c r="C977" s="2" t="s">
        <v>24</v>
      </c>
      <c r="D977" s="2">
        <v>12</v>
      </c>
      <c r="E977" s="3">
        <v>40207.578472222223</v>
      </c>
      <c r="F977" s="2">
        <v>1.25</v>
      </c>
      <c r="G977" s="2">
        <v>13583</v>
      </c>
      <c r="H977" s="2" t="s">
        <v>9</v>
      </c>
    </row>
    <row r="978" spans="1:8" x14ac:dyDescent="0.25">
      <c r="A978" s="2">
        <v>499272</v>
      </c>
      <c r="B978" s="2">
        <v>22329</v>
      </c>
      <c r="C978" s="2" t="s">
        <v>621</v>
      </c>
      <c r="D978" s="2">
        <v>2</v>
      </c>
      <c r="E978" s="3">
        <v>40234.699999999997</v>
      </c>
      <c r="F978" s="2">
        <v>1.65</v>
      </c>
      <c r="G978" s="2">
        <v>17032</v>
      </c>
      <c r="H978" s="2" t="s">
        <v>9</v>
      </c>
    </row>
    <row r="979" spans="1:8" x14ac:dyDescent="0.25">
      <c r="A979" s="2">
        <v>536030</v>
      </c>
      <c r="B979" s="2">
        <v>22173</v>
      </c>
      <c r="C979" s="2" t="s">
        <v>311</v>
      </c>
      <c r="D979" s="2">
        <v>8</v>
      </c>
      <c r="E979" s="3">
        <v>40511.695138888892</v>
      </c>
      <c r="F979" s="2">
        <v>2.95</v>
      </c>
      <c r="G979" s="2">
        <v>15828</v>
      </c>
      <c r="H979" s="2" t="s">
        <v>9</v>
      </c>
    </row>
    <row r="980" spans="1:8" x14ac:dyDescent="0.25">
      <c r="A980" s="2">
        <v>510962</v>
      </c>
      <c r="B980" s="2">
        <v>21474</v>
      </c>
      <c r="C980" s="2" t="s">
        <v>943</v>
      </c>
      <c r="D980" s="2">
        <v>2</v>
      </c>
      <c r="E980" s="3">
        <v>40333.459722222222</v>
      </c>
      <c r="F980" s="2">
        <v>19.95</v>
      </c>
      <c r="G980" s="2">
        <v>15547</v>
      </c>
      <c r="H980" s="2" t="s">
        <v>9</v>
      </c>
    </row>
    <row r="981" spans="1:8" x14ac:dyDescent="0.25">
      <c r="A981" s="2">
        <v>521819</v>
      </c>
      <c r="B981" s="2">
        <v>21115</v>
      </c>
      <c r="C981" s="2" t="s">
        <v>793</v>
      </c>
      <c r="D981" s="2">
        <v>2</v>
      </c>
      <c r="E981" s="3">
        <v>40429.678472222222</v>
      </c>
      <c r="F981" s="2">
        <v>6.75</v>
      </c>
      <c r="G981" s="2">
        <v>13717</v>
      </c>
      <c r="H981" s="2" t="s">
        <v>9</v>
      </c>
    </row>
    <row r="982" spans="1:8" x14ac:dyDescent="0.25">
      <c r="A982" s="2">
        <v>530085</v>
      </c>
      <c r="B982" s="2">
        <v>22842</v>
      </c>
      <c r="C982" s="2" t="s">
        <v>944</v>
      </c>
      <c r="D982" s="2">
        <v>1</v>
      </c>
      <c r="E982" s="3">
        <v>40483.55972222222</v>
      </c>
      <c r="F982" s="2">
        <v>6.75</v>
      </c>
      <c r="G982" s="2">
        <v>17315</v>
      </c>
      <c r="H982" s="2" t="s">
        <v>9</v>
      </c>
    </row>
    <row r="983" spans="1:8" x14ac:dyDescent="0.25">
      <c r="A983" s="2">
        <v>496057</v>
      </c>
      <c r="B983" s="2">
        <v>21181</v>
      </c>
      <c r="C983" s="2" t="s">
        <v>429</v>
      </c>
      <c r="D983" s="2">
        <v>6</v>
      </c>
      <c r="E983" s="3">
        <v>40206.62777777778</v>
      </c>
      <c r="F983" s="2">
        <v>2.1</v>
      </c>
      <c r="G983" s="2">
        <v>16137</v>
      </c>
      <c r="H983" s="2" t="s">
        <v>9</v>
      </c>
    </row>
    <row r="984" spans="1:8" x14ac:dyDescent="0.25">
      <c r="A984" s="2">
        <v>496926</v>
      </c>
      <c r="B984" s="2">
        <v>84992</v>
      </c>
      <c r="C984" s="2" t="s">
        <v>945</v>
      </c>
      <c r="D984" s="2">
        <v>4</v>
      </c>
      <c r="E984" s="3">
        <v>40213.677777777782</v>
      </c>
      <c r="F984" s="2">
        <v>0.55000000000000004</v>
      </c>
      <c r="G984" s="2">
        <v>17965</v>
      </c>
      <c r="H984" s="2" t="s">
        <v>9</v>
      </c>
    </row>
    <row r="985" spans="1:8" x14ac:dyDescent="0.25">
      <c r="A985" s="2">
        <v>522110</v>
      </c>
      <c r="B985" s="2" t="s">
        <v>21</v>
      </c>
      <c r="C985" s="2" t="s">
        <v>22</v>
      </c>
      <c r="D985" s="2">
        <v>3</v>
      </c>
      <c r="E985" s="3">
        <v>40433.635416666657</v>
      </c>
      <c r="F985" s="2">
        <v>5.95</v>
      </c>
      <c r="G985" s="2">
        <v>13455</v>
      </c>
      <c r="H985" s="2" t="s">
        <v>9</v>
      </c>
    </row>
    <row r="986" spans="1:8" x14ac:dyDescent="0.25">
      <c r="A986" s="2">
        <v>527937</v>
      </c>
      <c r="B986" s="2">
        <v>22748</v>
      </c>
      <c r="C986" s="2" t="s">
        <v>946</v>
      </c>
      <c r="D986" s="2">
        <v>6</v>
      </c>
      <c r="E986" s="3">
        <v>40470.586805555547</v>
      </c>
      <c r="F986" s="2">
        <v>2.1</v>
      </c>
      <c r="G986" s="2">
        <v>12594</v>
      </c>
      <c r="H986" s="2" t="s">
        <v>106</v>
      </c>
    </row>
    <row r="987" spans="1:8" x14ac:dyDescent="0.25">
      <c r="A987" s="2">
        <v>525694</v>
      </c>
      <c r="B987" s="2">
        <v>22711</v>
      </c>
      <c r="C987" s="2" t="s">
        <v>565</v>
      </c>
      <c r="D987" s="2">
        <v>25</v>
      </c>
      <c r="E987" s="3">
        <v>40457.520833333343</v>
      </c>
      <c r="F987" s="2">
        <v>0.42</v>
      </c>
      <c r="G987" s="2">
        <v>17429</v>
      </c>
      <c r="H987" s="2" t="s">
        <v>9</v>
      </c>
    </row>
    <row r="988" spans="1:8" x14ac:dyDescent="0.25">
      <c r="A988" s="2">
        <v>502337</v>
      </c>
      <c r="B988" s="2">
        <v>22447</v>
      </c>
      <c r="C988" s="2" t="s">
        <v>947</v>
      </c>
      <c r="D988" s="2">
        <v>1</v>
      </c>
      <c r="E988" s="3">
        <v>40261.447916666657</v>
      </c>
      <c r="F988" s="2">
        <v>3.35</v>
      </c>
      <c r="G988" s="2">
        <v>17377</v>
      </c>
      <c r="H988" s="2" t="s">
        <v>9</v>
      </c>
    </row>
    <row r="989" spans="1:8" x14ac:dyDescent="0.25">
      <c r="A989" s="2">
        <v>492374</v>
      </c>
      <c r="B989" s="2">
        <v>22297</v>
      </c>
      <c r="C989" s="2" t="s">
        <v>581</v>
      </c>
      <c r="D989" s="2">
        <v>48</v>
      </c>
      <c r="E989" s="3">
        <v>40163.611805555563</v>
      </c>
      <c r="F989" s="2">
        <v>1.25</v>
      </c>
      <c r="G989" s="2">
        <v>15984</v>
      </c>
      <c r="H989" s="2" t="s">
        <v>9</v>
      </c>
    </row>
    <row r="990" spans="1:8" x14ac:dyDescent="0.25">
      <c r="A990" s="2">
        <v>517070</v>
      </c>
      <c r="B990" s="2">
        <v>22087</v>
      </c>
      <c r="C990" s="2" t="s">
        <v>948</v>
      </c>
      <c r="D990" s="2">
        <v>12</v>
      </c>
      <c r="E990" s="3">
        <v>40385.581250000003</v>
      </c>
      <c r="F990" s="2">
        <v>2.95</v>
      </c>
      <c r="G990" s="2">
        <v>14257</v>
      </c>
      <c r="H990" s="2" t="s">
        <v>9</v>
      </c>
    </row>
    <row r="991" spans="1:8" x14ac:dyDescent="0.25">
      <c r="A991" s="2">
        <v>534786</v>
      </c>
      <c r="B991" s="2">
        <v>22111</v>
      </c>
      <c r="C991" s="2" t="s">
        <v>178</v>
      </c>
      <c r="D991" s="2">
        <v>3</v>
      </c>
      <c r="E991" s="3">
        <v>40506.472916666673</v>
      </c>
      <c r="F991" s="2">
        <v>4.95</v>
      </c>
      <c r="G991" s="2">
        <v>15854</v>
      </c>
      <c r="H991" s="2" t="s">
        <v>9</v>
      </c>
    </row>
    <row r="992" spans="1:8" x14ac:dyDescent="0.25">
      <c r="A992" s="2">
        <v>506433</v>
      </c>
      <c r="B992" s="2" t="s">
        <v>751</v>
      </c>
      <c r="C992" s="2" t="s">
        <v>752</v>
      </c>
      <c r="D992" s="2">
        <v>6</v>
      </c>
      <c r="E992" s="2" t="s">
        <v>949</v>
      </c>
      <c r="F992" s="2">
        <v>3.75</v>
      </c>
      <c r="G992" s="2">
        <v>18141</v>
      </c>
      <c r="H992" s="2" t="s">
        <v>9</v>
      </c>
    </row>
    <row r="993" spans="1:8" x14ac:dyDescent="0.25">
      <c r="A993" s="2">
        <v>535366</v>
      </c>
      <c r="B993" s="2">
        <v>21191</v>
      </c>
      <c r="C993" s="2" t="s">
        <v>950</v>
      </c>
      <c r="D993" s="2">
        <v>6</v>
      </c>
      <c r="E993" s="3">
        <v>40507.737500000003</v>
      </c>
      <c r="F993" s="2">
        <v>2.1</v>
      </c>
      <c r="G993" s="2">
        <v>14264</v>
      </c>
      <c r="H993" s="2" t="s">
        <v>9</v>
      </c>
    </row>
    <row r="994" spans="1:8" x14ac:dyDescent="0.25">
      <c r="A994" s="2">
        <v>503436</v>
      </c>
      <c r="B994" s="2">
        <v>20665</v>
      </c>
      <c r="C994" s="2" t="s">
        <v>951</v>
      </c>
      <c r="D994" s="2">
        <v>6</v>
      </c>
      <c r="E994" s="3">
        <v>40269.409722222219</v>
      </c>
      <c r="G994" s="2">
        <v>12662</v>
      </c>
      <c r="H994" s="2" t="s">
        <v>17</v>
      </c>
    </row>
    <row r="995" spans="1:8" x14ac:dyDescent="0.25">
      <c r="A995" s="2">
        <v>516744</v>
      </c>
      <c r="B995" s="2">
        <v>22128</v>
      </c>
      <c r="C995" s="2" t="s">
        <v>952</v>
      </c>
      <c r="D995" s="2">
        <v>24</v>
      </c>
      <c r="E995" s="3">
        <v>40381.602083333331</v>
      </c>
      <c r="F995" s="2">
        <v>1.25</v>
      </c>
      <c r="G995" s="2">
        <v>14236</v>
      </c>
      <c r="H995" s="2" t="s">
        <v>9</v>
      </c>
    </row>
    <row r="996" spans="1:8" x14ac:dyDescent="0.25">
      <c r="A996" s="2">
        <v>490466</v>
      </c>
      <c r="B996" s="2">
        <v>72122</v>
      </c>
      <c r="C996" s="2" t="s">
        <v>953</v>
      </c>
      <c r="D996" s="2">
        <v>4</v>
      </c>
      <c r="E996" s="3">
        <v>40153.511111111111</v>
      </c>
      <c r="F996" s="2">
        <v>0.95</v>
      </c>
      <c r="G996" s="2">
        <v>17085</v>
      </c>
      <c r="H996" s="2" t="s">
        <v>9</v>
      </c>
    </row>
    <row r="997" spans="1:8" x14ac:dyDescent="0.25">
      <c r="A997" s="2">
        <v>527935</v>
      </c>
      <c r="B997" s="2">
        <v>22625</v>
      </c>
      <c r="C997" s="2" t="s">
        <v>954</v>
      </c>
      <c r="D997" s="2">
        <v>1</v>
      </c>
      <c r="E997" s="3">
        <v>40470.568055555559</v>
      </c>
      <c r="F997" s="2">
        <v>8.5</v>
      </c>
      <c r="G997" s="2">
        <v>16719</v>
      </c>
      <c r="H997" s="2" t="s">
        <v>9</v>
      </c>
    </row>
    <row r="998" spans="1:8" x14ac:dyDescent="0.25">
      <c r="A998" s="2">
        <v>504904</v>
      </c>
      <c r="B998" s="2">
        <v>21926</v>
      </c>
      <c r="C998" s="2" t="s">
        <v>955</v>
      </c>
      <c r="D998" s="2">
        <v>2</v>
      </c>
      <c r="E998" s="3">
        <v>40286.661805555559</v>
      </c>
      <c r="F998" s="2">
        <v>1.25</v>
      </c>
      <c r="G998" s="2">
        <v>18069</v>
      </c>
      <c r="H998" s="2" t="s">
        <v>9</v>
      </c>
    </row>
    <row r="999" spans="1:8" x14ac:dyDescent="0.25">
      <c r="A999" s="2">
        <v>511853</v>
      </c>
      <c r="B999" s="2">
        <v>22073</v>
      </c>
      <c r="C999" s="2" t="s">
        <v>956</v>
      </c>
      <c r="D999" s="2">
        <v>8</v>
      </c>
      <c r="E999" s="3">
        <v>40340.338888888888</v>
      </c>
      <c r="F999" s="2">
        <v>3.39</v>
      </c>
      <c r="G999" s="2">
        <v>14298</v>
      </c>
      <c r="H999" s="2" t="s">
        <v>9</v>
      </c>
    </row>
    <row r="1000" spans="1:8" x14ac:dyDescent="0.25">
      <c r="A1000" s="2">
        <v>522644</v>
      </c>
      <c r="B1000" s="2">
        <v>22583</v>
      </c>
      <c r="C1000" s="2" t="s">
        <v>303</v>
      </c>
      <c r="D1000" s="2">
        <v>1</v>
      </c>
      <c r="E1000" s="3">
        <v>40437.446527777778</v>
      </c>
      <c r="F1000" s="2">
        <v>2.5499999999999998</v>
      </c>
      <c r="G1000" s="2">
        <v>15723</v>
      </c>
      <c r="H1000" s="2" t="s">
        <v>9</v>
      </c>
    </row>
    <row r="1001" spans="1:8" x14ac:dyDescent="0.25">
      <c r="A1001" s="2">
        <v>514661</v>
      </c>
      <c r="B1001" s="2">
        <v>21741</v>
      </c>
      <c r="C1001" s="2" t="s">
        <v>299</v>
      </c>
      <c r="D1001" s="2">
        <v>4</v>
      </c>
      <c r="E1001" s="3">
        <v>40364.534722222219</v>
      </c>
      <c r="F1001" s="2">
        <v>2.95</v>
      </c>
      <c r="G1001" s="2">
        <v>14701</v>
      </c>
      <c r="H1001" s="2" t="s">
        <v>9</v>
      </c>
    </row>
    <row r="1002" spans="1:8" x14ac:dyDescent="0.25">
      <c r="A1002" s="2">
        <v>507419</v>
      </c>
      <c r="B1002" s="2">
        <v>21204</v>
      </c>
      <c r="C1002" s="2" t="s">
        <v>957</v>
      </c>
      <c r="D1002" s="2">
        <v>12</v>
      </c>
      <c r="E1002" s="2" t="s">
        <v>958</v>
      </c>
      <c r="F1002" s="2">
        <v>1.65</v>
      </c>
      <c r="G1002" s="2">
        <v>14129</v>
      </c>
      <c r="H1002" s="2" t="s">
        <v>9</v>
      </c>
    </row>
    <row r="1003" spans="1:8" x14ac:dyDescent="0.25">
      <c r="A1003" s="2">
        <v>525714</v>
      </c>
      <c r="B1003" s="2">
        <v>21929</v>
      </c>
      <c r="C1003" s="2" t="s">
        <v>458</v>
      </c>
      <c r="D1003" s="2">
        <v>100</v>
      </c>
      <c r="E1003" s="3">
        <v>40457.599999999999</v>
      </c>
      <c r="F1003" s="2">
        <v>1.65</v>
      </c>
      <c r="G1003" s="2">
        <v>13629</v>
      </c>
      <c r="H1003" s="2" t="s">
        <v>9</v>
      </c>
    </row>
    <row r="1004" spans="1:8" x14ac:dyDescent="0.25">
      <c r="A1004" s="2">
        <v>496551</v>
      </c>
      <c r="B1004" s="2">
        <v>21437</v>
      </c>
      <c r="C1004" s="2" t="s">
        <v>959</v>
      </c>
      <c r="D1004" s="2">
        <v>1</v>
      </c>
      <c r="E1004" s="3">
        <v>40211.550694444442</v>
      </c>
      <c r="F1004" s="2">
        <v>3.75</v>
      </c>
      <c r="G1004" s="2">
        <v>13975</v>
      </c>
      <c r="H1004" s="2" t="s">
        <v>9</v>
      </c>
    </row>
    <row r="1005" spans="1:8" x14ac:dyDescent="0.25">
      <c r="A1005" s="2">
        <v>514823</v>
      </c>
      <c r="B1005" s="2">
        <v>21906</v>
      </c>
      <c r="C1005" s="2" t="s">
        <v>960</v>
      </c>
      <c r="D1005" s="2">
        <v>2</v>
      </c>
      <c r="E1005" s="3">
        <v>40365.513194444437</v>
      </c>
      <c r="F1005" s="2">
        <v>6.75</v>
      </c>
      <c r="G1005" s="2">
        <v>12730</v>
      </c>
      <c r="H1005" s="2" t="s">
        <v>17</v>
      </c>
    </row>
    <row r="1006" spans="1:8" x14ac:dyDescent="0.25">
      <c r="A1006" s="2">
        <v>489814</v>
      </c>
      <c r="B1006" s="2">
        <v>84270</v>
      </c>
      <c r="C1006" s="2" t="s">
        <v>961</v>
      </c>
      <c r="D1006" s="2">
        <v>30</v>
      </c>
      <c r="E1006" s="3">
        <v>40149.54583333333</v>
      </c>
      <c r="F1006" s="2">
        <v>0.21</v>
      </c>
      <c r="G1006" s="2">
        <v>14669</v>
      </c>
      <c r="H1006" s="2" t="s">
        <v>9</v>
      </c>
    </row>
    <row r="1007" spans="1:8" x14ac:dyDescent="0.25">
      <c r="A1007" s="2">
        <v>522739</v>
      </c>
      <c r="B1007" s="2">
        <v>22210</v>
      </c>
      <c r="C1007" s="2" t="s">
        <v>962</v>
      </c>
      <c r="D1007" s="2">
        <v>1</v>
      </c>
      <c r="E1007" s="3">
        <v>40437.54583333333</v>
      </c>
      <c r="F1007" s="2">
        <v>1.65</v>
      </c>
      <c r="G1007" s="2">
        <v>14963</v>
      </c>
      <c r="H1007" s="2" t="s">
        <v>9</v>
      </c>
    </row>
    <row r="1008" spans="1:8" x14ac:dyDescent="0.25">
      <c r="A1008" s="2" t="s">
        <v>963</v>
      </c>
      <c r="B1008" s="2">
        <v>20893</v>
      </c>
      <c r="C1008" s="2" t="s">
        <v>964</v>
      </c>
      <c r="D1008" s="2">
        <v>-72</v>
      </c>
      <c r="E1008" s="3">
        <v>40386.552777777782</v>
      </c>
      <c r="F1008" s="2">
        <v>2.1</v>
      </c>
      <c r="G1008" s="2">
        <v>17408</v>
      </c>
      <c r="H1008" s="2" t="s">
        <v>9</v>
      </c>
    </row>
    <row r="1009" spans="1:8" x14ac:dyDescent="0.25">
      <c r="A1009" s="2">
        <v>512608</v>
      </c>
      <c r="B1009" s="2" t="s">
        <v>965</v>
      </c>
      <c r="C1009" s="2" t="s">
        <v>966</v>
      </c>
      <c r="D1009" s="2">
        <v>24</v>
      </c>
      <c r="E1009" s="3">
        <v>40346.413888888892</v>
      </c>
      <c r="F1009" s="2">
        <v>0.85</v>
      </c>
      <c r="G1009" s="2">
        <v>13488</v>
      </c>
      <c r="H1009" s="2" t="s">
        <v>9</v>
      </c>
    </row>
    <row r="1010" spans="1:8" x14ac:dyDescent="0.25">
      <c r="A1010" s="2">
        <v>494915</v>
      </c>
      <c r="B1010" s="2">
        <v>21122</v>
      </c>
      <c r="C1010" s="2" t="s">
        <v>967</v>
      </c>
      <c r="D1010" s="2">
        <v>3</v>
      </c>
      <c r="E1010" s="3">
        <v>40197.716666666667</v>
      </c>
      <c r="F1010" s="2">
        <v>1.25</v>
      </c>
      <c r="G1010" s="2">
        <v>13564</v>
      </c>
      <c r="H1010" s="2" t="s">
        <v>9</v>
      </c>
    </row>
    <row r="1011" spans="1:8" x14ac:dyDescent="0.25">
      <c r="A1011" s="2">
        <v>513952</v>
      </c>
      <c r="B1011" s="2" t="s">
        <v>968</v>
      </c>
      <c r="C1011" s="2" t="s">
        <v>969</v>
      </c>
      <c r="D1011" s="2">
        <v>6</v>
      </c>
      <c r="E1011" s="3">
        <v>40358.59097222222</v>
      </c>
      <c r="F1011" s="2">
        <v>0.55000000000000004</v>
      </c>
      <c r="G1011" s="2">
        <v>14049</v>
      </c>
      <c r="H1011" s="2" t="s">
        <v>9</v>
      </c>
    </row>
    <row r="1012" spans="1:8" x14ac:dyDescent="0.25">
      <c r="A1012" s="2">
        <v>503834</v>
      </c>
      <c r="B1012" s="2">
        <v>22530</v>
      </c>
      <c r="C1012" s="2" t="s">
        <v>970</v>
      </c>
      <c r="D1012" s="2">
        <v>384</v>
      </c>
      <c r="E1012" s="3">
        <v>40275.675694444442</v>
      </c>
      <c r="F1012" s="2">
        <v>0.36</v>
      </c>
      <c r="G1012" s="2">
        <v>12482</v>
      </c>
      <c r="H1012" s="2" t="s">
        <v>519</v>
      </c>
    </row>
    <row r="1013" spans="1:8" x14ac:dyDescent="0.25">
      <c r="A1013" s="2">
        <v>533469</v>
      </c>
      <c r="B1013" s="2">
        <v>22457</v>
      </c>
      <c r="C1013" s="2" t="s">
        <v>390</v>
      </c>
      <c r="D1013" s="2">
        <v>4</v>
      </c>
      <c r="E1013" s="2" t="s">
        <v>971</v>
      </c>
      <c r="F1013" s="2">
        <v>2.95</v>
      </c>
      <c r="G1013" s="2">
        <v>16016</v>
      </c>
      <c r="H1013" s="2" t="s">
        <v>9</v>
      </c>
    </row>
    <row r="1014" spans="1:8" x14ac:dyDescent="0.25">
      <c r="A1014" s="2">
        <v>525317</v>
      </c>
      <c r="B1014" s="2" t="s">
        <v>972</v>
      </c>
      <c r="C1014" s="2" t="s">
        <v>973</v>
      </c>
      <c r="D1014" s="2">
        <v>3</v>
      </c>
      <c r="E1014" s="3">
        <v>40456.470138888893</v>
      </c>
      <c r="F1014" s="2">
        <v>3.75</v>
      </c>
      <c r="G1014" s="2">
        <v>15311</v>
      </c>
      <c r="H1014" s="2" t="s">
        <v>9</v>
      </c>
    </row>
    <row r="1015" spans="1:8" x14ac:dyDescent="0.25">
      <c r="A1015" s="2">
        <v>537671</v>
      </c>
      <c r="B1015" s="2">
        <v>22728</v>
      </c>
      <c r="D1015" s="2">
        <v>4</v>
      </c>
      <c r="E1015" s="3">
        <v>40520.388888888891</v>
      </c>
      <c r="F1015" s="2">
        <v>3.75</v>
      </c>
      <c r="G1015" s="2">
        <v>13267</v>
      </c>
      <c r="H1015" s="2" t="s">
        <v>9</v>
      </c>
    </row>
    <row r="1016" spans="1:8" x14ac:dyDescent="0.25">
      <c r="A1016" s="2">
        <v>509031</v>
      </c>
      <c r="B1016" s="2">
        <v>21563</v>
      </c>
      <c r="C1016" s="2" t="s">
        <v>70</v>
      </c>
      <c r="D1016" s="2">
        <v>2</v>
      </c>
      <c r="E1016" s="3">
        <v>40317.6875</v>
      </c>
      <c r="F1016" s="2">
        <v>2.95</v>
      </c>
      <c r="G1016" s="2">
        <v>17950</v>
      </c>
      <c r="H1016" s="2" t="s">
        <v>9</v>
      </c>
    </row>
    <row r="1017" spans="1:8" x14ac:dyDescent="0.25">
      <c r="A1017" s="2">
        <v>534786</v>
      </c>
      <c r="B1017" s="2">
        <v>22111</v>
      </c>
      <c r="C1017" s="2" t="s">
        <v>178</v>
      </c>
      <c r="D1017" s="2">
        <v>3</v>
      </c>
      <c r="E1017" s="3">
        <v>40506.472916666673</v>
      </c>
      <c r="F1017" s="2">
        <v>4.95</v>
      </c>
      <c r="G1017" s="2">
        <v>15854</v>
      </c>
      <c r="H1017" s="2" t="s">
        <v>9</v>
      </c>
    </row>
    <row r="1018" spans="1:8" x14ac:dyDescent="0.25">
      <c r="A1018" s="2">
        <v>497217</v>
      </c>
      <c r="B1018" s="2">
        <v>21398</v>
      </c>
      <c r="C1018" s="2" t="s">
        <v>974</v>
      </c>
      <c r="D1018" s="2">
        <v>96</v>
      </c>
      <c r="E1018" s="3">
        <v>40216.602083333331</v>
      </c>
      <c r="F1018" s="2">
        <v>1.75</v>
      </c>
      <c r="H1018" s="2" t="s">
        <v>11</v>
      </c>
    </row>
    <row r="1019" spans="1:8" x14ac:dyDescent="0.25">
      <c r="A1019" s="2">
        <v>503824</v>
      </c>
      <c r="B1019" s="2">
        <v>22177</v>
      </c>
      <c r="C1019" s="2" t="s">
        <v>975</v>
      </c>
      <c r="D1019" s="2">
        <v>1</v>
      </c>
      <c r="E1019" s="3">
        <v>40275.626388888893</v>
      </c>
      <c r="F1019" s="2">
        <v>9.9499999999999993</v>
      </c>
      <c r="G1019" s="2">
        <v>13593</v>
      </c>
      <c r="H1019" s="2" t="s">
        <v>9</v>
      </c>
    </row>
    <row r="1020" spans="1:8" x14ac:dyDescent="0.25">
      <c r="A1020" s="2">
        <v>489998</v>
      </c>
      <c r="B1020" s="2">
        <v>21693</v>
      </c>
      <c r="C1020" s="2" t="s">
        <v>976</v>
      </c>
      <c r="D1020" s="2">
        <v>6</v>
      </c>
      <c r="E1020" s="3">
        <v>40150.47152777778</v>
      </c>
      <c r="F1020" s="2">
        <v>2.95</v>
      </c>
      <c r="G1020" s="2">
        <v>15658</v>
      </c>
      <c r="H1020" s="2" t="s">
        <v>9</v>
      </c>
    </row>
    <row r="1021" spans="1:8" x14ac:dyDescent="0.25">
      <c r="A1021" s="2">
        <v>524305</v>
      </c>
      <c r="B1021" s="2">
        <v>11001</v>
      </c>
      <c r="C1021" s="2" t="s">
        <v>977</v>
      </c>
      <c r="D1021" s="2">
        <v>16</v>
      </c>
      <c r="E1021" s="3">
        <v>40449.569444444453</v>
      </c>
      <c r="F1021" s="2">
        <v>1.69</v>
      </c>
      <c r="G1021" s="2">
        <v>14988</v>
      </c>
      <c r="H102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ABE8-D232-4B74-92DD-4296D3CD66AA}">
  <dimension ref="A1:P1021"/>
  <sheetViews>
    <sheetView workbookViewId="0">
      <selection activeCell="R5" sqref="R5"/>
    </sheetView>
  </sheetViews>
  <sheetFormatPr defaultRowHeight="15" x14ac:dyDescent="0.25"/>
  <cols>
    <col min="1" max="1" width="17" style="18" bestFit="1" customWidth="1"/>
    <col min="2" max="2" width="15.42578125" style="18" bestFit="1" customWidth="1"/>
    <col min="3" max="3" width="41.7109375" style="18" bestFit="1" customWidth="1"/>
    <col min="4" max="4" width="12.28515625" style="18" customWidth="1"/>
    <col min="5" max="5" width="10" style="19" hidden="1" customWidth="1"/>
    <col min="6" max="6" width="8.7109375" style="19" hidden="1" customWidth="1"/>
    <col min="7" max="7" width="12.140625" style="18" bestFit="1" customWidth="1"/>
    <col min="8" max="8" width="18.28515625" hidden="1" customWidth="1"/>
    <col min="9" max="9" width="10.5703125" style="20" hidden="1" customWidth="1"/>
    <col min="10" max="10" width="12.5703125" style="20" customWidth="1"/>
    <col min="11" max="11" width="12.28515625" bestFit="1" customWidth="1"/>
    <col min="12" max="12" width="0" hidden="1" customWidth="1"/>
    <col min="13" max="13" width="3.7109375" hidden="1" customWidth="1"/>
    <col min="14" max="14" width="16.85546875" style="18" customWidth="1"/>
    <col min="15" max="15" width="15.42578125" style="18" bestFit="1" customWidth="1"/>
    <col min="16" max="16" width="9.140625" style="20"/>
  </cols>
  <sheetData>
    <row r="1" spans="1:16" x14ac:dyDescent="0.25">
      <c r="A1" s="4" t="s">
        <v>6</v>
      </c>
      <c r="B1" s="4" t="s">
        <v>1</v>
      </c>
      <c r="C1" s="4" t="s">
        <v>2</v>
      </c>
      <c r="D1" s="4" t="s">
        <v>3</v>
      </c>
      <c r="E1" s="5" t="s">
        <v>3</v>
      </c>
      <c r="F1" s="5" t="s">
        <v>3</v>
      </c>
      <c r="G1" s="4" t="s">
        <v>0</v>
      </c>
      <c r="H1" s="6" t="s">
        <v>4</v>
      </c>
      <c r="I1" s="7" t="s">
        <v>5</v>
      </c>
      <c r="J1" s="22" t="s">
        <v>5</v>
      </c>
      <c r="K1" s="21" t="s">
        <v>1021</v>
      </c>
      <c r="N1" s="8" t="s">
        <v>1020</v>
      </c>
      <c r="O1" s="4" t="s">
        <v>7</v>
      </c>
      <c r="P1" s="38" t="s">
        <v>1027</v>
      </c>
    </row>
    <row r="2" spans="1:16" x14ac:dyDescent="0.25">
      <c r="A2" s="9">
        <v>14606</v>
      </c>
      <c r="B2" s="9">
        <v>84792</v>
      </c>
      <c r="C2" s="9" t="s">
        <v>8</v>
      </c>
      <c r="D2" s="17">
        <f>ABS(E2)</f>
        <v>4</v>
      </c>
      <c r="E2" s="10">
        <f t="shared" ref="E2:E65" si="0">VALUE(F2)</f>
        <v>4</v>
      </c>
      <c r="F2" s="11">
        <v>4</v>
      </c>
      <c r="G2" s="9">
        <v>503181</v>
      </c>
      <c r="H2" s="13">
        <v>40267.599305555559</v>
      </c>
      <c r="I2" s="14">
        <v>4.6500000000000004</v>
      </c>
      <c r="J2" s="23">
        <f t="shared" ref="J2:J65" si="1">VALUE(I2)</f>
        <v>4.6500000000000004</v>
      </c>
      <c r="K2" s="12">
        <v>40267</v>
      </c>
      <c r="L2" s="24">
        <v>9.930555555555555E-2</v>
      </c>
      <c r="M2" t="s">
        <v>1013</v>
      </c>
      <c r="N2" s="15" t="str">
        <f t="shared" ref="N2:N65" si="2">TEXT(L2,"h:mm")&amp;" "&amp;M2</f>
        <v>2:23 PM</v>
      </c>
      <c r="O2" s="9" t="s">
        <v>9</v>
      </c>
      <c r="P2" s="20">
        <f>PRODUCT(D2,(J2))</f>
        <v>18.600000000000001</v>
      </c>
    </row>
    <row r="3" spans="1:16" x14ac:dyDescent="0.25">
      <c r="A3" s="9">
        <v>14911</v>
      </c>
      <c r="B3" s="9">
        <v>22318</v>
      </c>
      <c r="C3" s="9" t="s">
        <v>10</v>
      </c>
      <c r="D3" s="17">
        <f t="shared" ref="D3:D66" si="3">ABS(E3)</f>
        <v>6</v>
      </c>
      <c r="E3" s="10">
        <f t="shared" si="0"/>
        <v>6</v>
      </c>
      <c r="F3" s="11">
        <v>6</v>
      </c>
      <c r="G3" s="9">
        <v>528386</v>
      </c>
      <c r="H3" s="13">
        <v>40472.772222222222</v>
      </c>
      <c r="I3" s="14">
        <v>2.95</v>
      </c>
      <c r="J3" s="23">
        <f t="shared" si="1"/>
        <v>2.95</v>
      </c>
      <c r="K3" s="12">
        <v>40472</v>
      </c>
      <c r="L3" s="24">
        <v>0.2722222222222222</v>
      </c>
      <c r="M3" t="s">
        <v>1013</v>
      </c>
      <c r="N3" s="15" t="str">
        <f t="shared" si="2"/>
        <v>6:32 PM</v>
      </c>
      <c r="O3" s="9" t="s">
        <v>11</v>
      </c>
      <c r="P3" s="20">
        <f t="shared" ref="P3:P66" si="4">PRODUCT(D3,(J3))</f>
        <v>17.700000000000003</v>
      </c>
    </row>
    <row r="4" spans="1:16" x14ac:dyDescent="0.25">
      <c r="A4" s="9">
        <v>16797</v>
      </c>
      <c r="B4" s="9">
        <v>21173</v>
      </c>
      <c r="C4" s="9" t="s">
        <v>12</v>
      </c>
      <c r="D4" s="17">
        <f t="shared" si="3"/>
        <v>1</v>
      </c>
      <c r="E4" s="10">
        <f t="shared" si="0"/>
        <v>1</v>
      </c>
      <c r="F4" s="11">
        <v>1</v>
      </c>
      <c r="G4" s="9">
        <v>498594</v>
      </c>
      <c r="H4" s="13">
        <v>40230.658333333333</v>
      </c>
      <c r="I4" s="14">
        <v>1.65</v>
      </c>
      <c r="J4" s="23">
        <f t="shared" si="1"/>
        <v>1.65</v>
      </c>
      <c r="K4" s="12">
        <v>40230</v>
      </c>
      <c r="L4" s="24">
        <v>0.15833333333333333</v>
      </c>
      <c r="M4" t="s">
        <v>1013</v>
      </c>
      <c r="N4" s="15" t="str">
        <f t="shared" si="2"/>
        <v>3:48 PM</v>
      </c>
      <c r="O4" s="9" t="s">
        <v>9</v>
      </c>
      <c r="P4" s="20">
        <f t="shared" si="4"/>
        <v>1.65</v>
      </c>
    </row>
    <row r="5" spans="1:16" x14ac:dyDescent="0.25">
      <c r="A5" s="9">
        <v>15216</v>
      </c>
      <c r="B5" s="9" t="s">
        <v>13</v>
      </c>
      <c r="C5" s="9" t="s">
        <v>14</v>
      </c>
      <c r="D5" s="17">
        <f t="shared" si="3"/>
        <v>2</v>
      </c>
      <c r="E5" s="10">
        <f t="shared" si="0"/>
        <v>2</v>
      </c>
      <c r="F5" s="11">
        <v>2</v>
      </c>
      <c r="G5" s="9">
        <v>503245</v>
      </c>
      <c r="H5" s="13">
        <v>40268.411111111112</v>
      </c>
      <c r="I5" s="14">
        <v>7.95</v>
      </c>
      <c r="J5" s="23">
        <f t="shared" si="1"/>
        <v>7.95</v>
      </c>
      <c r="K5" s="12">
        <v>40268</v>
      </c>
      <c r="L5" s="24">
        <v>0.41111111111111109</v>
      </c>
      <c r="M5" t="s">
        <v>1014</v>
      </c>
      <c r="N5" s="15" t="str">
        <f t="shared" si="2"/>
        <v>9:52 AM</v>
      </c>
      <c r="O5" s="9" t="s">
        <v>9</v>
      </c>
      <c r="P5" s="20">
        <f t="shared" si="4"/>
        <v>15.9</v>
      </c>
    </row>
    <row r="6" spans="1:16" x14ac:dyDescent="0.25">
      <c r="A6" s="9">
        <v>14677</v>
      </c>
      <c r="B6" s="9">
        <v>84836</v>
      </c>
      <c r="C6" s="9" t="s">
        <v>15</v>
      </c>
      <c r="D6" s="17">
        <f t="shared" si="3"/>
        <v>12</v>
      </c>
      <c r="E6" s="10">
        <f t="shared" si="0"/>
        <v>12</v>
      </c>
      <c r="F6" s="11">
        <v>12</v>
      </c>
      <c r="G6" s="9">
        <v>505756</v>
      </c>
      <c r="H6" s="13">
        <v>40294.408333333333</v>
      </c>
      <c r="I6" s="14">
        <v>1.25</v>
      </c>
      <c r="J6" s="23">
        <f t="shared" si="1"/>
        <v>1.25</v>
      </c>
      <c r="K6" s="12">
        <v>40294</v>
      </c>
      <c r="L6" s="24">
        <v>0.40833333333333333</v>
      </c>
      <c r="M6" t="s">
        <v>1014</v>
      </c>
      <c r="N6" s="15" t="str">
        <f t="shared" si="2"/>
        <v>9:48 AM</v>
      </c>
      <c r="O6" s="9" t="s">
        <v>9</v>
      </c>
      <c r="P6" s="20">
        <f t="shared" si="4"/>
        <v>15</v>
      </c>
    </row>
    <row r="7" spans="1:16" x14ac:dyDescent="0.25">
      <c r="A7" s="9">
        <v>12712</v>
      </c>
      <c r="B7" s="9">
        <v>21559</v>
      </c>
      <c r="C7" s="9" t="s">
        <v>16</v>
      </c>
      <c r="D7" s="17">
        <f t="shared" si="3"/>
        <v>6</v>
      </c>
      <c r="E7" s="10">
        <f t="shared" si="0"/>
        <v>6</v>
      </c>
      <c r="F7" s="11">
        <v>6</v>
      </c>
      <c r="G7" s="9">
        <v>496975</v>
      </c>
      <c r="H7" s="13">
        <v>40214.384722222218</v>
      </c>
      <c r="I7" s="14">
        <v>2.5499999999999998</v>
      </c>
      <c r="J7" s="23">
        <f t="shared" si="1"/>
        <v>2.5499999999999998</v>
      </c>
      <c r="K7" s="12">
        <v>40214</v>
      </c>
      <c r="L7" s="24">
        <v>0.38472222222222224</v>
      </c>
      <c r="M7" t="s">
        <v>1014</v>
      </c>
      <c r="N7" s="15" t="str">
        <f t="shared" si="2"/>
        <v>9:14 AM</v>
      </c>
      <c r="O7" s="9" t="s">
        <v>17</v>
      </c>
      <c r="P7" s="20">
        <f t="shared" si="4"/>
        <v>15.299999999999999</v>
      </c>
    </row>
    <row r="8" spans="1:16" x14ac:dyDescent="0.25">
      <c r="A8" s="9">
        <v>12854</v>
      </c>
      <c r="B8" s="9">
        <v>85107</v>
      </c>
      <c r="C8" s="16" t="s">
        <v>1026</v>
      </c>
      <c r="D8" s="17">
        <f t="shared" si="3"/>
        <v>12</v>
      </c>
      <c r="E8" s="10">
        <f t="shared" si="0"/>
        <v>12</v>
      </c>
      <c r="F8" s="11">
        <v>12</v>
      </c>
      <c r="G8" s="9">
        <v>491584</v>
      </c>
      <c r="H8" s="13">
        <v>40158.538194444453</v>
      </c>
      <c r="I8" s="14">
        <v>2.5499999999999998</v>
      </c>
      <c r="J8" s="23">
        <f t="shared" si="1"/>
        <v>2.5499999999999998</v>
      </c>
      <c r="K8" s="12">
        <v>40158</v>
      </c>
      <c r="L8" s="24">
        <v>0.53819444444444442</v>
      </c>
      <c r="M8" t="s">
        <v>1013</v>
      </c>
      <c r="N8" s="15" t="str">
        <f t="shared" si="2"/>
        <v>12:55 PM</v>
      </c>
      <c r="O8" s="9" t="s">
        <v>9</v>
      </c>
      <c r="P8" s="20">
        <f t="shared" si="4"/>
        <v>30.599999999999998</v>
      </c>
    </row>
    <row r="9" spans="1:16" x14ac:dyDescent="0.25">
      <c r="A9" s="9">
        <v>17576</v>
      </c>
      <c r="B9" s="9">
        <v>22575</v>
      </c>
      <c r="C9" s="9" t="s">
        <v>19</v>
      </c>
      <c r="D9" s="17">
        <f t="shared" si="3"/>
        <v>1</v>
      </c>
      <c r="E9" s="10">
        <f t="shared" si="0"/>
        <v>1</v>
      </c>
      <c r="F9" s="11">
        <v>1</v>
      </c>
      <c r="G9" s="9">
        <v>516478</v>
      </c>
      <c r="H9" s="13">
        <v>40379.722222222219</v>
      </c>
      <c r="I9" s="14">
        <v>1.95</v>
      </c>
      <c r="J9" s="23">
        <f t="shared" si="1"/>
        <v>1.95</v>
      </c>
      <c r="K9" s="12">
        <v>40379</v>
      </c>
      <c r="L9" s="24">
        <v>0.22222222222222221</v>
      </c>
      <c r="M9" t="s">
        <v>1013</v>
      </c>
      <c r="N9" s="15" t="str">
        <f t="shared" si="2"/>
        <v>5:20 PM</v>
      </c>
      <c r="O9" s="9" t="s">
        <v>9</v>
      </c>
      <c r="P9" s="20">
        <f t="shared" si="4"/>
        <v>1.95</v>
      </c>
    </row>
    <row r="10" spans="1:16" x14ac:dyDescent="0.25">
      <c r="A10" s="9">
        <v>16550</v>
      </c>
      <c r="B10" s="9">
        <v>22083</v>
      </c>
      <c r="C10" s="9" t="s">
        <v>20</v>
      </c>
      <c r="D10" s="17">
        <f t="shared" si="3"/>
        <v>2</v>
      </c>
      <c r="E10" s="10">
        <f t="shared" si="0"/>
        <v>2</v>
      </c>
      <c r="F10" s="11">
        <v>2</v>
      </c>
      <c r="G10" s="9">
        <v>502588</v>
      </c>
      <c r="H10" s="13">
        <v>40262.529861111107</v>
      </c>
      <c r="I10" s="14">
        <v>2.95</v>
      </c>
      <c r="J10" s="23">
        <f t="shared" si="1"/>
        <v>2.95</v>
      </c>
      <c r="K10" s="12">
        <v>40262</v>
      </c>
      <c r="L10" s="24">
        <v>0.52986111111111112</v>
      </c>
      <c r="M10" t="s">
        <v>1013</v>
      </c>
      <c r="N10" s="15" t="str">
        <f t="shared" si="2"/>
        <v>12:43 PM</v>
      </c>
      <c r="O10" s="9" t="s">
        <v>9</v>
      </c>
      <c r="P10" s="20">
        <f t="shared" si="4"/>
        <v>5.9</v>
      </c>
    </row>
    <row r="11" spans="1:16" x14ac:dyDescent="0.25">
      <c r="A11" s="9">
        <v>14606</v>
      </c>
      <c r="B11" s="9" t="s">
        <v>21</v>
      </c>
      <c r="C11" s="9" t="s">
        <v>22</v>
      </c>
      <c r="D11" s="17">
        <f t="shared" si="3"/>
        <v>1</v>
      </c>
      <c r="E11" s="10">
        <f t="shared" si="0"/>
        <v>1</v>
      </c>
      <c r="F11" s="11">
        <v>1</v>
      </c>
      <c r="G11" s="9">
        <v>515335</v>
      </c>
      <c r="H11" s="13">
        <v>40370.59652777778</v>
      </c>
      <c r="I11" s="14">
        <v>5.95</v>
      </c>
      <c r="J11" s="23">
        <f t="shared" si="1"/>
        <v>5.95</v>
      </c>
      <c r="K11" s="12">
        <v>40370</v>
      </c>
      <c r="L11" s="24">
        <v>9.6527777777777782E-2</v>
      </c>
      <c r="M11" t="s">
        <v>1013</v>
      </c>
      <c r="N11" s="15" t="str">
        <f t="shared" si="2"/>
        <v>2:19 PM</v>
      </c>
      <c r="O11" s="9" t="s">
        <v>9</v>
      </c>
      <c r="P11" s="20">
        <f t="shared" si="4"/>
        <v>5.95</v>
      </c>
    </row>
    <row r="12" spans="1:16" x14ac:dyDescent="0.25">
      <c r="A12" s="9">
        <v>16799</v>
      </c>
      <c r="B12" s="9">
        <v>21156</v>
      </c>
      <c r="C12" s="9" t="s">
        <v>23</v>
      </c>
      <c r="D12" s="17">
        <f t="shared" si="3"/>
        <v>1</v>
      </c>
      <c r="E12" s="10">
        <f t="shared" si="0"/>
        <v>1</v>
      </c>
      <c r="F12" s="11">
        <v>1</v>
      </c>
      <c r="G12" s="9">
        <v>525065</v>
      </c>
      <c r="H12" s="13">
        <v>40454.602777777778</v>
      </c>
      <c r="I12" s="14">
        <v>1.95</v>
      </c>
      <c r="J12" s="23">
        <f t="shared" si="1"/>
        <v>1.95</v>
      </c>
      <c r="K12" s="12">
        <v>40454</v>
      </c>
      <c r="L12" s="24">
        <v>0.10277777777777777</v>
      </c>
      <c r="M12" t="s">
        <v>1013</v>
      </c>
      <c r="N12" s="15" t="str">
        <f t="shared" si="2"/>
        <v>2:28 PM</v>
      </c>
      <c r="O12" s="9" t="s">
        <v>9</v>
      </c>
      <c r="P12" s="20">
        <f t="shared" si="4"/>
        <v>1.95</v>
      </c>
    </row>
    <row r="13" spans="1:16" x14ac:dyDescent="0.25">
      <c r="A13" s="9">
        <v>18245</v>
      </c>
      <c r="B13" s="9">
        <v>84946</v>
      </c>
      <c r="C13" s="9" t="s">
        <v>24</v>
      </c>
      <c r="D13" s="17">
        <f t="shared" si="3"/>
        <v>24</v>
      </c>
      <c r="E13" s="10">
        <f t="shared" si="0"/>
        <v>24</v>
      </c>
      <c r="F13" s="11">
        <v>24</v>
      </c>
      <c r="G13" s="9">
        <v>535349</v>
      </c>
      <c r="H13" s="13">
        <v>40507.702777777777</v>
      </c>
      <c r="I13" s="14">
        <v>1.25</v>
      </c>
      <c r="J13" s="23">
        <f t="shared" si="1"/>
        <v>1.25</v>
      </c>
      <c r="K13" s="12">
        <v>40507</v>
      </c>
      <c r="L13" s="24">
        <v>0.20277777777777778</v>
      </c>
      <c r="M13" t="s">
        <v>1013</v>
      </c>
      <c r="N13" s="15" t="str">
        <f t="shared" si="2"/>
        <v>4:52 PM</v>
      </c>
      <c r="O13" s="9" t="s">
        <v>9</v>
      </c>
      <c r="P13" s="20">
        <f t="shared" si="4"/>
        <v>30</v>
      </c>
    </row>
    <row r="14" spans="1:16" x14ac:dyDescent="0.25">
      <c r="A14" s="9">
        <v>15150</v>
      </c>
      <c r="B14" s="9">
        <v>82484</v>
      </c>
      <c r="C14" s="9" t="s">
        <v>25</v>
      </c>
      <c r="D14" s="17">
        <f t="shared" si="3"/>
        <v>3</v>
      </c>
      <c r="E14" s="10">
        <f t="shared" si="0"/>
        <v>3</v>
      </c>
      <c r="F14" s="11">
        <v>3</v>
      </c>
      <c r="G14" s="9">
        <v>521949</v>
      </c>
      <c r="H14" s="13">
        <v>40430.719444444447</v>
      </c>
      <c r="I14" s="14">
        <v>6.45</v>
      </c>
      <c r="J14" s="23">
        <f t="shared" si="1"/>
        <v>6.45</v>
      </c>
      <c r="K14" s="12">
        <v>40430</v>
      </c>
      <c r="L14" s="24">
        <v>0.21944444444444444</v>
      </c>
      <c r="M14" t="s">
        <v>1013</v>
      </c>
      <c r="N14" s="15" t="str">
        <f t="shared" si="2"/>
        <v>5:16 PM</v>
      </c>
      <c r="O14" s="9" t="s">
        <v>9</v>
      </c>
      <c r="P14" s="20">
        <f t="shared" si="4"/>
        <v>19.350000000000001</v>
      </c>
    </row>
    <row r="15" spans="1:16" x14ac:dyDescent="0.25">
      <c r="A15" s="9">
        <v>17511</v>
      </c>
      <c r="B15" s="9">
        <v>22519</v>
      </c>
      <c r="C15" s="9" t="s">
        <v>26</v>
      </c>
      <c r="D15" s="17">
        <f t="shared" si="3"/>
        <v>36</v>
      </c>
      <c r="E15" s="10">
        <f t="shared" si="0"/>
        <v>36</v>
      </c>
      <c r="F15" s="11">
        <v>36</v>
      </c>
      <c r="G15" s="9">
        <v>514876</v>
      </c>
      <c r="H15" s="13">
        <v>40366.439583333333</v>
      </c>
      <c r="I15" s="14">
        <v>1.85</v>
      </c>
      <c r="J15" s="23">
        <f t="shared" si="1"/>
        <v>1.85</v>
      </c>
      <c r="K15" s="12">
        <v>40366</v>
      </c>
      <c r="L15" s="24">
        <v>0.43958333333333333</v>
      </c>
      <c r="M15" t="s">
        <v>1014</v>
      </c>
      <c r="N15" s="15" t="str">
        <f t="shared" si="2"/>
        <v>10:33 AM</v>
      </c>
      <c r="O15" s="9" t="s">
        <v>9</v>
      </c>
      <c r="P15" s="20">
        <f t="shared" si="4"/>
        <v>66.600000000000009</v>
      </c>
    </row>
    <row r="16" spans="1:16" x14ac:dyDescent="0.25">
      <c r="A16" s="9">
        <v>12598</v>
      </c>
      <c r="B16" s="9">
        <v>22561</v>
      </c>
      <c r="C16" s="9" t="s">
        <v>27</v>
      </c>
      <c r="D16" s="17">
        <f t="shared" si="3"/>
        <v>12</v>
      </c>
      <c r="E16" s="10">
        <f t="shared" si="0"/>
        <v>12</v>
      </c>
      <c r="F16" s="11">
        <v>12</v>
      </c>
      <c r="G16" s="9">
        <v>521162</v>
      </c>
      <c r="H16" s="13">
        <v>40423.598611111112</v>
      </c>
      <c r="I16" s="14">
        <v>1.65</v>
      </c>
      <c r="J16" s="23">
        <f t="shared" si="1"/>
        <v>1.65</v>
      </c>
      <c r="K16" s="12">
        <v>40423</v>
      </c>
      <c r="L16" s="24">
        <v>9.8611111111111108E-2</v>
      </c>
      <c r="M16" t="s">
        <v>1013</v>
      </c>
      <c r="N16" s="15" t="str">
        <f t="shared" si="2"/>
        <v>2:22 PM</v>
      </c>
      <c r="O16" s="9" t="s">
        <v>28</v>
      </c>
      <c r="P16" s="20">
        <f t="shared" si="4"/>
        <v>19.799999999999997</v>
      </c>
    </row>
    <row r="17" spans="1:16" x14ac:dyDescent="0.25">
      <c r="A17" s="9">
        <v>16374</v>
      </c>
      <c r="B17" s="9">
        <v>20798</v>
      </c>
      <c r="C17" s="9" t="s">
        <v>29</v>
      </c>
      <c r="D17" s="17">
        <f t="shared" si="3"/>
        <v>4</v>
      </c>
      <c r="E17" s="10">
        <f t="shared" si="0"/>
        <v>4</v>
      </c>
      <c r="F17" s="11">
        <v>4</v>
      </c>
      <c r="G17" s="9">
        <v>506572</v>
      </c>
      <c r="H17" s="13">
        <v>40298.548611111109</v>
      </c>
      <c r="I17" s="14">
        <v>2.1</v>
      </c>
      <c r="J17" s="23">
        <f t="shared" si="1"/>
        <v>2.1</v>
      </c>
      <c r="K17" s="12">
        <v>40298</v>
      </c>
      <c r="L17" s="24">
        <v>4.8611111111111112E-2</v>
      </c>
      <c r="M17" t="s">
        <v>1013</v>
      </c>
      <c r="N17" s="15" t="str">
        <f t="shared" si="2"/>
        <v>1:10 PM</v>
      </c>
      <c r="O17" s="9" t="s">
        <v>9</v>
      </c>
      <c r="P17" s="20">
        <f t="shared" si="4"/>
        <v>8.4</v>
      </c>
    </row>
    <row r="18" spans="1:16" x14ac:dyDescent="0.25">
      <c r="A18" s="9">
        <v>17449</v>
      </c>
      <c r="B18" s="9">
        <v>48188</v>
      </c>
      <c r="C18" s="9" t="s">
        <v>30</v>
      </c>
      <c r="D18" s="17">
        <f t="shared" si="3"/>
        <v>1</v>
      </c>
      <c r="E18" s="10">
        <f t="shared" si="0"/>
        <v>1</v>
      </c>
      <c r="F18" s="11">
        <v>1</v>
      </c>
      <c r="G18" s="9">
        <v>505974</v>
      </c>
      <c r="H18" s="13">
        <v>40294.754166666673</v>
      </c>
      <c r="I18" s="14">
        <v>7.49</v>
      </c>
      <c r="J18" s="23">
        <f t="shared" si="1"/>
        <v>7.49</v>
      </c>
      <c r="K18" s="12">
        <v>40294</v>
      </c>
      <c r="L18" s="24">
        <v>0.25416666666666665</v>
      </c>
      <c r="M18" t="s">
        <v>1013</v>
      </c>
      <c r="N18" s="15" t="str">
        <f t="shared" si="2"/>
        <v>6:06 PM</v>
      </c>
      <c r="O18" s="9" t="s">
        <v>9</v>
      </c>
      <c r="P18" s="20">
        <f t="shared" si="4"/>
        <v>7.49</v>
      </c>
    </row>
    <row r="19" spans="1:16" x14ac:dyDescent="0.25">
      <c r="A19" s="9">
        <v>13415</v>
      </c>
      <c r="B19" s="9">
        <v>10125</v>
      </c>
      <c r="C19" s="9" t="s">
        <v>31</v>
      </c>
      <c r="D19" s="17">
        <f t="shared" si="3"/>
        <v>1</v>
      </c>
      <c r="E19" s="10">
        <f t="shared" si="0"/>
        <v>1</v>
      </c>
      <c r="F19" s="11">
        <v>1</v>
      </c>
      <c r="G19" s="9">
        <v>491622</v>
      </c>
      <c r="H19" s="13">
        <v>40158.597222222219</v>
      </c>
      <c r="I19" s="14">
        <v>0.85</v>
      </c>
      <c r="J19" s="23">
        <f t="shared" si="1"/>
        <v>0.85</v>
      </c>
      <c r="K19" s="12">
        <v>40158</v>
      </c>
      <c r="L19" s="24">
        <v>9.7222222222222224E-2</v>
      </c>
      <c r="M19" t="s">
        <v>1013</v>
      </c>
      <c r="N19" s="15" t="str">
        <f t="shared" si="2"/>
        <v>2:20 PM</v>
      </c>
      <c r="O19" s="9" t="s">
        <v>9</v>
      </c>
      <c r="P19" s="20">
        <f t="shared" si="4"/>
        <v>0.85</v>
      </c>
    </row>
    <row r="20" spans="1:16" x14ac:dyDescent="0.25">
      <c r="A20" s="9">
        <v>12924</v>
      </c>
      <c r="B20" s="9">
        <v>21696</v>
      </c>
      <c r="C20" s="9" t="s">
        <v>33</v>
      </c>
      <c r="D20" s="17">
        <f t="shared" si="3"/>
        <v>6</v>
      </c>
      <c r="E20" s="10">
        <f t="shared" si="0"/>
        <v>6</v>
      </c>
      <c r="F20" s="11">
        <v>6</v>
      </c>
      <c r="G20" s="9">
        <v>509982</v>
      </c>
      <c r="H20" s="13">
        <v>40324.602777777778</v>
      </c>
      <c r="I20" s="14">
        <v>2.95</v>
      </c>
      <c r="J20" s="23">
        <f t="shared" si="1"/>
        <v>2.95</v>
      </c>
      <c r="K20" s="12">
        <v>40324</v>
      </c>
      <c r="L20" s="24">
        <v>0.10277777777777777</v>
      </c>
      <c r="M20" t="s">
        <v>1013</v>
      </c>
      <c r="N20" s="15" t="str">
        <f t="shared" si="2"/>
        <v>2:28 PM</v>
      </c>
      <c r="O20" s="9" t="s">
        <v>9</v>
      </c>
      <c r="P20" s="20">
        <f t="shared" si="4"/>
        <v>17.700000000000003</v>
      </c>
    </row>
    <row r="21" spans="1:16" x14ac:dyDescent="0.25">
      <c r="A21" s="9">
        <v>13078</v>
      </c>
      <c r="B21" s="9" t="s">
        <v>34</v>
      </c>
      <c r="C21" s="9" t="s">
        <v>35</v>
      </c>
      <c r="D21" s="17">
        <f t="shared" si="3"/>
        <v>6</v>
      </c>
      <c r="E21" s="10">
        <f t="shared" si="0"/>
        <v>6</v>
      </c>
      <c r="F21" s="11">
        <v>6</v>
      </c>
      <c r="G21" s="9">
        <v>524611</v>
      </c>
      <c r="H21" s="13">
        <v>40451.400694444441</v>
      </c>
      <c r="I21" s="14">
        <v>1.65</v>
      </c>
      <c r="J21" s="23">
        <f t="shared" si="1"/>
        <v>1.65</v>
      </c>
      <c r="K21" s="12">
        <v>40451</v>
      </c>
      <c r="L21" s="24">
        <v>0.40069444444444446</v>
      </c>
      <c r="M21" t="s">
        <v>1014</v>
      </c>
      <c r="N21" s="15" t="str">
        <f t="shared" si="2"/>
        <v>9:37 AM</v>
      </c>
      <c r="O21" s="9" t="s">
        <v>9</v>
      </c>
      <c r="P21" s="20">
        <f t="shared" si="4"/>
        <v>9.8999999999999986</v>
      </c>
    </row>
    <row r="22" spans="1:16" x14ac:dyDescent="0.25">
      <c r="A22" s="9">
        <v>17340</v>
      </c>
      <c r="B22" s="9">
        <v>22413</v>
      </c>
      <c r="C22" s="9" t="s">
        <v>36</v>
      </c>
      <c r="D22" s="17">
        <f t="shared" si="3"/>
        <v>12</v>
      </c>
      <c r="E22" s="10">
        <f t="shared" si="0"/>
        <v>12</v>
      </c>
      <c r="F22" s="11">
        <v>12</v>
      </c>
      <c r="G22" s="9">
        <v>501906</v>
      </c>
      <c r="H22" s="13">
        <v>40258.668055555558</v>
      </c>
      <c r="I22" s="14">
        <v>2.95</v>
      </c>
      <c r="J22" s="23">
        <f t="shared" si="1"/>
        <v>2.95</v>
      </c>
      <c r="K22" s="12">
        <v>40258</v>
      </c>
      <c r="L22" s="24">
        <v>0.16805555555555557</v>
      </c>
      <c r="M22" t="s">
        <v>1013</v>
      </c>
      <c r="N22" s="15" t="str">
        <f t="shared" si="2"/>
        <v>4:02 PM</v>
      </c>
      <c r="O22" s="9" t="s">
        <v>9</v>
      </c>
      <c r="P22" s="20">
        <f t="shared" si="4"/>
        <v>35.400000000000006</v>
      </c>
    </row>
    <row r="23" spans="1:16" x14ac:dyDescent="0.25">
      <c r="A23" s="9">
        <v>13782</v>
      </c>
      <c r="B23" s="9">
        <v>20979</v>
      </c>
      <c r="C23" s="9" t="s">
        <v>37</v>
      </c>
      <c r="D23" s="17">
        <f t="shared" si="3"/>
        <v>1</v>
      </c>
      <c r="E23" s="10">
        <f t="shared" si="0"/>
        <v>1</v>
      </c>
      <c r="F23" s="11">
        <v>1</v>
      </c>
      <c r="G23" s="9">
        <v>505708</v>
      </c>
      <c r="H23" s="13">
        <v>40293.510416666657</v>
      </c>
      <c r="I23" s="14">
        <v>1.25</v>
      </c>
      <c r="J23" s="23">
        <f t="shared" si="1"/>
        <v>1.25</v>
      </c>
      <c r="K23" s="12">
        <v>40293</v>
      </c>
      <c r="L23" s="24">
        <v>0.51041666666666663</v>
      </c>
      <c r="M23" t="s">
        <v>1013</v>
      </c>
      <c r="N23" s="15" t="str">
        <f t="shared" si="2"/>
        <v>12:15 PM</v>
      </c>
      <c r="O23" s="9" t="s">
        <v>9</v>
      </c>
      <c r="P23" s="20">
        <f t="shared" si="4"/>
        <v>1.25</v>
      </c>
    </row>
    <row r="24" spans="1:16" x14ac:dyDescent="0.25">
      <c r="A24" s="9">
        <v>13408</v>
      </c>
      <c r="B24" s="9" t="s">
        <v>38</v>
      </c>
      <c r="C24" s="9" t="s">
        <v>39</v>
      </c>
      <c r="D24" s="17">
        <f t="shared" si="3"/>
        <v>24</v>
      </c>
      <c r="E24" s="10">
        <f t="shared" si="0"/>
        <v>24</v>
      </c>
      <c r="F24" s="11">
        <v>24</v>
      </c>
      <c r="G24" s="9">
        <v>497935</v>
      </c>
      <c r="H24" s="13">
        <v>40224.449305555558</v>
      </c>
      <c r="I24" s="14">
        <v>5.45</v>
      </c>
      <c r="J24" s="23">
        <f t="shared" si="1"/>
        <v>5.45</v>
      </c>
      <c r="K24" s="12">
        <v>40224</v>
      </c>
      <c r="L24" s="24">
        <v>0.44930555555555557</v>
      </c>
      <c r="M24" t="s">
        <v>1014</v>
      </c>
      <c r="N24" s="15" t="str">
        <f t="shared" si="2"/>
        <v>10:47 AM</v>
      </c>
      <c r="O24" s="9" t="s">
        <v>9</v>
      </c>
      <c r="P24" s="20">
        <f t="shared" si="4"/>
        <v>130.80000000000001</v>
      </c>
    </row>
    <row r="25" spans="1:16" x14ac:dyDescent="0.25">
      <c r="A25" s="9">
        <v>14253</v>
      </c>
      <c r="B25" s="9" t="s">
        <v>40</v>
      </c>
      <c r="C25" s="9" t="s">
        <v>41</v>
      </c>
      <c r="D25" s="17">
        <f t="shared" si="3"/>
        <v>6</v>
      </c>
      <c r="E25" s="10">
        <f t="shared" si="0"/>
        <v>6</v>
      </c>
      <c r="F25" s="11">
        <v>6</v>
      </c>
      <c r="G25" s="9">
        <v>502792</v>
      </c>
      <c r="H25" s="13">
        <v>40263.630555555559</v>
      </c>
      <c r="I25" s="14">
        <v>2.95</v>
      </c>
      <c r="J25" s="23">
        <f t="shared" si="1"/>
        <v>2.95</v>
      </c>
      <c r="K25" s="12">
        <v>40263</v>
      </c>
      <c r="L25" s="24">
        <v>0.13055555555555556</v>
      </c>
      <c r="M25" t="s">
        <v>1013</v>
      </c>
      <c r="N25" s="15" t="str">
        <f t="shared" si="2"/>
        <v>3:08 PM</v>
      </c>
      <c r="O25" s="9" t="s">
        <v>9</v>
      </c>
      <c r="P25" s="20">
        <f t="shared" si="4"/>
        <v>17.700000000000003</v>
      </c>
    </row>
    <row r="26" spans="1:16" x14ac:dyDescent="0.25">
      <c r="A26" s="9">
        <v>12744</v>
      </c>
      <c r="B26" s="9">
        <v>21179</v>
      </c>
      <c r="C26" s="9" t="s">
        <v>978</v>
      </c>
      <c r="D26" s="17">
        <f t="shared" si="3"/>
        <v>12</v>
      </c>
      <c r="E26" s="10">
        <f t="shared" si="0"/>
        <v>12</v>
      </c>
      <c r="F26" s="11">
        <v>12</v>
      </c>
      <c r="G26" s="9">
        <v>521403</v>
      </c>
      <c r="H26" s="13">
        <v>40427.429861111108</v>
      </c>
      <c r="I26" s="14" t="s">
        <v>42</v>
      </c>
      <c r="J26" s="23">
        <f t="shared" si="1"/>
        <v>1.25</v>
      </c>
      <c r="K26" s="12">
        <v>40427</v>
      </c>
      <c r="L26" s="24">
        <v>0.42986111111111114</v>
      </c>
      <c r="M26" t="s">
        <v>1014</v>
      </c>
      <c r="N26" s="15" t="str">
        <f t="shared" si="2"/>
        <v>10:19 AM</v>
      </c>
      <c r="O26" s="9" t="s">
        <v>43</v>
      </c>
      <c r="P26" s="20">
        <f t="shared" si="4"/>
        <v>15</v>
      </c>
    </row>
    <row r="27" spans="1:16" x14ac:dyDescent="0.25">
      <c r="A27" s="9">
        <v>17765</v>
      </c>
      <c r="B27" s="9" t="s">
        <v>45</v>
      </c>
      <c r="C27" s="9" t="s">
        <v>46</v>
      </c>
      <c r="D27" s="17">
        <f t="shared" si="3"/>
        <v>1</v>
      </c>
      <c r="E27" s="10">
        <f t="shared" si="0"/>
        <v>1</v>
      </c>
      <c r="F27" s="11">
        <v>1</v>
      </c>
      <c r="G27" s="9" t="s">
        <v>44</v>
      </c>
      <c r="H27" s="13">
        <v>40438.53125</v>
      </c>
      <c r="I27" s="14">
        <v>2.12</v>
      </c>
      <c r="J27" s="23">
        <f t="shared" si="1"/>
        <v>2.12</v>
      </c>
      <c r="K27" s="12">
        <v>40438</v>
      </c>
      <c r="L27" s="24">
        <v>0.53125</v>
      </c>
      <c r="M27" t="s">
        <v>1013</v>
      </c>
      <c r="N27" s="15" t="str">
        <f t="shared" si="2"/>
        <v>12:45 PM</v>
      </c>
      <c r="O27" s="9" t="s">
        <v>9</v>
      </c>
      <c r="P27" s="20">
        <f t="shared" si="4"/>
        <v>2.12</v>
      </c>
    </row>
    <row r="28" spans="1:16" x14ac:dyDescent="0.25">
      <c r="A28" s="9">
        <v>15032</v>
      </c>
      <c r="B28" s="9">
        <v>22415</v>
      </c>
      <c r="C28" s="9" t="s">
        <v>47</v>
      </c>
      <c r="D28" s="17">
        <f t="shared" si="3"/>
        <v>3</v>
      </c>
      <c r="E28" s="10">
        <f t="shared" si="0"/>
        <v>3</v>
      </c>
      <c r="F28" s="11">
        <v>3</v>
      </c>
      <c r="G28" s="9">
        <v>537810</v>
      </c>
      <c r="H28" s="17" t="s">
        <v>48</v>
      </c>
      <c r="I28" s="14">
        <v>7.95</v>
      </c>
      <c r="J28" s="23">
        <f t="shared" si="1"/>
        <v>7.95</v>
      </c>
      <c r="K28" s="12">
        <v>40402</v>
      </c>
      <c r="L28" s="25">
        <v>0.5625</v>
      </c>
      <c r="N28" s="15" t="str">
        <f t="shared" si="2"/>
        <v xml:space="preserve">13:30 </v>
      </c>
      <c r="O28" s="9" t="s">
        <v>9</v>
      </c>
      <c r="P28" s="20">
        <f t="shared" si="4"/>
        <v>23.85</v>
      </c>
    </row>
    <row r="29" spans="1:16" x14ac:dyDescent="0.25">
      <c r="A29" s="9">
        <v>17663</v>
      </c>
      <c r="B29" s="9">
        <v>21258</v>
      </c>
      <c r="C29" s="9" t="s">
        <v>49</v>
      </c>
      <c r="D29" s="17">
        <f t="shared" si="3"/>
        <v>1</v>
      </c>
      <c r="E29" s="10">
        <f t="shared" si="0"/>
        <v>1</v>
      </c>
      <c r="F29" s="11">
        <v>1</v>
      </c>
      <c r="G29" s="9">
        <v>520505</v>
      </c>
      <c r="H29" s="13">
        <v>40416.535416666673</v>
      </c>
      <c r="I29" s="14">
        <v>12.75</v>
      </c>
      <c r="J29" s="23">
        <f t="shared" si="1"/>
        <v>12.75</v>
      </c>
      <c r="K29" s="12">
        <v>40416</v>
      </c>
      <c r="L29" s="24">
        <v>0.53541666666666665</v>
      </c>
      <c r="M29" t="s">
        <v>1013</v>
      </c>
      <c r="N29" s="15" t="str">
        <f t="shared" si="2"/>
        <v>12:51 PM</v>
      </c>
      <c r="O29" s="9" t="s">
        <v>9</v>
      </c>
      <c r="P29" s="20">
        <f t="shared" si="4"/>
        <v>12.75</v>
      </c>
    </row>
    <row r="30" spans="1:16" x14ac:dyDescent="0.25">
      <c r="A30" s="9">
        <v>17284</v>
      </c>
      <c r="B30" s="9">
        <v>21122</v>
      </c>
      <c r="C30" s="9" t="s">
        <v>51</v>
      </c>
      <c r="D30" s="17">
        <f t="shared" si="3"/>
        <v>24</v>
      </c>
      <c r="E30" s="10">
        <f t="shared" si="0"/>
        <v>24</v>
      </c>
      <c r="F30" s="11">
        <v>24</v>
      </c>
      <c r="G30" s="9" t="s">
        <v>50</v>
      </c>
      <c r="H30" s="13">
        <v>40497.718055555553</v>
      </c>
      <c r="I30" s="14">
        <v>1.25</v>
      </c>
      <c r="J30" s="23">
        <f t="shared" si="1"/>
        <v>1.25</v>
      </c>
      <c r="K30" s="12">
        <v>40497</v>
      </c>
      <c r="L30" s="24">
        <v>0.21805555555555556</v>
      </c>
      <c r="M30" t="s">
        <v>1013</v>
      </c>
      <c r="N30" s="15" t="str">
        <f t="shared" si="2"/>
        <v>5:14 PM</v>
      </c>
      <c r="O30" s="9" t="s">
        <v>9</v>
      </c>
      <c r="P30" s="20">
        <f t="shared" si="4"/>
        <v>30</v>
      </c>
    </row>
    <row r="31" spans="1:16" x14ac:dyDescent="0.25">
      <c r="A31" s="9">
        <v>15967</v>
      </c>
      <c r="B31" s="9">
        <v>21009</v>
      </c>
      <c r="C31" s="9" t="s">
        <v>52</v>
      </c>
      <c r="D31" s="17">
        <f t="shared" si="3"/>
        <v>6</v>
      </c>
      <c r="E31" s="10">
        <f t="shared" si="0"/>
        <v>6</v>
      </c>
      <c r="F31" s="11">
        <v>6</v>
      </c>
      <c r="G31" s="9">
        <v>523971</v>
      </c>
      <c r="H31" s="13">
        <v>40447.578472222223</v>
      </c>
      <c r="I31" s="14">
        <v>1.25</v>
      </c>
      <c r="J31" s="23">
        <f t="shared" si="1"/>
        <v>1.25</v>
      </c>
      <c r="K31" s="12">
        <v>40447</v>
      </c>
      <c r="L31" s="24">
        <v>7.8472222222222221E-2</v>
      </c>
      <c r="M31" t="s">
        <v>1013</v>
      </c>
      <c r="N31" s="15" t="str">
        <f t="shared" si="2"/>
        <v>1:53 PM</v>
      </c>
      <c r="O31" s="9" t="s">
        <v>9</v>
      </c>
      <c r="P31" s="20">
        <f t="shared" si="4"/>
        <v>7.5</v>
      </c>
    </row>
    <row r="32" spans="1:16" x14ac:dyDescent="0.25">
      <c r="A32" s="9">
        <v>17965</v>
      </c>
      <c r="B32" s="9" t="s">
        <v>53</v>
      </c>
      <c r="C32" s="9" t="s">
        <v>54</v>
      </c>
      <c r="D32" s="17">
        <f t="shared" si="3"/>
        <v>2</v>
      </c>
      <c r="E32" s="10">
        <f t="shared" si="0"/>
        <v>2</v>
      </c>
      <c r="F32" s="11">
        <v>2</v>
      </c>
      <c r="G32" s="9">
        <v>499625</v>
      </c>
      <c r="H32" s="13">
        <v>40238.551388888889</v>
      </c>
      <c r="I32" s="14">
        <v>5.95</v>
      </c>
      <c r="J32" s="23">
        <f t="shared" si="1"/>
        <v>5.95</v>
      </c>
      <c r="K32" s="12">
        <v>40238</v>
      </c>
      <c r="L32" s="24">
        <v>5.1388888888888887E-2</v>
      </c>
      <c r="M32" t="s">
        <v>1013</v>
      </c>
      <c r="N32" s="15" t="str">
        <f t="shared" si="2"/>
        <v>1:14 PM</v>
      </c>
      <c r="O32" s="9" t="s">
        <v>9</v>
      </c>
      <c r="P32" s="20">
        <f t="shared" si="4"/>
        <v>11.9</v>
      </c>
    </row>
    <row r="33" spans="1:16" x14ac:dyDescent="0.25">
      <c r="A33" s="9">
        <v>15812</v>
      </c>
      <c r="B33" s="9">
        <v>47566</v>
      </c>
      <c r="C33" s="9" t="s">
        <v>55</v>
      </c>
      <c r="D33" s="17">
        <f t="shared" si="3"/>
        <v>8</v>
      </c>
      <c r="E33" s="10">
        <f t="shared" si="0"/>
        <v>8</v>
      </c>
      <c r="F33" s="11">
        <v>8</v>
      </c>
      <c r="G33" s="9">
        <v>500147</v>
      </c>
      <c r="H33" s="13">
        <v>40241.723611111112</v>
      </c>
      <c r="I33" s="14">
        <v>4.6500000000000004</v>
      </c>
      <c r="J33" s="23">
        <f t="shared" si="1"/>
        <v>4.6500000000000004</v>
      </c>
      <c r="K33" s="12">
        <v>40241</v>
      </c>
      <c r="L33" s="24">
        <v>0.22361111111111112</v>
      </c>
      <c r="M33" t="s">
        <v>1013</v>
      </c>
      <c r="N33" s="15" t="str">
        <f t="shared" si="2"/>
        <v>5:22 PM</v>
      </c>
      <c r="O33" s="9" t="s">
        <v>9</v>
      </c>
      <c r="P33" s="20">
        <f t="shared" si="4"/>
        <v>37.200000000000003</v>
      </c>
    </row>
    <row r="34" spans="1:16" x14ac:dyDescent="0.25">
      <c r="A34" s="9">
        <v>17218</v>
      </c>
      <c r="B34" s="9">
        <v>22569</v>
      </c>
      <c r="C34" s="9" t="s">
        <v>56</v>
      </c>
      <c r="D34" s="17">
        <f t="shared" si="3"/>
        <v>2</v>
      </c>
      <c r="E34" s="10">
        <f t="shared" si="0"/>
        <v>2</v>
      </c>
      <c r="F34" s="11">
        <v>2</v>
      </c>
      <c r="G34" s="9">
        <v>537421</v>
      </c>
      <c r="H34" s="13">
        <v>40518.642361111109</v>
      </c>
      <c r="I34" s="14">
        <v>3.75</v>
      </c>
      <c r="J34" s="23">
        <f t="shared" si="1"/>
        <v>3.75</v>
      </c>
      <c r="K34" s="12">
        <v>40518</v>
      </c>
      <c r="L34" s="24">
        <v>0.1423611111111111</v>
      </c>
      <c r="M34" t="s">
        <v>1013</v>
      </c>
      <c r="N34" s="15" t="str">
        <f t="shared" si="2"/>
        <v>3:25 PM</v>
      </c>
      <c r="O34" s="9" t="s">
        <v>9</v>
      </c>
      <c r="P34" s="20">
        <f t="shared" si="4"/>
        <v>7.5</v>
      </c>
    </row>
    <row r="35" spans="1:16" x14ac:dyDescent="0.25">
      <c r="A35" s="9">
        <v>15384</v>
      </c>
      <c r="B35" s="9">
        <v>21930</v>
      </c>
      <c r="C35" s="9" t="s">
        <v>58</v>
      </c>
      <c r="D35" s="17">
        <f t="shared" si="3"/>
        <v>10</v>
      </c>
      <c r="E35" s="10">
        <f t="shared" si="0"/>
        <v>10</v>
      </c>
      <c r="F35" s="11">
        <v>10</v>
      </c>
      <c r="G35" s="9">
        <v>534526</v>
      </c>
      <c r="H35" s="13">
        <v>40505.50277777778</v>
      </c>
      <c r="I35" s="14">
        <v>1.95</v>
      </c>
      <c r="J35" s="23">
        <f t="shared" si="1"/>
        <v>1.95</v>
      </c>
      <c r="K35" s="12">
        <v>40505</v>
      </c>
      <c r="L35" s="24">
        <v>0.50277777777777777</v>
      </c>
      <c r="M35" t="s">
        <v>1013</v>
      </c>
      <c r="N35" s="15" t="str">
        <f t="shared" si="2"/>
        <v>12:04 PM</v>
      </c>
      <c r="O35" s="9" t="s">
        <v>9</v>
      </c>
      <c r="P35" s="20">
        <f t="shared" si="4"/>
        <v>19.5</v>
      </c>
    </row>
    <row r="36" spans="1:16" x14ac:dyDescent="0.25">
      <c r="A36" s="9">
        <v>17464</v>
      </c>
      <c r="B36" s="9">
        <v>22556</v>
      </c>
      <c r="C36" s="9" t="s">
        <v>60</v>
      </c>
      <c r="D36" s="17">
        <f t="shared" si="3"/>
        <v>1</v>
      </c>
      <c r="E36" s="10">
        <f t="shared" si="0"/>
        <v>1</v>
      </c>
      <c r="F36" s="11">
        <v>1</v>
      </c>
      <c r="G36" s="9">
        <v>503164</v>
      </c>
      <c r="H36" s="13">
        <v>40267.552083333343</v>
      </c>
      <c r="I36" s="14">
        <v>1.65</v>
      </c>
      <c r="J36" s="23">
        <f t="shared" si="1"/>
        <v>1.65</v>
      </c>
      <c r="K36" s="12">
        <v>40267</v>
      </c>
      <c r="L36" s="24">
        <v>5.2083333333333336E-2</v>
      </c>
      <c r="M36" t="s">
        <v>1013</v>
      </c>
      <c r="N36" s="15" t="str">
        <f t="shared" si="2"/>
        <v>1:15 PM</v>
      </c>
      <c r="O36" s="9" t="s">
        <v>9</v>
      </c>
      <c r="P36" s="20">
        <f t="shared" si="4"/>
        <v>1.65</v>
      </c>
    </row>
    <row r="37" spans="1:16" x14ac:dyDescent="0.25">
      <c r="A37" s="9">
        <v>13263</v>
      </c>
      <c r="B37" s="9">
        <v>21499</v>
      </c>
      <c r="C37" s="9" t="s">
        <v>61</v>
      </c>
      <c r="D37" s="17">
        <f t="shared" si="3"/>
        <v>25</v>
      </c>
      <c r="E37" s="10">
        <f t="shared" si="0"/>
        <v>25</v>
      </c>
      <c r="F37" s="11">
        <v>25</v>
      </c>
      <c r="G37" s="9">
        <v>528618</v>
      </c>
      <c r="H37" s="13">
        <v>40473.713194444441</v>
      </c>
      <c r="I37" s="14">
        <v>0.42</v>
      </c>
      <c r="J37" s="23">
        <f t="shared" si="1"/>
        <v>0.42</v>
      </c>
      <c r="K37" s="12">
        <v>40473</v>
      </c>
      <c r="L37" s="24">
        <v>0.21319444444444444</v>
      </c>
      <c r="M37" t="s">
        <v>1013</v>
      </c>
      <c r="N37" s="15" t="str">
        <f t="shared" si="2"/>
        <v>5:07 PM</v>
      </c>
      <c r="O37" s="9" t="s">
        <v>9</v>
      </c>
      <c r="P37" s="20">
        <f t="shared" si="4"/>
        <v>10.5</v>
      </c>
    </row>
    <row r="38" spans="1:16" x14ac:dyDescent="0.25">
      <c r="A38" s="9">
        <v>14156</v>
      </c>
      <c r="B38" s="9">
        <v>22196</v>
      </c>
      <c r="C38" s="9" t="s">
        <v>62</v>
      </c>
      <c r="D38" s="17">
        <f t="shared" si="3"/>
        <v>12</v>
      </c>
      <c r="E38" s="10">
        <f t="shared" si="0"/>
        <v>12</v>
      </c>
      <c r="F38" s="11">
        <v>12</v>
      </c>
      <c r="G38" s="9">
        <v>505015</v>
      </c>
      <c r="H38" s="13">
        <v>40287.5625</v>
      </c>
      <c r="I38" s="14">
        <v>0.85</v>
      </c>
      <c r="J38" s="23">
        <f t="shared" si="1"/>
        <v>0.85</v>
      </c>
      <c r="K38" s="12">
        <v>40287</v>
      </c>
      <c r="L38" s="24">
        <v>6.25E-2</v>
      </c>
      <c r="M38" t="s">
        <v>1013</v>
      </c>
      <c r="N38" s="15" t="str">
        <f t="shared" si="2"/>
        <v>1:30 PM</v>
      </c>
      <c r="O38" s="9" t="s">
        <v>11</v>
      </c>
      <c r="P38" s="20">
        <f t="shared" si="4"/>
        <v>10.199999999999999</v>
      </c>
    </row>
    <row r="39" spans="1:16" x14ac:dyDescent="0.25">
      <c r="A39" s="9">
        <v>17160</v>
      </c>
      <c r="B39" s="9" t="s">
        <v>63</v>
      </c>
      <c r="C39" s="9" t="s">
        <v>64</v>
      </c>
      <c r="D39" s="17">
        <f t="shared" si="3"/>
        <v>10</v>
      </c>
      <c r="E39" s="10">
        <f t="shared" si="0"/>
        <v>10</v>
      </c>
      <c r="F39" s="11">
        <v>10</v>
      </c>
      <c r="G39" s="9">
        <v>497272</v>
      </c>
      <c r="H39" s="13">
        <v>40217.576388888891</v>
      </c>
      <c r="I39" s="14">
        <v>1.25</v>
      </c>
      <c r="J39" s="23">
        <f t="shared" si="1"/>
        <v>1.25</v>
      </c>
      <c r="K39" s="12">
        <v>40217</v>
      </c>
      <c r="L39" s="24">
        <v>7.6388888888888895E-2</v>
      </c>
      <c r="M39" t="s">
        <v>1013</v>
      </c>
      <c r="N39" s="15" t="str">
        <f t="shared" si="2"/>
        <v>1:50 PM</v>
      </c>
      <c r="O39" s="9" t="s">
        <v>9</v>
      </c>
      <c r="P39" s="20">
        <f t="shared" si="4"/>
        <v>12.5</v>
      </c>
    </row>
    <row r="40" spans="1:16" x14ac:dyDescent="0.25">
      <c r="A40" s="9">
        <v>16470</v>
      </c>
      <c r="B40" s="9">
        <v>21890</v>
      </c>
      <c r="C40" s="9" t="s">
        <v>65</v>
      </c>
      <c r="D40" s="17">
        <f t="shared" si="3"/>
        <v>2</v>
      </c>
      <c r="E40" s="10">
        <f t="shared" si="0"/>
        <v>2</v>
      </c>
      <c r="F40" s="11">
        <v>2</v>
      </c>
      <c r="G40" s="9">
        <v>518480</v>
      </c>
      <c r="H40" s="13">
        <v>40399.51458333333</v>
      </c>
      <c r="I40" s="14">
        <v>2.95</v>
      </c>
      <c r="J40" s="23">
        <f t="shared" si="1"/>
        <v>2.95</v>
      </c>
      <c r="K40" s="12">
        <v>40399</v>
      </c>
      <c r="L40" s="24">
        <v>0.51458333333333328</v>
      </c>
      <c r="M40" t="s">
        <v>1013</v>
      </c>
      <c r="N40" s="15" t="str">
        <f t="shared" si="2"/>
        <v>12:21 PM</v>
      </c>
      <c r="O40" s="9" t="s">
        <v>9</v>
      </c>
      <c r="P40" s="20">
        <f t="shared" si="4"/>
        <v>5.9</v>
      </c>
    </row>
    <row r="41" spans="1:16" x14ac:dyDescent="0.25">
      <c r="A41" s="9">
        <v>13488</v>
      </c>
      <c r="B41" s="9">
        <v>21900</v>
      </c>
      <c r="C41" s="9" t="s">
        <v>66</v>
      </c>
      <c r="D41" s="17">
        <f t="shared" si="3"/>
        <v>24</v>
      </c>
      <c r="E41" s="10">
        <f t="shared" si="0"/>
        <v>24</v>
      </c>
      <c r="F41" s="11">
        <v>24</v>
      </c>
      <c r="G41" s="9">
        <v>508593</v>
      </c>
      <c r="H41" s="13">
        <v>40315.504166666673</v>
      </c>
      <c r="I41" s="14">
        <v>0.65</v>
      </c>
      <c r="J41" s="23">
        <f t="shared" si="1"/>
        <v>0.65</v>
      </c>
      <c r="K41" s="12">
        <v>40315</v>
      </c>
      <c r="L41" s="24">
        <v>0.50416666666666665</v>
      </c>
      <c r="M41" t="s">
        <v>1013</v>
      </c>
      <c r="N41" s="15" t="str">
        <f t="shared" si="2"/>
        <v>12:06 PM</v>
      </c>
      <c r="O41" s="9" t="s">
        <v>9</v>
      </c>
      <c r="P41" s="20">
        <f t="shared" si="4"/>
        <v>15.600000000000001</v>
      </c>
    </row>
    <row r="42" spans="1:16" x14ac:dyDescent="0.25">
      <c r="A42" s="9">
        <v>15288</v>
      </c>
      <c r="B42" s="9">
        <v>20712</v>
      </c>
      <c r="C42" s="9" t="s">
        <v>67</v>
      </c>
      <c r="D42" s="17">
        <f t="shared" si="3"/>
        <v>10</v>
      </c>
      <c r="E42" s="10">
        <f t="shared" si="0"/>
        <v>10</v>
      </c>
      <c r="F42" s="11">
        <v>10</v>
      </c>
      <c r="G42" s="9">
        <v>505615</v>
      </c>
      <c r="H42" s="13">
        <v>40291.53402777778</v>
      </c>
      <c r="I42" s="14" t="s">
        <v>68</v>
      </c>
      <c r="J42" s="23">
        <f t="shared" si="1"/>
        <v>1.95</v>
      </c>
      <c r="K42" s="12">
        <v>40291</v>
      </c>
      <c r="L42" s="24">
        <v>0.53402777777777777</v>
      </c>
      <c r="M42" t="s">
        <v>1013</v>
      </c>
      <c r="N42" s="15" t="str">
        <f t="shared" si="2"/>
        <v>12:49 PM</v>
      </c>
      <c r="O42" s="9" t="s">
        <v>9</v>
      </c>
      <c r="P42" s="20">
        <f t="shared" si="4"/>
        <v>19.5</v>
      </c>
    </row>
    <row r="43" spans="1:16" x14ac:dyDescent="0.25">
      <c r="A43" s="9">
        <v>14606</v>
      </c>
      <c r="B43" s="9">
        <v>22551</v>
      </c>
      <c r="C43" s="9" t="s">
        <v>69</v>
      </c>
      <c r="D43" s="17">
        <f t="shared" si="3"/>
        <v>1</v>
      </c>
      <c r="E43" s="10">
        <f t="shared" si="0"/>
        <v>1</v>
      </c>
      <c r="F43" s="11">
        <v>1</v>
      </c>
      <c r="G43" s="9">
        <v>523314</v>
      </c>
      <c r="H43" s="13">
        <v>40442.558333333327</v>
      </c>
      <c r="I43" s="14">
        <v>1.65</v>
      </c>
      <c r="J43" s="23">
        <f t="shared" si="1"/>
        <v>1.65</v>
      </c>
      <c r="K43" s="12">
        <v>40442</v>
      </c>
      <c r="L43" s="24">
        <v>5.8333333333333334E-2</v>
      </c>
      <c r="M43" t="s">
        <v>1013</v>
      </c>
      <c r="N43" s="15" t="str">
        <f t="shared" si="2"/>
        <v>1:24 PM</v>
      </c>
      <c r="O43" s="9" t="s">
        <v>9</v>
      </c>
      <c r="P43" s="20">
        <f t="shared" si="4"/>
        <v>1.65</v>
      </c>
    </row>
    <row r="44" spans="1:16" x14ac:dyDescent="0.25">
      <c r="A44" s="9">
        <v>14606</v>
      </c>
      <c r="B44" s="9">
        <v>21563</v>
      </c>
      <c r="C44" s="9" t="s">
        <v>70</v>
      </c>
      <c r="D44" s="17">
        <f t="shared" si="3"/>
        <v>2</v>
      </c>
      <c r="E44" s="10">
        <f t="shared" si="0"/>
        <v>2</v>
      </c>
      <c r="F44" s="11">
        <v>2</v>
      </c>
      <c r="G44" s="9">
        <v>530538</v>
      </c>
      <c r="H44" s="13">
        <v>40485.538194444453</v>
      </c>
      <c r="I44" s="14">
        <v>2.95</v>
      </c>
      <c r="J44" s="23">
        <f t="shared" si="1"/>
        <v>2.95</v>
      </c>
      <c r="K44" s="12">
        <v>40485</v>
      </c>
      <c r="L44" s="24">
        <v>0.53819444444444442</v>
      </c>
      <c r="M44" t="s">
        <v>1013</v>
      </c>
      <c r="N44" s="15" t="str">
        <f t="shared" si="2"/>
        <v>12:55 PM</v>
      </c>
      <c r="O44" s="9" t="s">
        <v>9</v>
      </c>
      <c r="P44" s="20">
        <f t="shared" si="4"/>
        <v>5.9</v>
      </c>
    </row>
    <row r="45" spans="1:16" x14ac:dyDescent="0.25">
      <c r="A45" s="9">
        <v>15768</v>
      </c>
      <c r="B45" s="9">
        <v>84832</v>
      </c>
      <c r="C45" s="9" t="s">
        <v>71</v>
      </c>
      <c r="D45" s="17">
        <f t="shared" si="3"/>
        <v>14</v>
      </c>
      <c r="E45" s="10">
        <f t="shared" si="0"/>
        <v>14</v>
      </c>
      <c r="F45" s="11">
        <v>14</v>
      </c>
      <c r="G45" s="9">
        <v>493706</v>
      </c>
      <c r="H45" s="13">
        <v>40183.605555555558</v>
      </c>
      <c r="I45" s="14">
        <v>0.85</v>
      </c>
      <c r="J45" s="23">
        <f t="shared" si="1"/>
        <v>0.85</v>
      </c>
      <c r="K45" s="12">
        <v>40183</v>
      </c>
      <c r="L45" s="24">
        <v>0.10555555555555556</v>
      </c>
      <c r="M45" t="s">
        <v>1013</v>
      </c>
      <c r="N45" s="15" t="str">
        <f t="shared" si="2"/>
        <v>2:32 PM</v>
      </c>
      <c r="O45" s="9" t="s">
        <v>9</v>
      </c>
      <c r="P45" s="20">
        <f t="shared" si="4"/>
        <v>11.9</v>
      </c>
    </row>
    <row r="46" spans="1:16" x14ac:dyDescent="0.25">
      <c r="A46" s="9">
        <v>14841</v>
      </c>
      <c r="B46" s="9">
        <v>21847</v>
      </c>
      <c r="C46" s="9" t="s">
        <v>72</v>
      </c>
      <c r="D46" s="17">
        <f t="shared" si="3"/>
        <v>24</v>
      </c>
      <c r="E46" s="10">
        <f t="shared" si="0"/>
        <v>24</v>
      </c>
      <c r="F46" s="11">
        <v>24</v>
      </c>
      <c r="G46" s="9">
        <v>490823</v>
      </c>
      <c r="H46" s="13">
        <v>40155.523611111108</v>
      </c>
      <c r="I46" s="14">
        <v>1.25</v>
      </c>
      <c r="J46" s="23">
        <f t="shared" si="1"/>
        <v>1.25</v>
      </c>
      <c r="K46" s="12">
        <v>40155</v>
      </c>
      <c r="L46" s="24">
        <v>0.52361111111111114</v>
      </c>
      <c r="M46" t="s">
        <v>1013</v>
      </c>
      <c r="N46" s="15" t="str">
        <f t="shared" si="2"/>
        <v>12:34 PM</v>
      </c>
      <c r="O46" s="9" t="s">
        <v>9</v>
      </c>
      <c r="P46" s="20">
        <f t="shared" si="4"/>
        <v>30</v>
      </c>
    </row>
    <row r="47" spans="1:16" x14ac:dyDescent="0.25">
      <c r="A47" s="9">
        <v>15402</v>
      </c>
      <c r="B47" s="9">
        <v>21651</v>
      </c>
      <c r="C47" s="9" t="s">
        <v>73</v>
      </c>
      <c r="D47" s="17">
        <f t="shared" si="3"/>
        <v>6</v>
      </c>
      <c r="E47" s="10">
        <f t="shared" si="0"/>
        <v>6</v>
      </c>
      <c r="F47" s="11">
        <v>6</v>
      </c>
      <c r="G47" s="9">
        <v>506091</v>
      </c>
      <c r="H47" s="13">
        <v>40295.508333333331</v>
      </c>
      <c r="I47" s="14">
        <v>1.65</v>
      </c>
      <c r="J47" s="23">
        <f t="shared" si="1"/>
        <v>1.65</v>
      </c>
      <c r="K47" s="12">
        <v>40295</v>
      </c>
      <c r="L47" s="24">
        <v>0.5083333333333333</v>
      </c>
      <c r="M47" t="s">
        <v>1013</v>
      </c>
      <c r="N47" s="15" t="str">
        <f t="shared" si="2"/>
        <v>12:12 PM</v>
      </c>
      <c r="O47" s="9" t="s">
        <v>9</v>
      </c>
      <c r="P47" s="20">
        <f t="shared" si="4"/>
        <v>9.8999999999999986</v>
      </c>
    </row>
    <row r="48" spans="1:16" x14ac:dyDescent="0.25">
      <c r="A48" s="9">
        <v>16253</v>
      </c>
      <c r="B48" s="9">
        <v>22052</v>
      </c>
      <c r="C48" s="9" t="s">
        <v>74</v>
      </c>
      <c r="D48" s="17">
        <f t="shared" si="3"/>
        <v>25</v>
      </c>
      <c r="E48" s="10">
        <f t="shared" si="0"/>
        <v>25</v>
      </c>
      <c r="F48" s="11">
        <v>25</v>
      </c>
      <c r="G48" s="9">
        <v>494866</v>
      </c>
      <c r="H48" s="13">
        <v>40197.472222222219</v>
      </c>
      <c r="I48" s="14">
        <v>0.42</v>
      </c>
      <c r="J48" s="23">
        <f t="shared" si="1"/>
        <v>0.42</v>
      </c>
      <c r="K48" s="12">
        <v>40197</v>
      </c>
      <c r="L48" s="24">
        <v>0.47222222222222221</v>
      </c>
      <c r="M48" t="s">
        <v>1014</v>
      </c>
      <c r="N48" s="15" t="str">
        <f t="shared" si="2"/>
        <v>11:20 AM</v>
      </c>
      <c r="O48" s="9" t="s">
        <v>9</v>
      </c>
      <c r="P48" s="20">
        <f t="shared" si="4"/>
        <v>10.5</v>
      </c>
    </row>
    <row r="49" spans="1:16" x14ac:dyDescent="0.25">
      <c r="A49" s="9">
        <v>17028</v>
      </c>
      <c r="B49" s="9">
        <v>84978</v>
      </c>
      <c r="C49" s="9" t="s">
        <v>75</v>
      </c>
      <c r="D49" s="17">
        <f t="shared" si="3"/>
        <v>12</v>
      </c>
      <c r="E49" s="10">
        <f t="shared" si="0"/>
        <v>12</v>
      </c>
      <c r="F49" s="11">
        <v>12</v>
      </c>
      <c r="G49" s="9">
        <v>498923</v>
      </c>
      <c r="H49" s="13">
        <v>40233.409722222219</v>
      </c>
      <c r="I49" s="14">
        <v>1.25</v>
      </c>
      <c r="J49" s="23">
        <f t="shared" si="1"/>
        <v>1.25</v>
      </c>
      <c r="K49" s="12">
        <v>40233</v>
      </c>
      <c r="L49" s="24">
        <v>0.40972222222222221</v>
      </c>
      <c r="M49" t="s">
        <v>1014</v>
      </c>
      <c r="N49" s="15" t="str">
        <f t="shared" si="2"/>
        <v>9:50 AM</v>
      </c>
      <c r="O49" s="9" t="s">
        <v>9</v>
      </c>
      <c r="P49" s="20">
        <f t="shared" si="4"/>
        <v>15</v>
      </c>
    </row>
    <row r="50" spans="1:16" x14ac:dyDescent="0.25">
      <c r="A50" s="9">
        <v>17261</v>
      </c>
      <c r="B50" s="9">
        <v>21069</v>
      </c>
      <c r="C50" s="9" t="s">
        <v>978</v>
      </c>
      <c r="D50" s="17">
        <f t="shared" si="3"/>
        <v>1</v>
      </c>
      <c r="E50" s="10">
        <f t="shared" si="0"/>
        <v>1</v>
      </c>
      <c r="F50" s="11">
        <v>1</v>
      </c>
      <c r="G50" s="9">
        <v>516157</v>
      </c>
      <c r="H50" s="13">
        <v>40377.492361111108</v>
      </c>
      <c r="I50" s="14">
        <v>1.25</v>
      </c>
      <c r="J50" s="23">
        <f t="shared" si="1"/>
        <v>1.25</v>
      </c>
      <c r="K50" s="12">
        <v>40377</v>
      </c>
      <c r="L50" s="24">
        <v>0.49236111111111114</v>
      </c>
      <c r="M50" t="s">
        <v>1014</v>
      </c>
      <c r="N50" s="15" t="str">
        <f t="shared" si="2"/>
        <v>11:49 AM</v>
      </c>
      <c r="O50" s="9" t="s">
        <v>9</v>
      </c>
      <c r="P50" s="20">
        <f t="shared" si="4"/>
        <v>1.25</v>
      </c>
    </row>
    <row r="51" spans="1:16" x14ac:dyDescent="0.25">
      <c r="A51" s="9">
        <v>17841</v>
      </c>
      <c r="B51" s="9">
        <v>22511</v>
      </c>
      <c r="C51" s="9" t="s">
        <v>76</v>
      </c>
      <c r="D51" s="17">
        <f t="shared" si="3"/>
        <v>1</v>
      </c>
      <c r="E51" s="10">
        <f t="shared" si="0"/>
        <v>1</v>
      </c>
      <c r="F51" s="11">
        <v>1</v>
      </c>
      <c r="G51" s="9">
        <v>509100</v>
      </c>
      <c r="H51" s="13">
        <v>40318.492361111108</v>
      </c>
      <c r="I51" s="14">
        <v>3.75</v>
      </c>
      <c r="J51" s="23">
        <f t="shared" si="1"/>
        <v>3.75</v>
      </c>
      <c r="K51" s="12">
        <v>40318</v>
      </c>
      <c r="L51" s="24">
        <v>0.49236111111111114</v>
      </c>
      <c r="M51" t="s">
        <v>1014</v>
      </c>
      <c r="N51" s="15" t="str">
        <f t="shared" si="2"/>
        <v>11:49 AM</v>
      </c>
      <c r="O51" s="9" t="s">
        <v>9</v>
      </c>
      <c r="P51" s="20">
        <f t="shared" si="4"/>
        <v>3.75</v>
      </c>
    </row>
    <row r="52" spans="1:16" x14ac:dyDescent="0.25">
      <c r="A52" s="9">
        <v>18231</v>
      </c>
      <c r="B52" s="9">
        <v>20914</v>
      </c>
      <c r="C52" s="9" t="s">
        <v>78</v>
      </c>
      <c r="D52" s="17">
        <f t="shared" si="3"/>
        <v>1</v>
      </c>
      <c r="E52" s="10">
        <f t="shared" si="0"/>
        <v>-1</v>
      </c>
      <c r="F52" s="11">
        <v>-1</v>
      </c>
      <c r="G52" s="9" t="s">
        <v>77</v>
      </c>
      <c r="H52" s="13">
        <v>40338.443749999999</v>
      </c>
      <c r="I52" s="14">
        <v>2.95</v>
      </c>
      <c r="J52" s="23">
        <f t="shared" si="1"/>
        <v>2.95</v>
      </c>
      <c r="K52" s="12">
        <v>40338</v>
      </c>
      <c r="L52" s="24">
        <v>0.44374999999999998</v>
      </c>
      <c r="M52" t="s">
        <v>1014</v>
      </c>
      <c r="N52" s="15" t="str">
        <f t="shared" si="2"/>
        <v>10:39 AM</v>
      </c>
      <c r="O52" s="9" t="s">
        <v>9</v>
      </c>
      <c r="P52" s="20">
        <f t="shared" si="4"/>
        <v>2.95</v>
      </c>
    </row>
    <row r="53" spans="1:16" x14ac:dyDescent="0.25">
      <c r="A53" s="9">
        <v>16859</v>
      </c>
      <c r="B53" s="9">
        <v>22752</v>
      </c>
      <c r="C53" s="9" t="s">
        <v>79</v>
      </c>
      <c r="D53" s="17">
        <f t="shared" si="3"/>
        <v>4</v>
      </c>
      <c r="E53" s="10">
        <f t="shared" si="0"/>
        <v>4</v>
      </c>
      <c r="F53" s="11">
        <v>4</v>
      </c>
      <c r="G53" s="9">
        <v>524746</v>
      </c>
      <c r="H53" s="13">
        <v>40451.611805555563</v>
      </c>
      <c r="I53" s="14">
        <v>8.5</v>
      </c>
      <c r="J53" s="23">
        <f t="shared" si="1"/>
        <v>8.5</v>
      </c>
      <c r="K53" s="12">
        <v>40451</v>
      </c>
      <c r="L53" s="24">
        <v>0.11180555555555556</v>
      </c>
      <c r="M53" t="s">
        <v>1013</v>
      </c>
      <c r="N53" s="15" t="str">
        <f t="shared" si="2"/>
        <v>2:41 PM</v>
      </c>
      <c r="O53" s="9" t="s">
        <v>9</v>
      </c>
      <c r="P53" s="20">
        <f t="shared" si="4"/>
        <v>34</v>
      </c>
    </row>
    <row r="54" spans="1:16" x14ac:dyDescent="0.25">
      <c r="A54" s="9">
        <v>13875</v>
      </c>
      <c r="B54" s="9">
        <v>22236</v>
      </c>
      <c r="C54" s="9" t="s">
        <v>80</v>
      </c>
      <c r="D54" s="17">
        <f t="shared" si="3"/>
        <v>2</v>
      </c>
      <c r="E54" s="10">
        <f t="shared" si="0"/>
        <v>2</v>
      </c>
      <c r="F54" s="11">
        <v>2</v>
      </c>
      <c r="G54" s="9">
        <v>496821</v>
      </c>
      <c r="H54" s="13">
        <v>40213.442361111112</v>
      </c>
      <c r="I54" s="14">
        <v>12.75</v>
      </c>
      <c r="J54" s="23">
        <f t="shared" si="1"/>
        <v>12.75</v>
      </c>
      <c r="K54" s="12">
        <v>40213</v>
      </c>
      <c r="L54" s="24">
        <v>0.44236111111111109</v>
      </c>
      <c r="M54" t="s">
        <v>1014</v>
      </c>
      <c r="N54" s="15" t="str">
        <f t="shared" si="2"/>
        <v>10:37 AM</v>
      </c>
      <c r="O54" s="9" t="s">
        <v>9</v>
      </c>
      <c r="P54" s="20">
        <f t="shared" si="4"/>
        <v>25.5</v>
      </c>
    </row>
    <row r="55" spans="1:16" x14ac:dyDescent="0.25">
      <c r="A55" s="9">
        <v>12380</v>
      </c>
      <c r="B55" s="9">
        <v>22380</v>
      </c>
      <c r="C55" s="9" t="s">
        <v>81</v>
      </c>
      <c r="D55" s="17">
        <f t="shared" si="3"/>
        <v>20</v>
      </c>
      <c r="E55" s="10">
        <f t="shared" si="0"/>
        <v>20</v>
      </c>
      <c r="F55" s="11">
        <v>20</v>
      </c>
      <c r="G55" s="9">
        <v>513964</v>
      </c>
      <c r="H55" s="13">
        <v>40358.636805555558</v>
      </c>
      <c r="I55" s="14">
        <v>2.1</v>
      </c>
      <c r="J55" s="23">
        <f t="shared" si="1"/>
        <v>2.1</v>
      </c>
      <c r="K55" s="12">
        <v>40358</v>
      </c>
      <c r="L55" s="24">
        <v>0.13680555555555557</v>
      </c>
      <c r="M55" t="s">
        <v>1013</v>
      </c>
      <c r="N55" s="15" t="str">
        <f t="shared" si="2"/>
        <v>3:17 PM</v>
      </c>
      <c r="O55" s="9" t="s">
        <v>82</v>
      </c>
      <c r="P55" s="20">
        <f t="shared" si="4"/>
        <v>42</v>
      </c>
    </row>
    <row r="56" spans="1:16" x14ac:dyDescent="0.25">
      <c r="A56" s="9">
        <v>14343</v>
      </c>
      <c r="B56" s="9">
        <v>84578</v>
      </c>
      <c r="C56" s="9" t="s">
        <v>83</v>
      </c>
      <c r="D56" s="17">
        <f t="shared" si="3"/>
        <v>1</v>
      </c>
      <c r="E56" s="10">
        <f t="shared" si="0"/>
        <v>1</v>
      </c>
      <c r="F56" s="11">
        <v>1</v>
      </c>
      <c r="G56" s="9">
        <v>501291</v>
      </c>
      <c r="H56" s="13">
        <v>40252.647916666669</v>
      </c>
      <c r="I56" s="14">
        <v>3.75</v>
      </c>
      <c r="J56" s="23">
        <f t="shared" si="1"/>
        <v>3.75</v>
      </c>
      <c r="K56" s="12">
        <v>40252</v>
      </c>
      <c r="L56" s="24">
        <v>0.14791666666666667</v>
      </c>
      <c r="M56" t="s">
        <v>1013</v>
      </c>
      <c r="N56" s="15" t="str">
        <f t="shared" si="2"/>
        <v>3:33 PM</v>
      </c>
      <c r="O56" s="9" t="s">
        <v>9</v>
      </c>
      <c r="P56" s="20">
        <f t="shared" si="4"/>
        <v>3.75</v>
      </c>
    </row>
    <row r="57" spans="1:16" x14ac:dyDescent="0.25">
      <c r="A57" s="9" t="s">
        <v>85</v>
      </c>
      <c r="B57" s="9">
        <v>71477</v>
      </c>
      <c r="C57" s="9" t="s">
        <v>84</v>
      </c>
      <c r="D57" s="17">
        <f t="shared" si="3"/>
        <v>5</v>
      </c>
      <c r="E57" s="10">
        <f t="shared" si="0"/>
        <v>5</v>
      </c>
      <c r="F57" s="11">
        <v>5</v>
      </c>
      <c r="G57" s="9">
        <v>525944</v>
      </c>
      <c r="H57" s="13">
        <v>40458.737500000003</v>
      </c>
      <c r="I57" s="14">
        <v>3.25</v>
      </c>
      <c r="J57" s="23">
        <f t="shared" si="1"/>
        <v>3.25</v>
      </c>
      <c r="K57" s="12">
        <v>40458</v>
      </c>
      <c r="L57" s="24">
        <v>0.23749999999999999</v>
      </c>
      <c r="M57" t="s">
        <v>1013</v>
      </c>
      <c r="N57" s="15" t="str">
        <f t="shared" si="2"/>
        <v>5:42 PM</v>
      </c>
      <c r="O57" s="9" t="s">
        <v>9</v>
      </c>
      <c r="P57" s="20">
        <f t="shared" si="4"/>
        <v>16.25</v>
      </c>
    </row>
    <row r="58" spans="1:16" x14ac:dyDescent="0.25">
      <c r="A58" s="9">
        <v>16948</v>
      </c>
      <c r="B58" s="9">
        <v>21892</v>
      </c>
      <c r="C58" s="9" t="s">
        <v>86</v>
      </c>
      <c r="D58" s="17">
        <f t="shared" si="3"/>
        <v>12</v>
      </c>
      <c r="E58" s="10">
        <f t="shared" si="0"/>
        <v>12</v>
      </c>
      <c r="F58" s="11">
        <v>12</v>
      </c>
      <c r="G58" s="9">
        <v>498577</v>
      </c>
      <c r="H58" s="13">
        <v>40230.574999999997</v>
      </c>
      <c r="I58" s="14">
        <v>1.25</v>
      </c>
      <c r="J58" s="23">
        <f t="shared" si="1"/>
        <v>1.25</v>
      </c>
      <c r="K58" s="12">
        <v>40230</v>
      </c>
      <c r="L58" s="24">
        <v>7.4999999999999997E-2</v>
      </c>
      <c r="M58" t="s">
        <v>1013</v>
      </c>
      <c r="N58" s="15" t="str">
        <f t="shared" si="2"/>
        <v>1:48 PM</v>
      </c>
      <c r="O58" s="9" t="s">
        <v>9</v>
      </c>
      <c r="P58" s="20">
        <f t="shared" si="4"/>
        <v>15</v>
      </c>
    </row>
    <row r="59" spans="1:16" x14ac:dyDescent="0.25">
      <c r="A59" s="9">
        <v>14680</v>
      </c>
      <c r="B59" s="9">
        <v>21156</v>
      </c>
      <c r="C59" s="9" t="s">
        <v>88</v>
      </c>
      <c r="D59" s="17">
        <f t="shared" si="3"/>
        <v>2</v>
      </c>
      <c r="E59" s="10">
        <f t="shared" si="0"/>
        <v>2</v>
      </c>
      <c r="F59" s="11">
        <v>2</v>
      </c>
      <c r="G59" s="9">
        <v>497958</v>
      </c>
      <c r="H59" s="13">
        <v>40224.555555555547</v>
      </c>
      <c r="I59" s="14">
        <v>1.95</v>
      </c>
      <c r="J59" s="23">
        <f t="shared" si="1"/>
        <v>1.95</v>
      </c>
      <c r="K59" s="12">
        <v>40224</v>
      </c>
      <c r="L59" s="24">
        <v>5.5555555555555552E-2</v>
      </c>
      <c r="M59" t="s">
        <v>1013</v>
      </c>
      <c r="N59" s="15" t="str">
        <f t="shared" si="2"/>
        <v>1:20 PM</v>
      </c>
      <c r="O59" s="9" t="s">
        <v>9</v>
      </c>
      <c r="P59" s="20">
        <f t="shared" si="4"/>
        <v>3.9</v>
      </c>
    </row>
    <row r="60" spans="1:16" x14ac:dyDescent="0.25">
      <c r="A60" s="9">
        <v>17838</v>
      </c>
      <c r="B60" s="9">
        <v>21622</v>
      </c>
      <c r="C60" s="9" t="s">
        <v>89</v>
      </c>
      <c r="D60" s="17">
        <f t="shared" si="3"/>
        <v>8</v>
      </c>
      <c r="E60" s="10">
        <f t="shared" si="0"/>
        <v>8</v>
      </c>
      <c r="F60" s="11">
        <v>8</v>
      </c>
      <c r="G60" s="9">
        <v>504152</v>
      </c>
      <c r="H60" s="13">
        <v>40279.575694444437</v>
      </c>
      <c r="I60" s="14" t="s">
        <v>90</v>
      </c>
      <c r="J60" s="23">
        <f t="shared" si="1"/>
        <v>4.95</v>
      </c>
      <c r="K60" s="12">
        <v>40279</v>
      </c>
      <c r="L60" s="24">
        <v>7.5694444444444439E-2</v>
      </c>
      <c r="M60" t="s">
        <v>1013</v>
      </c>
      <c r="N60" s="15" t="str">
        <f t="shared" si="2"/>
        <v>1:49 PM</v>
      </c>
      <c r="O60" s="9" t="s">
        <v>9</v>
      </c>
      <c r="P60" s="20">
        <f t="shared" si="4"/>
        <v>39.6</v>
      </c>
    </row>
    <row r="61" spans="1:16" x14ac:dyDescent="0.25">
      <c r="A61" s="9">
        <v>13243</v>
      </c>
      <c r="B61" s="9">
        <v>22328</v>
      </c>
      <c r="C61" s="9" t="s">
        <v>91</v>
      </c>
      <c r="D61" s="17">
        <f t="shared" si="3"/>
        <v>1</v>
      </c>
      <c r="E61" s="10">
        <f t="shared" si="0"/>
        <v>1</v>
      </c>
      <c r="F61" s="11">
        <v>1</v>
      </c>
      <c r="G61" s="9">
        <v>501657</v>
      </c>
      <c r="H61" s="13">
        <v>40255.548611111109</v>
      </c>
      <c r="I61" s="14">
        <v>2.95</v>
      </c>
      <c r="J61" s="23">
        <f t="shared" si="1"/>
        <v>2.95</v>
      </c>
      <c r="K61" s="12">
        <v>40255</v>
      </c>
      <c r="L61" s="24">
        <v>4.8611111111111112E-2</v>
      </c>
      <c r="M61" t="s">
        <v>1013</v>
      </c>
      <c r="N61" s="15" t="str">
        <f t="shared" si="2"/>
        <v>1:10 PM</v>
      </c>
      <c r="O61" s="9" t="s">
        <v>9</v>
      </c>
      <c r="P61" s="20">
        <f t="shared" si="4"/>
        <v>2.95</v>
      </c>
    </row>
    <row r="62" spans="1:16" x14ac:dyDescent="0.25">
      <c r="A62" s="9">
        <v>14961</v>
      </c>
      <c r="B62" s="9">
        <v>20862</v>
      </c>
      <c r="C62" s="9" t="s">
        <v>92</v>
      </c>
      <c r="D62" s="17">
        <f t="shared" si="3"/>
        <v>6</v>
      </c>
      <c r="E62" s="10">
        <f t="shared" si="0"/>
        <v>6</v>
      </c>
      <c r="F62" s="11">
        <v>6</v>
      </c>
      <c r="G62" s="9">
        <v>491816</v>
      </c>
      <c r="H62" s="13">
        <v>40161.566666666673</v>
      </c>
      <c r="I62" s="14">
        <v>2.1</v>
      </c>
      <c r="J62" s="23">
        <f t="shared" si="1"/>
        <v>2.1</v>
      </c>
      <c r="K62" s="12">
        <v>40161</v>
      </c>
      <c r="L62" s="24">
        <v>6.6666666666666666E-2</v>
      </c>
      <c r="M62" t="s">
        <v>1013</v>
      </c>
      <c r="N62" s="15" t="str">
        <f t="shared" si="2"/>
        <v>1:36 PM</v>
      </c>
      <c r="O62" s="9" t="s">
        <v>9</v>
      </c>
      <c r="P62" s="20">
        <f t="shared" si="4"/>
        <v>12.600000000000001</v>
      </c>
    </row>
    <row r="63" spans="1:16" x14ac:dyDescent="0.25">
      <c r="A63" s="9">
        <v>16556</v>
      </c>
      <c r="B63" s="9">
        <v>22024</v>
      </c>
      <c r="C63" s="9" t="s">
        <v>93</v>
      </c>
      <c r="D63" s="17">
        <f t="shared" si="3"/>
        <v>24</v>
      </c>
      <c r="E63" s="10">
        <f t="shared" si="0"/>
        <v>24</v>
      </c>
      <c r="F63" s="11">
        <v>24</v>
      </c>
      <c r="G63" s="9">
        <v>493960</v>
      </c>
      <c r="H63" s="13">
        <v>40186.625694444447</v>
      </c>
      <c r="I63" s="14" t="s">
        <v>94</v>
      </c>
      <c r="J63" s="23">
        <f t="shared" si="1"/>
        <v>0.42</v>
      </c>
      <c r="K63" s="12">
        <v>40186</v>
      </c>
      <c r="L63" s="24">
        <v>0.12569444444444444</v>
      </c>
      <c r="M63" t="s">
        <v>1013</v>
      </c>
      <c r="N63" s="15" t="str">
        <f t="shared" si="2"/>
        <v>3:01 PM</v>
      </c>
      <c r="O63" s="9" t="s">
        <v>9</v>
      </c>
      <c r="P63" s="20">
        <f t="shared" si="4"/>
        <v>10.08</v>
      </c>
    </row>
    <row r="64" spans="1:16" x14ac:dyDescent="0.25">
      <c r="A64" s="9">
        <v>14527</v>
      </c>
      <c r="B64" s="9">
        <v>22745</v>
      </c>
      <c r="C64" s="9" t="s">
        <v>95</v>
      </c>
      <c r="D64" s="17">
        <f t="shared" si="3"/>
        <v>1</v>
      </c>
      <c r="E64" s="10">
        <f t="shared" si="0"/>
        <v>1</v>
      </c>
      <c r="F64" s="11">
        <v>1</v>
      </c>
      <c r="G64" s="9">
        <v>531746</v>
      </c>
      <c r="H64" s="13">
        <v>40491.541666666657</v>
      </c>
      <c r="I64" s="14">
        <v>2.1</v>
      </c>
      <c r="J64" s="23">
        <f t="shared" si="1"/>
        <v>2.1</v>
      </c>
      <c r="K64" s="12">
        <v>40491</v>
      </c>
      <c r="L64" s="24">
        <v>4.1666666666666664E-2</v>
      </c>
      <c r="M64" t="s">
        <v>1013</v>
      </c>
      <c r="N64" s="15" t="str">
        <f t="shared" si="2"/>
        <v>1:00 PM</v>
      </c>
      <c r="O64" s="9" t="s">
        <v>9</v>
      </c>
      <c r="P64" s="20">
        <f t="shared" si="4"/>
        <v>2.1</v>
      </c>
    </row>
    <row r="65" spans="1:16" x14ac:dyDescent="0.25">
      <c r="A65" s="9">
        <v>16954</v>
      </c>
      <c r="B65" s="9">
        <v>21731</v>
      </c>
      <c r="C65" s="9" t="s">
        <v>96</v>
      </c>
      <c r="D65" s="17">
        <f t="shared" si="3"/>
        <v>24</v>
      </c>
      <c r="E65" s="10">
        <f t="shared" si="0"/>
        <v>24</v>
      </c>
      <c r="F65" s="11">
        <v>24</v>
      </c>
      <c r="G65" s="9">
        <v>512093</v>
      </c>
      <c r="H65" s="13">
        <v>40342.54583333333</v>
      </c>
      <c r="I65" s="14">
        <v>1.65</v>
      </c>
      <c r="J65" s="23">
        <f t="shared" si="1"/>
        <v>1.65</v>
      </c>
      <c r="K65" s="12">
        <v>40342</v>
      </c>
      <c r="L65" s="24">
        <v>4.583333333333333E-2</v>
      </c>
      <c r="M65" t="s">
        <v>1013</v>
      </c>
      <c r="N65" s="15" t="str">
        <f t="shared" si="2"/>
        <v>1:06 PM</v>
      </c>
      <c r="O65" s="9" t="s">
        <v>9</v>
      </c>
      <c r="P65" s="20">
        <f t="shared" si="4"/>
        <v>39.599999999999994</v>
      </c>
    </row>
    <row r="66" spans="1:16" x14ac:dyDescent="0.25">
      <c r="A66" s="9">
        <v>15259</v>
      </c>
      <c r="B66" s="9">
        <v>22355</v>
      </c>
      <c r="C66" s="9" t="s">
        <v>97</v>
      </c>
      <c r="D66" s="17">
        <f t="shared" si="3"/>
        <v>10</v>
      </c>
      <c r="E66" s="10">
        <f t="shared" ref="E66:E129" si="5">VALUE(F66)</f>
        <v>10</v>
      </c>
      <c r="F66" s="11">
        <v>10</v>
      </c>
      <c r="G66" s="9">
        <v>495576</v>
      </c>
      <c r="H66" s="13">
        <v>40204.40347222222</v>
      </c>
      <c r="I66" s="14">
        <v>0.85</v>
      </c>
      <c r="J66" s="23">
        <f t="shared" ref="J66:J129" si="6">VALUE(I66)</f>
        <v>0.85</v>
      </c>
      <c r="K66" s="12">
        <v>40204</v>
      </c>
      <c r="L66" s="24">
        <v>0.40347222222222223</v>
      </c>
      <c r="M66" t="s">
        <v>1014</v>
      </c>
      <c r="N66" s="15" t="str">
        <f t="shared" ref="N66:N129" si="7">TEXT(L66,"h:mm")&amp;" "&amp;M66</f>
        <v>9:41 AM</v>
      </c>
      <c r="O66" s="9" t="s">
        <v>9</v>
      </c>
      <c r="P66" s="20">
        <f t="shared" si="4"/>
        <v>8.5</v>
      </c>
    </row>
    <row r="67" spans="1:16" x14ac:dyDescent="0.25">
      <c r="A67" s="9">
        <v>13824</v>
      </c>
      <c r="B67" s="9">
        <v>21431</v>
      </c>
      <c r="C67" s="9" t="s">
        <v>98</v>
      </c>
      <c r="D67" s="17">
        <f t="shared" ref="D67:D130" si="8">ABS(E67)</f>
        <v>8</v>
      </c>
      <c r="E67" s="10">
        <f t="shared" si="5"/>
        <v>8</v>
      </c>
      <c r="F67" s="11">
        <v>8</v>
      </c>
      <c r="G67" s="9">
        <v>506383</v>
      </c>
      <c r="H67" s="13">
        <v>40297.520833333343</v>
      </c>
      <c r="I67" s="14">
        <v>1.65</v>
      </c>
      <c r="J67" s="23">
        <f t="shared" si="6"/>
        <v>1.65</v>
      </c>
      <c r="K67" s="12">
        <v>40297</v>
      </c>
      <c r="L67" s="24">
        <v>0.52083333333333337</v>
      </c>
      <c r="M67" t="s">
        <v>1013</v>
      </c>
      <c r="N67" s="15" t="str">
        <f t="shared" si="7"/>
        <v>12:30 PM</v>
      </c>
      <c r="O67" s="9" t="s">
        <v>9</v>
      </c>
      <c r="P67" s="20">
        <f t="shared" ref="P67:P130" si="9">PRODUCT(D67,(J67))</f>
        <v>13.2</v>
      </c>
    </row>
    <row r="68" spans="1:16" x14ac:dyDescent="0.25">
      <c r="A68" s="9">
        <v>17055</v>
      </c>
      <c r="B68" s="9">
        <v>48138</v>
      </c>
      <c r="C68" s="9" t="s">
        <v>99</v>
      </c>
      <c r="D68" s="17">
        <f t="shared" si="8"/>
        <v>3</v>
      </c>
      <c r="E68" s="10">
        <f t="shared" si="5"/>
        <v>3</v>
      </c>
      <c r="F68" s="11">
        <v>3</v>
      </c>
      <c r="G68" s="9">
        <v>523097</v>
      </c>
      <c r="H68" s="13">
        <v>40441.51458333333</v>
      </c>
      <c r="I68" s="14">
        <v>7.95</v>
      </c>
      <c r="J68" s="23">
        <f t="shared" si="6"/>
        <v>7.95</v>
      </c>
      <c r="K68" s="12">
        <v>40441</v>
      </c>
      <c r="L68" s="24">
        <v>0.51458333333333328</v>
      </c>
      <c r="M68" t="s">
        <v>1013</v>
      </c>
      <c r="N68" s="15" t="str">
        <f t="shared" si="7"/>
        <v>12:21 PM</v>
      </c>
      <c r="O68" s="9" t="s">
        <v>9</v>
      </c>
      <c r="P68" s="20">
        <f t="shared" si="9"/>
        <v>23.85</v>
      </c>
    </row>
    <row r="69" spans="1:16" x14ac:dyDescent="0.25">
      <c r="A69" s="9" t="s">
        <v>100</v>
      </c>
      <c r="B69" s="9">
        <v>22745</v>
      </c>
      <c r="C69" s="9" t="s">
        <v>95</v>
      </c>
      <c r="D69" s="17">
        <f t="shared" si="8"/>
        <v>1</v>
      </c>
      <c r="E69" s="10">
        <f t="shared" si="5"/>
        <v>1</v>
      </c>
      <c r="F69" s="11">
        <v>1</v>
      </c>
      <c r="G69" s="9">
        <v>534221</v>
      </c>
      <c r="H69" s="13">
        <v>40503.677083333343</v>
      </c>
      <c r="I69" s="14">
        <v>2.1</v>
      </c>
      <c r="J69" s="23">
        <f t="shared" si="6"/>
        <v>2.1</v>
      </c>
      <c r="K69" s="12">
        <v>40503</v>
      </c>
      <c r="L69" s="24">
        <v>0.17708333333333334</v>
      </c>
      <c r="M69" t="s">
        <v>1013</v>
      </c>
      <c r="N69" s="15" t="str">
        <f t="shared" si="7"/>
        <v>4:15 PM</v>
      </c>
      <c r="O69" s="9" t="s">
        <v>9</v>
      </c>
      <c r="P69" s="20">
        <f t="shared" si="9"/>
        <v>2.1</v>
      </c>
    </row>
    <row r="70" spans="1:16" x14ac:dyDescent="0.25">
      <c r="A70" s="9">
        <v>14081</v>
      </c>
      <c r="B70" s="9">
        <v>22118</v>
      </c>
      <c r="C70" s="9" t="s">
        <v>101</v>
      </c>
      <c r="D70" s="17">
        <f t="shared" si="8"/>
        <v>1</v>
      </c>
      <c r="E70" s="10">
        <f t="shared" si="5"/>
        <v>1</v>
      </c>
      <c r="F70" s="11">
        <v>1</v>
      </c>
      <c r="G70" s="9">
        <v>529763</v>
      </c>
      <c r="H70" s="13">
        <v>40480.625</v>
      </c>
      <c r="I70" s="14">
        <v>4.95</v>
      </c>
      <c r="J70" s="23">
        <f t="shared" si="6"/>
        <v>4.95</v>
      </c>
      <c r="K70" s="12">
        <v>40480</v>
      </c>
      <c r="L70" s="24">
        <v>0.125</v>
      </c>
      <c r="M70" t="s">
        <v>1013</v>
      </c>
      <c r="N70" s="15" t="str">
        <f t="shared" si="7"/>
        <v>3:00 PM</v>
      </c>
      <c r="O70" s="9" t="s">
        <v>9</v>
      </c>
      <c r="P70" s="20">
        <f t="shared" si="9"/>
        <v>4.95</v>
      </c>
    </row>
    <row r="71" spans="1:16" x14ac:dyDescent="0.25">
      <c r="A71" s="9">
        <v>14156</v>
      </c>
      <c r="B71" s="9">
        <v>22665</v>
      </c>
      <c r="C71" s="9" t="s">
        <v>102</v>
      </c>
      <c r="D71" s="17">
        <f t="shared" si="8"/>
        <v>6</v>
      </c>
      <c r="E71" s="10">
        <f t="shared" si="5"/>
        <v>6</v>
      </c>
      <c r="F71" s="11">
        <v>6</v>
      </c>
      <c r="G71" s="9">
        <v>528417</v>
      </c>
      <c r="H71" s="13">
        <v>40473.4</v>
      </c>
      <c r="I71" s="14">
        <v>2.95</v>
      </c>
      <c r="J71" s="23">
        <f t="shared" si="6"/>
        <v>2.95</v>
      </c>
      <c r="K71" s="12">
        <v>40473</v>
      </c>
      <c r="L71" s="24">
        <v>0.4</v>
      </c>
      <c r="M71" t="s">
        <v>1014</v>
      </c>
      <c r="N71" s="15" t="str">
        <f t="shared" si="7"/>
        <v>9:36 AM</v>
      </c>
      <c r="O71" s="9" t="s">
        <v>11</v>
      </c>
      <c r="P71" s="20">
        <f t="shared" si="9"/>
        <v>17.700000000000003</v>
      </c>
    </row>
    <row r="72" spans="1:16" x14ac:dyDescent="0.25">
      <c r="A72" s="9">
        <v>15674</v>
      </c>
      <c r="B72" s="9">
        <v>22605</v>
      </c>
      <c r="C72" s="9" t="s">
        <v>103</v>
      </c>
      <c r="D72" s="17">
        <f t="shared" si="8"/>
        <v>3</v>
      </c>
      <c r="E72" s="10">
        <f t="shared" si="5"/>
        <v>3</v>
      </c>
      <c r="F72" s="11">
        <v>3</v>
      </c>
      <c r="G72" s="9">
        <v>510232</v>
      </c>
      <c r="H72" s="13">
        <v>40326.402777777781</v>
      </c>
      <c r="I72" s="14">
        <v>12.75</v>
      </c>
      <c r="J72" s="23">
        <f t="shared" si="6"/>
        <v>12.75</v>
      </c>
      <c r="K72" s="12">
        <v>40326</v>
      </c>
      <c r="L72" s="24">
        <v>0.40277777777777779</v>
      </c>
      <c r="M72" t="s">
        <v>1014</v>
      </c>
      <c r="N72" s="15" t="str">
        <f t="shared" si="7"/>
        <v>9:40 AM</v>
      </c>
      <c r="O72" s="9" t="s">
        <v>9</v>
      </c>
      <c r="P72" s="20">
        <f t="shared" si="9"/>
        <v>38.25</v>
      </c>
    </row>
    <row r="73" spans="1:16" x14ac:dyDescent="0.25">
      <c r="A73" s="9">
        <v>12725</v>
      </c>
      <c r="B73" s="9" t="s">
        <v>104</v>
      </c>
      <c r="C73" s="9" t="s">
        <v>105</v>
      </c>
      <c r="D73" s="17">
        <f t="shared" si="8"/>
        <v>4</v>
      </c>
      <c r="E73" s="10">
        <f t="shared" si="5"/>
        <v>4</v>
      </c>
      <c r="F73" s="11">
        <v>4</v>
      </c>
      <c r="G73" s="9">
        <v>528176</v>
      </c>
      <c r="H73" s="13">
        <v>40472.436111111107</v>
      </c>
      <c r="I73" s="14">
        <v>4.25</v>
      </c>
      <c r="J73" s="23">
        <f t="shared" si="6"/>
        <v>4.25</v>
      </c>
      <c r="K73" s="12">
        <v>40472</v>
      </c>
      <c r="L73" s="24">
        <v>0.43611111111111112</v>
      </c>
      <c r="M73" t="s">
        <v>1014</v>
      </c>
      <c r="N73" s="15" t="str">
        <f t="shared" si="7"/>
        <v>10:28 AM</v>
      </c>
      <c r="O73" s="9" t="s">
        <v>106</v>
      </c>
      <c r="P73" s="20">
        <f t="shared" si="9"/>
        <v>17</v>
      </c>
    </row>
    <row r="74" spans="1:16" x14ac:dyDescent="0.25">
      <c r="A74" s="9">
        <v>13898</v>
      </c>
      <c r="B74" s="9">
        <v>22435</v>
      </c>
      <c r="C74" s="9" t="s">
        <v>107</v>
      </c>
      <c r="D74" s="17">
        <f t="shared" si="8"/>
        <v>12</v>
      </c>
      <c r="E74" s="10">
        <f t="shared" si="5"/>
        <v>12</v>
      </c>
      <c r="F74" s="11">
        <v>12</v>
      </c>
      <c r="G74" s="9">
        <v>528761</v>
      </c>
      <c r="H74" s="13">
        <v>40475.654166666667</v>
      </c>
      <c r="I74" s="14">
        <v>1.25</v>
      </c>
      <c r="J74" s="23">
        <f t="shared" si="6"/>
        <v>1.25</v>
      </c>
      <c r="K74" s="12">
        <v>40475</v>
      </c>
      <c r="L74" s="24">
        <v>0.15416666666666667</v>
      </c>
      <c r="M74" t="s">
        <v>1013</v>
      </c>
      <c r="N74" s="15" t="str">
        <f t="shared" si="7"/>
        <v>3:42 PM</v>
      </c>
      <c r="O74" s="9" t="s">
        <v>9</v>
      </c>
      <c r="P74" s="20">
        <f t="shared" si="9"/>
        <v>15</v>
      </c>
    </row>
    <row r="75" spans="1:16" x14ac:dyDescent="0.25">
      <c r="A75" s="9">
        <v>12714</v>
      </c>
      <c r="B75" s="9">
        <v>22321</v>
      </c>
      <c r="C75" s="9" t="s">
        <v>108</v>
      </c>
      <c r="D75" s="17">
        <f t="shared" si="8"/>
        <v>24</v>
      </c>
      <c r="E75" s="10">
        <f t="shared" si="5"/>
        <v>24</v>
      </c>
      <c r="F75" s="11">
        <v>24</v>
      </c>
      <c r="G75" s="9">
        <v>501284</v>
      </c>
      <c r="H75" s="13">
        <v>40252.59652777778</v>
      </c>
      <c r="I75" s="14" t="s">
        <v>109</v>
      </c>
      <c r="J75" s="23">
        <f t="shared" si="6"/>
        <v>0.85</v>
      </c>
      <c r="K75" s="12">
        <v>40252</v>
      </c>
      <c r="L75" s="24">
        <v>9.6527777777777782E-2</v>
      </c>
      <c r="M75" t="s">
        <v>1013</v>
      </c>
      <c r="N75" s="15" t="str">
        <f t="shared" si="7"/>
        <v>2:19 PM</v>
      </c>
      <c r="O75" s="9" t="s">
        <v>28</v>
      </c>
      <c r="P75" s="20">
        <f t="shared" si="9"/>
        <v>20.399999999999999</v>
      </c>
    </row>
    <row r="76" spans="1:16" x14ac:dyDescent="0.25">
      <c r="A76" s="9">
        <v>12396</v>
      </c>
      <c r="B76" s="9">
        <v>22076</v>
      </c>
      <c r="C76" s="9" t="s">
        <v>110</v>
      </c>
      <c r="D76" s="17">
        <f t="shared" si="8"/>
        <v>12</v>
      </c>
      <c r="E76" s="10">
        <f t="shared" si="5"/>
        <v>12</v>
      </c>
      <c r="F76" s="11">
        <v>12</v>
      </c>
      <c r="G76" s="9">
        <v>496703</v>
      </c>
      <c r="H76" s="13">
        <v>40212.556944444441</v>
      </c>
      <c r="I76" s="14">
        <v>1.65</v>
      </c>
      <c r="J76" s="23">
        <f t="shared" si="6"/>
        <v>1.65</v>
      </c>
      <c r="K76" s="12">
        <v>40212</v>
      </c>
      <c r="L76" s="24">
        <v>5.6944444444444443E-2</v>
      </c>
      <c r="M76" t="s">
        <v>1013</v>
      </c>
      <c r="N76" s="15" t="str">
        <f t="shared" si="7"/>
        <v>1:22 PM</v>
      </c>
      <c r="O76" s="9" t="s">
        <v>111</v>
      </c>
      <c r="P76" s="20">
        <f t="shared" si="9"/>
        <v>19.799999999999997</v>
      </c>
    </row>
    <row r="77" spans="1:16" x14ac:dyDescent="0.25">
      <c r="A77" s="9" t="s">
        <v>113</v>
      </c>
      <c r="B77" s="9">
        <v>85198</v>
      </c>
      <c r="C77" s="9" t="s">
        <v>112</v>
      </c>
      <c r="D77" s="17">
        <f t="shared" si="8"/>
        <v>3312</v>
      </c>
      <c r="E77" s="10">
        <f t="shared" si="5"/>
        <v>3312</v>
      </c>
      <c r="F77" s="11">
        <v>3312</v>
      </c>
      <c r="G77" s="9">
        <v>497946</v>
      </c>
      <c r="H77" s="13">
        <v>40224.497916666667</v>
      </c>
      <c r="I77" s="14">
        <v>0.3</v>
      </c>
      <c r="J77" s="23">
        <f t="shared" si="6"/>
        <v>0.3</v>
      </c>
      <c r="K77" s="12">
        <v>40224</v>
      </c>
      <c r="L77" s="24">
        <v>0.49791666666666667</v>
      </c>
      <c r="M77" t="s">
        <v>1014</v>
      </c>
      <c r="N77" s="15" t="str">
        <f t="shared" si="7"/>
        <v>11:57 AM</v>
      </c>
      <c r="O77" s="9" t="s">
        <v>114</v>
      </c>
      <c r="P77" s="20">
        <f t="shared" si="9"/>
        <v>993.59999999999991</v>
      </c>
    </row>
    <row r="78" spans="1:16" x14ac:dyDescent="0.25">
      <c r="A78" s="9">
        <v>14646</v>
      </c>
      <c r="B78" s="9">
        <v>21121</v>
      </c>
      <c r="C78" s="9" t="s">
        <v>115</v>
      </c>
      <c r="D78" s="17">
        <f t="shared" si="8"/>
        <v>288</v>
      </c>
      <c r="E78" s="10">
        <f t="shared" si="5"/>
        <v>288</v>
      </c>
      <c r="F78" s="11">
        <v>288</v>
      </c>
      <c r="G78" s="9">
        <v>507178</v>
      </c>
      <c r="H78" s="13">
        <v>40304.636805555558</v>
      </c>
      <c r="I78" s="14">
        <v>1.06</v>
      </c>
      <c r="J78" s="23">
        <f t="shared" si="6"/>
        <v>1.06</v>
      </c>
      <c r="K78" s="12">
        <v>40304</v>
      </c>
      <c r="L78" s="24">
        <v>0.13680555555555557</v>
      </c>
      <c r="M78" t="s">
        <v>1013</v>
      </c>
      <c r="N78" s="15" t="str">
        <f t="shared" si="7"/>
        <v>3:17 PM</v>
      </c>
      <c r="O78" s="9" t="s">
        <v>116</v>
      </c>
      <c r="P78" s="20">
        <f t="shared" si="9"/>
        <v>305.28000000000003</v>
      </c>
    </row>
    <row r="79" spans="1:16" x14ac:dyDescent="0.25">
      <c r="A79" s="9">
        <v>16782</v>
      </c>
      <c r="B79" s="9">
        <v>22378</v>
      </c>
      <c r="C79" s="9" t="s">
        <v>117</v>
      </c>
      <c r="D79" s="17">
        <f t="shared" si="8"/>
        <v>1</v>
      </c>
      <c r="E79" s="10">
        <f t="shared" si="5"/>
        <v>1</v>
      </c>
      <c r="F79" s="11">
        <v>1</v>
      </c>
      <c r="G79" s="9">
        <v>516265</v>
      </c>
      <c r="H79" s="13">
        <v>40378.504861111112</v>
      </c>
      <c r="I79" s="14">
        <v>2.1</v>
      </c>
      <c r="J79" s="23">
        <f t="shared" si="6"/>
        <v>2.1</v>
      </c>
      <c r="K79" s="12">
        <v>40378</v>
      </c>
      <c r="L79" s="24">
        <v>0.50486111111111109</v>
      </c>
      <c r="M79" t="s">
        <v>1013</v>
      </c>
      <c r="N79" s="15" t="str">
        <f t="shared" si="7"/>
        <v>12:07 PM</v>
      </c>
      <c r="O79" s="9" t="s">
        <v>9</v>
      </c>
      <c r="P79" s="20">
        <f t="shared" si="9"/>
        <v>2.1</v>
      </c>
    </row>
    <row r="80" spans="1:16" x14ac:dyDescent="0.25">
      <c r="A80" s="9">
        <v>16623</v>
      </c>
      <c r="B80" s="9">
        <v>21175</v>
      </c>
      <c r="C80" s="9" t="s">
        <v>118</v>
      </c>
      <c r="D80" s="17">
        <f t="shared" si="8"/>
        <v>12</v>
      </c>
      <c r="E80" s="10">
        <f t="shared" si="5"/>
        <v>12</v>
      </c>
      <c r="F80" s="11">
        <v>12</v>
      </c>
      <c r="G80" s="9">
        <v>505885</v>
      </c>
      <c r="H80" s="13">
        <v>40294.586111111108</v>
      </c>
      <c r="I80" s="14">
        <v>2.1</v>
      </c>
      <c r="J80" s="23">
        <f t="shared" si="6"/>
        <v>2.1</v>
      </c>
      <c r="K80" s="12">
        <v>40294</v>
      </c>
      <c r="L80" s="24">
        <v>8.611111111111111E-2</v>
      </c>
      <c r="M80" t="s">
        <v>1013</v>
      </c>
      <c r="N80" s="15" t="str">
        <f t="shared" si="7"/>
        <v>2:04 PM</v>
      </c>
      <c r="O80" s="9" t="s">
        <v>9</v>
      </c>
      <c r="P80" s="20">
        <f t="shared" si="9"/>
        <v>25.200000000000003</v>
      </c>
    </row>
    <row r="81" spans="1:16" x14ac:dyDescent="0.25">
      <c r="A81" s="9">
        <v>16695</v>
      </c>
      <c r="B81" s="9">
        <v>21892</v>
      </c>
      <c r="C81" s="9" t="s">
        <v>86</v>
      </c>
      <c r="D81" s="17">
        <f t="shared" si="8"/>
        <v>2</v>
      </c>
      <c r="E81" s="10">
        <f t="shared" si="5"/>
        <v>2</v>
      </c>
      <c r="F81" s="11">
        <v>2</v>
      </c>
      <c r="G81" s="9">
        <v>510139</v>
      </c>
      <c r="H81" s="13">
        <v>40325.51666666667</v>
      </c>
      <c r="I81" s="14">
        <v>1.25</v>
      </c>
      <c r="J81" s="23">
        <f t="shared" si="6"/>
        <v>1.25</v>
      </c>
      <c r="K81" s="12">
        <v>40325</v>
      </c>
      <c r="L81" s="24">
        <v>0.51666666666666672</v>
      </c>
      <c r="M81" t="s">
        <v>1013</v>
      </c>
      <c r="N81" s="15" t="str">
        <f t="shared" si="7"/>
        <v>12:24 PM</v>
      </c>
      <c r="O81" s="9" t="s">
        <v>9</v>
      </c>
      <c r="P81" s="20">
        <f t="shared" si="9"/>
        <v>2.5</v>
      </c>
    </row>
    <row r="82" spans="1:16" x14ac:dyDescent="0.25">
      <c r="A82" s="9">
        <v>16670</v>
      </c>
      <c r="B82" s="9">
        <v>22262</v>
      </c>
      <c r="C82" s="9" t="s">
        <v>119</v>
      </c>
      <c r="D82" s="17">
        <f t="shared" si="8"/>
        <v>12</v>
      </c>
      <c r="E82" s="10">
        <f t="shared" si="5"/>
        <v>12</v>
      </c>
      <c r="F82" s="17">
        <v>12</v>
      </c>
      <c r="G82" s="9">
        <v>502628</v>
      </c>
      <c r="H82" s="13">
        <v>40262.65</v>
      </c>
      <c r="I82" s="14">
        <v>0.85</v>
      </c>
      <c r="J82" s="23">
        <f t="shared" si="6"/>
        <v>0.85</v>
      </c>
      <c r="K82" s="12">
        <v>40262</v>
      </c>
      <c r="L82" s="24">
        <v>0.15</v>
      </c>
      <c r="M82" t="s">
        <v>1013</v>
      </c>
      <c r="N82" s="15" t="str">
        <f t="shared" si="7"/>
        <v>3:36 PM</v>
      </c>
      <c r="O82" s="9" t="s">
        <v>9</v>
      </c>
      <c r="P82" s="20">
        <f t="shared" si="9"/>
        <v>10.199999999999999</v>
      </c>
    </row>
    <row r="83" spans="1:16" x14ac:dyDescent="0.25">
      <c r="A83" s="9">
        <v>13542</v>
      </c>
      <c r="B83" s="9">
        <v>48184</v>
      </c>
      <c r="C83" s="9" t="s">
        <v>121</v>
      </c>
      <c r="D83" s="17">
        <f t="shared" si="8"/>
        <v>1</v>
      </c>
      <c r="E83" s="10">
        <f t="shared" si="5"/>
        <v>1</v>
      </c>
      <c r="F83" s="11">
        <v>1</v>
      </c>
      <c r="G83" s="9">
        <v>511851</v>
      </c>
      <c r="H83" s="13">
        <v>40339.806250000001</v>
      </c>
      <c r="I83" s="14">
        <v>7.49</v>
      </c>
      <c r="J83" s="23">
        <f t="shared" si="6"/>
        <v>7.49</v>
      </c>
      <c r="K83" s="12">
        <v>40339</v>
      </c>
      <c r="L83" s="24">
        <v>0.30625000000000002</v>
      </c>
      <c r="M83" t="s">
        <v>1013</v>
      </c>
      <c r="N83" s="15" t="str">
        <f t="shared" si="7"/>
        <v>7:21 PM</v>
      </c>
      <c r="O83" s="9" t="s">
        <v>9</v>
      </c>
      <c r="P83" s="20">
        <f t="shared" si="9"/>
        <v>7.49</v>
      </c>
    </row>
    <row r="84" spans="1:16" x14ac:dyDescent="0.25">
      <c r="A84" s="9">
        <v>14877</v>
      </c>
      <c r="B84" s="9" t="s">
        <v>122</v>
      </c>
      <c r="C84" s="9" t="s">
        <v>123</v>
      </c>
      <c r="D84" s="17">
        <f t="shared" si="8"/>
        <v>2</v>
      </c>
      <c r="E84" s="10">
        <f t="shared" si="5"/>
        <v>2</v>
      </c>
      <c r="F84" s="11">
        <v>2</v>
      </c>
      <c r="G84" s="9">
        <v>500326</v>
      </c>
      <c r="H84" s="13">
        <v>40244.517361111109</v>
      </c>
      <c r="I84" s="14">
        <v>1.65</v>
      </c>
      <c r="J84" s="23">
        <f t="shared" si="6"/>
        <v>1.65</v>
      </c>
      <c r="K84" s="12">
        <v>40244</v>
      </c>
      <c r="L84" s="24">
        <v>0.51736111111111116</v>
      </c>
      <c r="M84" t="s">
        <v>1013</v>
      </c>
      <c r="N84" s="15" t="str">
        <f t="shared" si="7"/>
        <v>12:25 PM</v>
      </c>
      <c r="O84" s="9" t="s">
        <v>9</v>
      </c>
      <c r="P84" s="20">
        <f t="shared" si="9"/>
        <v>3.3</v>
      </c>
    </row>
    <row r="85" spans="1:16" x14ac:dyDescent="0.25">
      <c r="A85" s="9">
        <v>15281</v>
      </c>
      <c r="B85" s="9">
        <v>22294</v>
      </c>
      <c r="C85" s="9" t="s">
        <v>124</v>
      </c>
      <c r="D85" s="17">
        <f t="shared" si="8"/>
        <v>24</v>
      </c>
      <c r="E85" s="10">
        <f t="shared" si="5"/>
        <v>24</v>
      </c>
      <c r="F85" s="11">
        <v>24</v>
      </c>
      <c r="G85" s="9">
        <v>526089</v>
      </c>
      <c r="H85" s="13">
        <v>40459.509722222218</v>
      </c>
      <c r="I85" s="14">
        <v>1.25</v>
      </c>
      <c r="J85" s="23">
        <f t="shared" si="6"/>
        <v>1.25</v>
      </c>
      <c r="K85" s="12">
        <v>40459</v>
      </c>
      <c r="L85" s="24">
        <v>0.50972222222222219</v>
      </c>
      <c r="M85" t="s">
        <v>1013</v>
      </c>
      <c r="N85" s="15" t="str">
        <f t="shared" si="7"/>
        <v>12:14 PM</v>
      </c>
      <c r="O85" s="9" t="s">
        <v>9</v>
      </c>
      <c r="P85" s="20">
        <f t="shared" si="9"/>
        <v>30</v>
      </c>
    </row>
    <row r="86" spans="1:16" x14ac:dyDescent="0.25">
      <c r="A86" s="9">
        <v>14625</v>
      </c>
      <c r="B86" s="9">
        <v>21212</v>
      </c>
      <c r="C86" s="9" t="s">
        <v>125</v>
      </c>
      <c r="D86" s="17">
        <f t="shared" si="8"/>
        <v>24</v>
      </c>
      <c r="E86" s="10">
        <f t="shared" si="5"/>
        <v>24</v>
      </c>
      <c r="F86" s="11">
        <v>24</v>
      </c>
      <c r="G86" s="9">
        <v>518432</v>
      </c>
      <c r="H86" s="13">
        <v>40399.462500000001</v>
      </c>
      <c r="I86" s="14">
        <v>0.55000000000000004</v>
      </c>
      <c r="J86" s="23">
        <f t="shared" si="6"/>
        <v>0.55000000000000004</v>
      </c>
      <c r="K86" s="12">
        <v>40399</v>
      </c>
      <c r="L86" s="24">
        <v>0.46250000000000002</v>
      </c>
      <c r="M86" t="s">
        <v>1014</v>
      </c>
      <c r="N86" s="15" t="str">
        <f t="shared" si="7"/>
        <v>11:06 AM</v>
      </c>
      <c r="O86" s="9" t="s">
        <v>9</v>
      </c>
      <c r="P86" s="20">
        <f t="shared" si="9"/>
        <v>13.200000000000001</v>
      </c>
    </row>
    <row r="87" spans="1:16" x14ac:dyDescent="0.25">
      <c r="A87" s="9">
        <v>16409</v>
      </c>
      <c r="B87" s="9">
        <v>84380</v>
      </c>
      <c r="C87" s="9" t="s">
        <v>126</v>
      </c>
      <c r="D87" s="17">
        <f t="shared" si="8"/>
        <v>12</v>
      </c>
      <c r="E87" s="10">
        <f t="shared" si="5"/>
        <v>12</v>
      </c>
      <c r="F87" s="11">
        <v>12</v>
      </c>
      <c r="G87" s="9">
        <v>533547</v>
      </c>
      <c r="H87" s="13">
        <v>40499.699999999997</v>
      </c>
      <c r="I87" s="14">
        <v>1.25</v>
      </c>
      <c r="J87" s="23">
        <f t="shared" si="6"/>
        <v>1.25</v>
      </c>
      <c r="K87" s="12">
        <v>40499</v>
      </c>
      <c r="L87" s="24">
        <v>0.2</v>
      </c>
      <c r="M87" t="s">
        <v>1013</v>
      </c>
      <c r="N87" s="15" t="str">
        <f t="shared" si="7"/>
        <v>4:48 PM</v>
      </c>
      <c r="O87" s="9" t="s">
        <v>9</v>
      </c>
      <c r="P87" s="20">
        <f t="shared" si="9"/>
        <v>15</v>
      </c>
    </row>
    <row r="88" spans="1:16" x14ac:dyDescent="0.25">
      <c r="A88" s="9">
        <v>15710</v>
      </c>
      <c r="B88" s="9">
        <v>84580</v>
      </c>
      <c r="C88" s="9" t="s">
        <v>127</v>
      </c>
      <c r="D88" s="17">
        <f t="shared" si="8"/>
        <v>2</v>
      </c>
      <c r="E88" s="10">
        <f t="shared" si="5"/>
        <v>2</v>
      </c>
      <c r="F88" s="11">
        <v>2</v>
      </c>
      <c r="G88" s="9">
        <v>527754</v>
      </c>
      <c r="H88" s="13">
        <v>40469.711805555547</v>
      </c>
      <c r="I88" s="14">
        <v>3.75</v>
      </c>
      <c r="J88" s="23">
        <f t="shared" si="6"/>
        <v>3.75</v>
      </c>
      <c r="K88" s="12">
        <v>40469</v>
      </c>
      <c r="L88" s="24">
        <v>0.21180555555555555</v>
      </c>
      <c r="M88" t="s">
        <v>1013</v>
      </c>
      <c r="N88" s="15" t="str">
        <f t="shared" si="7"/>
        <v>5:05 PM</v>
      </c>
      <c r="O88" s="9" t="s">
        <v>9</v>
      </c>
      <c r="P88" s="20">
        <f t="shared" si="9"/>
        <v>7.5</v>
      </c>
    </row>
    <row r="89" spans="1:16" x14ac:dyDescent="0.25">
      <c r="A89" s="9">
        <v>14911</v>
      </c>
      <c r="B89" s="9">
        <v>21428</v>
      </c>
      <c r="C89" s="9" t="s">
        <v>128</v>
      </c>
      <c r="D89" s="17">
        <f t="shared" si="8"/>
        <v>4</v>
      </c>
      <c r="E89" s="10">
        <f t="shared" si="5"/>
        <v>4</v>
      </c>
      <c r="F89" s="11">
        <v>4</v>
      </c>
      <c r="G89" s="9">
        <v>496008</v>
      </c>
      <c r="H89" s="13">
        <v>40206.525000000001</v>
      </c>
      <c r="I89" s="14" t="s">
        <v>129</v>
      </c>
      <c r="J89" s="23">
        <f t="shared" si="6"/>
        <v>4.25</v>
      </c>
      <c r="K89" s="12">
        <v>40206</v>
      </c>
      <c r="L89" s="24">
        <v>0.52500000000000002</v>
      </c>
      <c r="M89" t="s">
        <v>1013</v>
      </c>
      <c r="N89" s="15" t="str">
        <f t="shared" si="7"/>
        <v>12:36 PM</v>
      </c>
      <c r="O89" s="9" t="s">
        <v>11</v>
      </c>
      <c r="P89" s="20">
        <f t="shared" si="9"/>
        <v>17</v>
      </c>
    </row>
    <row r="90" spans="1:16" x14ac:dyDescent="0.25">
      <c r="A90" s="9">
        <v>16471</v>
      </c>
      <c r="B90" s="9">
        <v>84839</v>
      </c>
      <c r="C90" s="9" t="s">
        <v>130</v>
      </c>
      <c r="D90" s="17">
        <f t="shared" si="8"/>
        <v>2</v>
      </c>
      <c r="E90" s="10">
        <f t="shared" si="5"/>
        <v>2</v>
      </c>
      <c r="F90" s="11">
        <v>2</v>
      </c>
      <c r="G90" s="9">
        <v>509071</v>
      </c>
      <c r="H90" s="13">
        <v>40318.486805555563</v>
      </c>
      <c r="I90" s="14">
        <v>6.75</v>
      </c>
      <c r="J90" s="23">
        <f t="shared" si="6"/>
        <v>6.75</v>
      </c>
      <c r="K90" s="12">
        <v>40318</v>
      </c>
      <c r="L90" s="24">
        <v>0.48680555555555555</v>
      </c>
      <c r="M90" t="s">
        <v>1014</v>
      </c>
      <c r="N90" s="15" t="str">
        <f t="shared" si="7"/>
        <v>11:41 AM</v>
      </c>
      <c r="O90" s="9" t="s">
        <v>9</v>
      </c>
      <c r="P90" s="20">
        <f t="shared" si="9"/>
        <v>13.5</v>
      </c>
    </row>
    <row r="91" spans="1:16" x14ac:dyDescent="0.25">
      <c r="A91" s="9">
        <v>16010</v>
      </c>
      <c r="B91" s="9">
        <v>21986</v>
      </c>
      <c r="C91" s="9" t="s">
        <v>131</v>
      </c>
      <c r="D91" s="17">
        <f t="shared" si="8"/>
        <v>3</v>
      </c>
      <c r="E91" s="10">
        <f t="shared" si="5"/>
        <v>3</v>
      </c>
      <c r="F91" s="11">
        <v>3</v>
      </c>
      <c r="G91" s="9">
        <v>535656</v>
      </c>
      <c r="H91" s="13">
        <v>40510.47152777778</v>
      </c>
      <c r="I91" s="14">
        <v>0.28999999999999998</v>
      </c>
      <c r="J91" s="23">
        <f t="shared" si="6"/>
        <v>0.28999999999999998</v>
      </c>
      <c r="K91" s="12">
        <v>40510</v>
      </c>
      <c r="L91" s="24">
        <v>0.47152777777777777</v>
      </c>
      <c r="M91" t="s">
        <v>1014</v>
      </c>
      <c r="N91" s="15" t="str">
        <f t="shared" si="7"/>
        <v>11:19 AM</v>
      </c>
      <c r="O91" s="9" t="s">
        <v>9</v>
      </c>
      <c r="P91" s="20">
        <f t="shared" si="9"/>
        <v>0.86999999999999988</v>
      </c>
    </row>
    <row r="92" spans="1:16" x14ac:dyDescent="0.25">
      <c r="A92" s="9">
        <v>13952</v>
      </c>
      <c r="B92" s="9">
        <v>21535</v>
      </c>
      <c r="C92" s="9" t="s">
        <v>133</v>
      </c>
      <c r="D92" s="17">
        <f t="shared" si="8"/>
        <v>6</v>
      </c>
      <c r="E92" s="10">
        <f t="shared" si="5"/>
        <v>6</v>
      </c>
      <c r="F92" s="11">
        <v>6</v>
      </c>
      <c r="G92" s="9">
        <v>522885</v>
      </c>
      <c r="H92" s="13">
        <v>40438.504166666673</v>
      </c>
      <c r="I92" s="14">
        <v>2.5499999999999998</v>
      </c>
      <c r="J92" s="23">
        <f t="shared" si="6"/>
        <v>2.5499999999999998</v>
      </c>
      <c r="K92" s="12">
        <v>40438</v>
      </c>
      <c r="L92" s="24">
        <v>0.50416666666666665</v>
      </c>
      <c r="M92" t="s">
        <v>1013</v>
      </c>
      <c r="N92" s="15" t="str">
        <f t="shared" si="7"/>
        <v>12:06 PM</v>
      </c>
      <c r="O92" s="9" t="s">
        <v>9</v>
      </c>
      <c r="P92" s="20">
        <f t="shared" si="9"/>
        <v>15.299999999999999</v>
      </c>
    </row>
    <row r="93" spans="1:16" x14ac:dyDescent="0.25">
      <c r="A93" s="9">
        <v>13206</v>
      </c>
      <c r="B93" s="9">
        <v>20749</v>
      </c>
      <c r="C93" s="9" t="s">
        <v>134</v>
      </c>
      <c r="D93" s="17">
        <f t="shared" si="8"/>
        <v>2</v>
      </c>
      <c r="E93" s="10">
        <f t="shared" si="5"/>
        <v>2</v>
      </c>
      <c r="F93" s="11">
        <v>2</v>
      </c>
      <c r="G93" s="9">
        <v>502038</v>
      </c>
      <c r="H93" s="13">
        <v>40259.575694444437</v>
      </c>
      <c r="I93" s="14">
        <v>7.95</v>
      </c>
      <c r="J93" s="23">
        <f t="shared" si="6"/>
        <v>7.95</v>
      </c>
      <c r="K93" s="12">
        <v>40259</v>
      </c>
      <c r="L93" s="24">
        <v>7.5694444444444439E-2</v>
      </c>
      <c r="M93" t="s">
        <v>1013</v>
      </c>
      <c r="N93" s="15" t="str">
        <f t="shared" si="7"/>
        <v>1:49 PM</v>
      </c>
      <c r="O93" s="9" t="s">
        <v>9</v>
      </c>
      <c r="P93" s="20">
        <f t="shared" si="9"/>
        <v>15.9</v>
      </c>
    </row>
    <row r="94" spans="1:16" x14ac:dyDescent="0.25">
      <c r="A94" s="9">
        <v>16767</v>
      </c>
      <c r="B94" s="9">
        <v>22139</v>
      </c>
      <c r="C94" s="9" t="s">
        <v>135</v>
      </c>
      <c r="D94" s="17">
        <f t="shared" si="8"/>
        <v>12</v>
      </c>
      <c r="E94" s="10">
        <f t="shared" si="5"/>
        <v>12</v>
      </c>
      <c r="F94" s="11">
        <v>12</v>
      </c>
      <c r="G94" s="9">
        <v>516132</v>
      </c>
      <c r="H94" s="13">
        <v>40375.643750000003</v>
      </c>
      <c r="I94" s="14">
        <v>4.95</v>
      </c>
      <c r="J94" s="23">
        <f t="shared" si="6"/>
        <v>4.95</v>
      </c>
      <c r="K94" s="12">
        <v>40375</v>
      </c>
      <c r="L94" s="24">
        <v>0.14374999999999999</v>
      </c>
      <c r="M94" t="s">
        <v>1013</v>
      </c>
      <c r="N94" s="15" t="str">
        <f t="shared" si="7"/>
        <v>3:27 PM</v>
      </c>
      <c r="O94" s="9" t="s">
        <v>9</v>
      </c>
      <c r="P94" s="20">
        <f t="shared" si="9"/>
        <v>59.400000000000006</v>
      </c>
    </row>
    <row r="95" spans="1:16" x14ac:dyDescent="0.25">
      <c r="A95" s="9">
        <v>14210</v>
      </c>
      <c r="B95" s="9">
        <v>21216</v>
      </c>
      <c r="C95" s="9" t="s">
        <v>136</v>
      </c>
      <c r="D95" s="17">
        <f t="shared" si="8"/>
        <v>4</v>
      </c>
      <c r="E95" s="10">
        <f t="shared" si="5"/>
        <v>4</v>
      </c>
      <c r="F95" s="11">
        <v>4</v>
      </c>
      <c r="G95" s="9">
        <v>511500</v>
      </c>
      <c r="H95" s="13">
        <v>40337.613888888889</v>
      </c>
      <c r="I95" s="14">
        <v>4.95</v>
      </c>
      <c r="J95" s="23">
        <f t="shared" si="6"/>
        <v>4.95</v>
      </c>
      <c r="K95" s="12">
        <v>40337</v>
      </c>
      <c r="L95" s="24">
        <v>0.11388888888888889</v>
      </c>
      <c r="M95" t="s">
        <v>1013</v>
      </c>
      <c r="N95" s="15" t="str">
        <f t="shared" si="7"/>
        <v>2:44 PM</v>
      </c>
      <c r="O95" s="9" t="s">
        <v>9</v>
      </c>
      <c r="P95" s="20">
        <f t="shared" si="9"/>
        <v>19.8</v>
      </c>
    </row>
    <row r="96" spans="1:16" x14ac:dyDescent="0.25">
      <c r="A96" s="9">
        <v>18102</v>
      </c>
      <c r="B96" s="9">
        <v>21426</v>
      </c>
      <c r="C96" s="9" t="s">
        <v>137</v>
      </c>
      <c r="D96" s="17">
        <f t="shared" si="8"/>
        <v>96</v>
      </c>
      <c r="E96" s="10">
        <f t="shared" si="5"/>
        <v>96</v>
      </c>
      <c r="F96" s="11">
        <v>96</v>
      </c>
      <c r="G96" s="9">
        <v>518547</v>
      </c>
      <c r="H96" s="13">
        <v>40399.770833333343</v>
      </c>
      <c r="I96" s="14">
        <v>1.25</v>
      </c>
      <c r="J96" s="23">
        <f t="shared" si="6"/>
        <v>1.25</v>
      </c>
      <c r="K96" s="12">
        <v>40399</v>
      </c>
      <c r="L96" s="24">
        <v>0.27083333333333331</v>
      </c>
      <c r="M96" t="s">
        <v>1013</v>
      </c>
      <c r="N96" s="15" t="str">
        <f t="shared" si="7"/>
        <v>6:30 PM</v>
      </c>
      <c r="O96" s="9" t="s">
        <v>9</v>
      </c>
      <c r="P96" s="20">
        <f t="shared" si="9"/>
        <v>120</v>
      </c>
    </row>
    <row r="97" spans="1:16" x14ac:dyDescent="0.25">
      <c r="A97" s="9">
        <v>15738</v>
      </c>
      <c r="B97" s="9">
        <v>22021</v>
      </c>
      <c r="C97" s="9" t="s">
        <v>139</v>
      </c>
      <c r="D97" s="17">
        <f t="shared" si="8"/>
        <v>12</v>
      </c>
      <c r="E97" s="10">
        <f t="shared" si="5"/>
        <v>12</v>
      </c>
      <c r="F97" s="11">
        <v>12</v>
      </c>
      <c r="G97" s="9">
        <v>501689</v>
      </c>
      <c r="H97" s="13">
        <v>40255.711805555547</v>
      </c>
      <c r="I97" s="14">
        <v>1.65</v>
      </c>
      <c r="J97" s="23">
        <f t="shared" si="6"/>
        <v>1.65</v>
      </c>
      <c r="K97" s="12">
        <v>40255</v>
      </c>
      <c r="L97" s="24">
        <v>0.21180555555555555</v>
      </c>
      <c r="M97" t="s">
        <v>1013</v>
      </c>
      <c r="N97" s="15" t="str">
        <f t="shared" si="7"/>
        <v>5:05 PM</v>
      </c>
      <c r="O97" s="9" t="s">
        <v>9</v>
      </c>
      <c r="P97" s="20">
        <f t="shared" si="9"/>
        <v>19.799999999999997</v>
      </c>
    </row>
    <row r="98" spans="1:16" x14ac:dyDescent="0.25">
      <c r="A98" s="9">
        <v>15581</v>
      </c>
      <c r="B98" s="9">
        <v>85104</v>
      </c>
      <c r="C98" s="9" t="s">
        <v>140</v>
      </c>
      <c r="D98" s="17">
        <f t="shared" si="8"/>
        <v>4</v>
      </c>
      <c r="E98" s="10">
        <f t="shared" si="5"/>
        <v>4</v>
      </c>
      <c r="F98" s="11">
        <v>4</v>
      </c>
      <c r="G98" s="9">
        <v>489802</v>
      </c>
      <c r="H98" s="13">
        <v>40149.522222222222</v>
      </c>
      <c r="I98" s="14">
        <v>2.95</v>
      </c>
      <c r="J98" s="23">
        <f t="shared" si="6"/>
        <v>2.95</v>
      </c>
      <c r="K98" s="12">
        <v>40149</v>
      </c>
      <c r="L98" s="24">
        <v>0.52222222222222225</v>
      </c>
      <c r="M98" t="s">
        <v>1013</v>
      </c>
      <c r="N98" s="15" t="str">
        <f t="shared" si="7"/>
        <v>12:32 PM</v>
      </c>
      <c r="O98" s="9" t="s">
        <v>9</v>
      </c>
      <c r="P98" s="20">
        <f t="shared" si="9"/>
        <v>11.8</v>
      </c>
    </row>
    <row r="99" spans="1:16" x14ac:dyDescent="0.25">
      <c r="A99" s="9">
        <v>13131</v>
      </c>
      <c r="B99" s="9" t="s">
        <v>141</v>
      </c>
      <c r="C99" s="9" t="s">
        <v>142</v>
      </c>
      <c r="D99" s="17">
        <f t="shared" si="8"/>
        <v>6</v>
      </c>
      <c r="E99" s="10">
        <f t="shared" si="5"/>
        <v>6</v>
      </c>
      <c r="F99" s="11">
        <v>6</v>
      </c>
      <c r="G99" s="9">
        <v>497364</v>
      </c>
      <c r="H99" s="13">
        <v>40218.407638888893</v>
      </c>
      <c r="I99" s="14">
        <v>3.75</v>
      </c>
      <c r="J99" s="23">
        <f t="shared" si="6"/>
        <v>3.75</v>
      </c>
      <c r="K99" s="12">
        <v>40218</v>
      </c>
      <c r="L99" s="24">
        <v>0.40763888888888888</v>
      </c>
      <c r="M99" t="s">
        <v>1014</v>
      </c>
      <c r="N99" s="15" t="str">
        <f t="shared" si="7"/>
        <v>9:47 AM</v>
      </c>
      <c r="O99" s="9" t="s">
        <v>9</v>
      </c>
      <c r="P99" s="20">
        <f t="shared" si="9"/>
        <v>22.5</v>
      </c>
    </row>
    <row r="100" spans="1:16" x14ac:dyDescent="0.25">
      <c r="A100" s="9">
        <v>18161</v>
      </c>
      <c r="B100" s="9">
        <v>84879</v>
      </c>
      <c r="C100" s="9" t="s">
        <v>143</v>
      </c>
      <c r="D100" s="17">
        <f t="shared" si="8"/>
        <v>8</v>
      </c>
      <c r="E100" s="10">
        <f t="shared" si="5"/>
        <v>8</v>
      </c>
      <c r="F100" s="11">
        <v>8</v>
      </c>
      <c r="G100" s="9">
        <v>535332</v>
      </c>
      <c r="H100" s="13">
        <v>40507.663194444453</v>
      </c>
      <c r="I100" s="14">
        <v>1.69</v>
      </c>
      <c r="J100" s="23">
        <f t="shared" si="6"/>
        <v>1.69</v>
      </c>
      <c r="K100" s="12">
        <v>40507</v>
      </c>
      <c r="L100" s="24">
        <v>0.16319444444444445</v>
      </c>
      <c r="M100" t="s">
        <v>1013</v>
      </c>
      <c r="N100" s="15" t="str">
        <f t="shared" si="7"/>
        <v>3:55 PM</v>
      </c>
      <c r="O100" s="9" t="s">
        <v>9</v>
      </c>
      <c r="P100" s="20">
        <f t="shared" si="9"/>
        <v>13.52</v>
      </c>
    </row>
    <row r="101" spans="1:16" x14ac:dyDescent="0.25">
      <c r="A101" s="9">
        <v>14426</v>
      </c>
      <c r="B101" s="9">
        <v>21043</v>
      </c>
      <c r="C101" s="9" t="s">
        <v>144</v>
      </c>
      <c r="D101" s="17">
        <f t="shared" si="8"/>
        <v>3</v>
      </c>
      <c r="E101" s="10">
        <f t="shared" si="5"/>
        <v>3</v>
      </c>
      <c r="F101" s="11">
        <v>3</v>
      </c>
      <c r="G101" s="9">
        <v>513953</v>
      </c>
      <c r="H101" s="13">
        <v>40358.593055555553</v>
      </c>
      <c r="I101" s="14">
        <v>5.95</v>
      </c>
      <c r="J101" s="23">
        <f t="shared" si="6"/>
        <v>5.95</v>
      </c>
      <c r="K101" s="12">
        <v>40358</v>
      </c>
      <c r="L101" s="24">
        <v>9.3055555555555558E-2</v>
      </c>
      <c r="M101" t="s">
        <v>1013</v>
      </c>
      <c r="N101" s="15" t="str">
        <f t="shared" si="7"/>
        <v>2:14 PM</v>
      </c>
      <c r="O101" s="9" t="s">
        <v>9</v>
      </c>
      <c r="P101" s="20">
        <f t="shared" si="9"/>
        <v>17.850000000000001</v>
      </c>
    </row>
    <row r="102" spans="1:16" x14ac:dyDescent="0.25">
      <c r="A102" s="9">
        <v>17962</v>
      </c>
      <c r="B102" s="9">
        <v>21730</v>
      </c>
      <c r="C102" s="9" t="s">
        <v>145</v>
      </c>
      <c r="D102" s="17">
        <f t="shared" si="8"/>
        <v>2</v>
      </c>
      <c r="E102" s="10">
        <f t="shared" si="5"/>
        <v>2</v>
      </c>
      <c r="F102" s="11">
        <v>2</v>
      </c>
      <c r="G102" s="9">
        <v>494359</v>
      </c>
      <c r="H102" s="13">
        <v>40191.64166666667</v>
      </c>
      <c r="I102" s="14">
        <v>4.95</v>
      </c>
      <c r="J102" s="23">
        <f t="shared" si="6"/>
        <v>4.95</v>
      </c>
      <c r="K102" s="12">
        <v>40191</v>
      </c>
      <c r="L102" s="24">
        <v>0.14166666666666666</v>
      </c>
      <c r="M102" t="s">
        <v>1013</v>
      </c>
      <c r="N102" s="15" t="str">
        <f t="shared" si="7"/>
        <v>3:24 PM</v>
      </c>
      <c r="O102" s="9" t="s">
        <v>9</v>
      </c>
      <c r="P102" s="20">
        <f t="shared" si="9"/>
        <v>9.9</v>
      </c>
    </row>
    <row r="103" spans="1:16" x14ac:dyDescent="0.25">
      <c r="A103" s="9">
        <v>15640</v>
      </c>
      <c r="B103" s="9">
        <v>22113</v>
      </c>
      <c r="C103" s="9" t="s">
        <v>146</v>
      </c>
      <c r="D103" s="17">
        <f t="shared" si="8"/>
        <v>12</v>
      </c>
      <c r="E103" s="10">
        <f t="shared" si="5"/>
        <v>12</v>
      </c>
      <c r="F103" s="11">
        <v>12</v>
      </c>
      <c r="G103" s="9">
        <v>533376</v>
      </c>
      <c r="H103" s="13">
        <v>40499.443749999999</v>
      </c>
      <c r="I103" s="14" t="s">
        <v>147</v>
      </c>
      <c r="J103" s="23">
        <f t="shared" si="6"/>
        <v>3.75</v>
      </c>
      <c r="K103" s="12">
        <v>40499</v>
      </c>
      <c r="L103" s="24">
        <v>0.44374999999999998</v>
      </c>
      <c r="M103" t="s">
        <v>1014</v>
      </c>
      <c r="N103" s="15" t="str">
        <f t="shared" si="7"/>
        <v>10:39 AM</v>
      </c>
      <c r="O103" s="9" t="s">
        <v>9</v>
      </c>
      <c r="P103" s="20">
        <f t="shared" si="9"/>
        <v>45</v>
      </c>
    </row>
    <row r="104" spans="1:16" x14ac:dyDescent="0.25">
      <c r="A104" s="9">
        <v>14911</v>
      </c>
      <c r="B104" s="9" t="s">
        <v>148</v>
      </c>
      <c r="C104" s="9" t="s">
        <v>149</v>
      </c>
      <c r="D104" s="17">
        <f t="shared" si="8"/>
        <v>4</v>
      </c>
      <c r="E104" s="10">
        <f t="shared" si="5"/>
        <v>4</v>
      </c>
      <c r="F104" s="11">
        <v>4</v>
      </c>
      <c r="G104" s="9">
        <v>536975</v>
      </c>
      <c r="H104" s="13">
        <v>40515.586111111108</v>
      </c>
      <c r="I104" s="14">
        <v>3.75</v>
      </c>
      <c r="J104" s="23">
        <f t="shared" si="6"/>
        <v>3.75</v>
      </c>
      <c r="K104" s="12">
        <v>40515</v>
      </c>
      <c r="L104" s="24">
        <v>8.611111111111111E-2</v>
      </c>
      <c r="M104" t="s">
        <v>1013</v>
      </c>
      <c r="N104" s="15" t="str">
        <f t="shared" si="7"/>
        <v>2:04 PM</v>
      </c>
      <c r="O104" s="9" t="s">
        <v>11</v>
      </c>
      <c r="P104" s="20">
        <f t="shared" si="9"/>
        <v>15</v>
      </c>
    </row>
    <row r="105" spans="1:16" x14ac:dyDescent="0.25">
      <c r="A105" s="9">
        <v>15301</v>
      </c>
      <c r="B105" s="9">
        <v>22733</v>
      </c>
      <c r="C105" s="9" t="s">
        <v>150</v>
      </c>
      <c r="D105" s="17">
        <f t="shared" si="8"/>
        <v>18</v>
      </c>
      <c r="E105" s="10">
        <f t="shared" si="5"/>
        <v>18</v>
      </c>
      <c r="F105" s="11">
        <v>18</v>
      </c>
      <c r="G105" s="9">
        <v>537346</v>
      </c>
      <c r="H105" s="13">
        <v>40518.51458333333</v>
      </c>
      <c r="I105" s="14">
        <v>1.25</v>
      </c>
      <c r="J105" s="23">
        <f t="shared" si="6"/>
        <v>1.25</v>
      </c>
      <c r="K105" s="12">
        <v>40518</v>
      </c>
      <c r="L105" s="24">
        <v>0.51458333333333328</v>
      </c>
      <c r="M105" t="s">
        <v>1013</v>
      </c>
      <c r="N105" s="15" t="str">
        <f t="shared" si="7"/>
        <v>12:21 PM</v>
      </c>
      <c r="O105" s="9" t="s">
        <v>9</v>
      </c>
      <c r="P105" s="20">
        <f t="shared" si="9"/>
        <v>22.5</v>
      </c>
    </row>
    <row r="106" spans="1:16" x14ac:dyDescent="0.25">
      <c r="A106" s="9">
        <v>16253</v>
      </c>
      <c r="B106" s="9">
        <v>22208</v>
      </c>
      <c r="C106" s="9" t="s">
        <v>151</v>
      </c>
      <c r="D106" s="17">
        <f t="shared" si="8"/>
        <v>36</v>
      </c>
      <c r="E106" s="10">
        <f t="shared" si="5"/>
        <v>36</v>
      </c>
      <c r="F106" s="11">
        <v>36</v>
      </c>
      <c r="G106" s="9">
        <v>525577</v>
      </c>
      <c r="H106" s="13">
        <v>40457.445138888892</v>
      </c>
      <c r="I106" s="14">
        <v>1.65</v>
      </c>
      <c r="J106" s="23">
        <f t="shared" si="6"/>
        <v>1.65</v>
      </c>
      <c r="K106" s="12">
        <v>40457</v>
      </c>
      <c r="L106" s="24">
        <v>0.44513888888888886</v>
      </c>
      <c r="M106" t="s">
        <v>1014</v>
      </c>
      <c r="N106" s="15" t="str">
        <f t="shared" si="7"/>
        <v>10:41 AM</v>
      </c>
      <c r="O106" s="9" t="s">
        <v>9</v>
      </c>
      <c r="P106" s="20">
        <f t="shared" si="9"/>
        <v>59.4</v>
      </c>
    </row>
    <row r="107" spans="1:16" x14ac:dyDescent="0.25">
      <c r="A107" s="9">
        <v>17364</v>
      </c>
      <c r="B107" s="9">
        <v>22141</v>
      </c>
      <c r="C107" s="9" t="s">
        <v>152</v>
      </c>
      <c r="D107" s="17">
        <f t="shared" si="8"/>
        <v>1</v>
      </c>
      <c r="E107" s="10">
        <f t="shared" si="5"/>
        <v>1</v>
      </c>
      <c r="F107" s="11">
        <v>1</v>
      </c>
      <c r="G107" s="9">
        <v>533064</v>
      </c>
      <c r="H107" s="13">
        <v>40497.709027777782</v>
      </c>
      <c r="I107" s="14">
        <v>2.1</v>
      </c>
      <c r="J107" s="23">
        <f t="shared" si="6"/>
        <v>2.1</v>
      </c>
      <c r="K107" s="12">
        <v>40497</v>
      </c>
      <c r="L107" s="24">
        <v>0.20902777777777778</v>
      </c>
      <c r="M107" t="s">
        <v>1013</v>
      </c>
      <c r="N107" s="15" t="str">
        <f t="shared" si="7"/>
        <v>5:01 PM</v>
      </c>
      <c r="O107" s="9" t="s">
        <v>9</v>
      </c>
      <c r="P107" s="20">
        <f t="shared" si="9"/>
        <v>2.1</v>
      </c>
    </row>
    <row r="108" spans="1:16" x14ac:dyDescent="0.25">
      <c r="A108" s="9">
        <v>16830</v>
      </c>
      <c r="B108" s="9" t="s">
        <v>153</v>
      </c>
      <c r="C108" s="9" t="s">
        <v>154</v>
      </c>
      <c r="D108" s="17">
        <f t="shared" si="8"/>
        <v>6</v>
      </c>
      <c r="E108" s="10">
        <f t="shared" si="5"/>
        <v>6</v>
      </c>
      <c r="F108" s="11">
        <v>6</v>
      </c>
      <c r="G108" s="9">
        <v>523648</v>
      </c>
      <c r="H108" s="13">
        <v>40444.525694444441</v>
      </c>
      <c r="I108" s="14">
        <v>2.95</v>
      </c>
      <c r="J108" s="23">
        <f t="shared" si="6"/>
        <v>2.95</v>
      </c>
      <c r="K108" s="12">
        <v>40444</v>
      </c>
      <c r="L108" s="24">
        <v>0.52569444444444446</v>
      </c>
      <c r="M108" t="s">
        <v>1013</v>
      </c>
      <c r="N108" s="15" t="str">
        <f t="shared" si="7"/>
        <v>12:37 PM</v>
      </c>
      <c r="O108" s="9" t="s">
        <v>9</v>
      </c>
      <c r="P108" s="20">
        <f t="shared" si="9"/>
        <v>17.700000000000003</v>
      </c>
    </row>
    <row r="109" spans="1:16" x14ac:dyDescent="0.25">
      <c r="A109" s="9">
        <v>14769</v>
      </c>
      <c r="B109" s="9">
        <v>22948</v>
      </c>
      <c r="C109" s="9" t="s">
        <v>155</v>
      </c>
      <c r="D109" s="17">
        <f t="shared" si="8"/>
        <v>24</v>
      </c>
      <c r="E109" s="10">
        <f t="shared" si="5"/>
        <v>24</v>
      </c>
      <c r="F109" s="11">
        <v>24</v>
      </c>
      <c r="G109" s="9">
        <v>525974</v>
      </c>
      <c r="H109" s="13">
        <v>40459.432638888888</v>
      </c>
      <c r="I109" s="14">
        <v>0.85</v>
      </c>
      <c r="J109" s="23">
        <f t="shared" si="6"/>
        <v>0.85</v>
      </c>
      <c r="K109" s="12">
        <v>40459</v>
      </c>
      <c r="L109" s="24">
        <v>0.43263888888888891</v>
      </c>
      <c r="M109" t="s">
        <v>1014</v>
      </c>
      <c r="N109" s="15" t="str">
        <f t="shared" si="7"/>
        <v>10:23 AM</v>
      </c>
      <c r="O109" s="9" t="s">
        <v>9</v>
      </c>
      <c r="P109" s="20">
        <f t="shared" si="9"/>
        <v>20.399999999999999</v>
      </c>
    </row>
    <row r="110" spans="1:16" x14ac:dyDescent="0.25">
      <c r="A110" s="9">
        <v>17269</v>
      </c>
      <c r="B110" s="9">
        <v>20961</v>
      </c>
      <c r="C110" s="9" t="s">
        <v>156</v>
      </c>
      <c r="D110" s="17">
        <f t="shared" si="8"/>
        <v>1</v>
      </c>
      <c r="E110" s="10">
        <f t="shared" si="5"/>
        <v>1</v>
      </c>
      <c r="F110" s="11">
        <v>1</v>
      </c>
      <c r="G110" s="9">
        <v>533841</v>
      </c>
      <c r="H110" s="13">
        <v>40501.466666666667</v>
      </c>
      <c r="I110" s="14">
        <v>1.25</v>
      </c>
      <c r="J110" s="23">
        <f t="shared" si="6"/>
        <v>1.25</v>
      </c>
      <c r="K110" s="12">
        <v>40501</v>
      </c>
      <c r="L110" s="24">
        <v>0.46666666666666667</v>
      </c>
      <c r="M110" t="s">
        <v>1014</v>
      </c>
      <c r="N110" s="15" t="str">
        <f t="shared" si="7"/>
        <v>11:12 AM</v>
      </c>
      <c r="O110" s="9" t="s">
        <v>9</v>
      </c>
      <c r="P110" s="20">
        <f t="shared" si="9"/>
        <v>1.25</v>
      </c>
    </row>
    <row r="111" spans="1:16" x14ac:dyDescent="0.25">
      <c r="A111" s="9">
        <v>16558</v>
      </c>
      <c r="B111" s="9">
        <v>22909</v>
      </c>
      <c r="C111" s="9" t="s">
        <v>157</v>
      </c>
      <c r="D111" s="17">
        <f t="shared" si="8"/>
        <v>12</v>
      </c>
      <c r="E111" s="10">
        <f t="shared" si="5"/>
        <v>12</v>
      </c>
      <c r="F111" s="11">
        <v>12</v>
      </c>
      <c r="G111" s="9">
        <v>537762</v>
      </c>
      <c r="H111" s="13">
        <v>40520.500694444447</v>
      </c>
      <c r="I111" s="14">
        <v>0.85</v>
      </c>
      <c r="J111" s="23">
        <f t="shared" si="6"/>
        <v>0.85</v>
      </c>
      <c r="K111" s="12">
        <v>40520</v>
      </c>
      <c r="L111" s="24">
        <v>0.50069444444444444</v>
      </c>
      <c r="M111" t="s">
        <v>1013</v>
      </c>
      <c r="N111" s="15" t="str">
        <f t="shared" si="7"/>
        <v>12:01 PM</v>
      </c>
      <c r="O111" s="9" t="s">
        <v>9</v>
      </c>
      <c r="P111" s="20">
        <f t="shared" si="9"/>
        <v>10.199999999999999</v>
      </c>
    </row>
    <row r="112" spans="1:16" x14ac:dyDescent="0.25">
      <c r="A112" s="9">
        <v>16072</v>
      </c>
      <c r="B112" s="9">
        <v>35924</v>
      </c>
      <c r="C112" s="9" t="s">
        <v>158</v>
      </c>
      <c r="D112" s="17">
        <f t="shared" si="8"/>
        <v>1</v>
      </c>
      <c r="E112" s="10">
        <f t="shared" si="5"/>
        <v>1</v>
      </c>
      <c r="F112" s="11">
        <v>1</v>
      </c>
      <c r="G112" s="9">
        <v>525898</v>
      </c>
      <c r="H112" s="13">
        <v>40458.647916666669</v>
      </c>
      <c r="I112" s="14">
        <v>2.1</v>
      </c>
      <c r="J112" s="23">
        <f t="shared" si="6"/>
        <v>2.1</v>
      </c>
      <c r="K112" s="12">
        <v>40458</v>
      </c>
      <c r="L112" s="24">
        <v>0.14791666666666667</v>
      </c>
      <c r="M112" t="s">
        <v>1013</v>
      </c>
      <c r="N112" s="15" t="str">
        <f t="shared" si="7"/>
        <v>3:33 PM</v>
      </c>
      <c r="O112" s="9" t="s">
        <v>9</v>
      </c>
      <c r="P112" s="20">
        <f t="shared" si="9"/>
        <v>2.1</v>
      </c>
    </row>
    <row r="113" spans="1:16" x14ac:dyDescent="0.25">
      <c r="A113" s="9">
        <v>12455</v>
      </c>
      <c r="B113" s="9">
        <v>47568</v>
      </c>
      <c r="C113" s="9" t="s">
        <v>159</v>
      </c>
      <c r="D113" s="17">
        <f t="shared" si="8"/>
        <v>6</v>
      </c>
      <c r="E113" s="10">
        <f t="shared" si="5"/>
        <v>6</v>
      </c>
      <c r="F113" s="11">
        <v>6</v>
      </c>
      <c r="G113" s="9">
        <v>507880</v>
      </c>
      <c r="H113" s="13">
        <v>40309.627083333333</v>
      </c>
      <c r="I113" s="14">
        <v>2.1</v>
      </c>
      <c r="J113" s="23">
        <f t="shared" si="6"/>
        <v>2.1</v>
      </c>
      <c r="K113" s="12">
        <v>40309</v>
      </c>
      <c r="L113" s="24">
        <v>0.12708333333333333</v>
      </c>
      <c r="M113" t="s">
        <v>1013</v>
      </c>
      <c r="N113" s="15" t="str">
        <f t="shared" si="7"/>
        <v>3:03 PM</v>
      </c>
      <c r="O113" s="9" t="s">
        <v>160</v>
      </c>
      <c r="P113" s="20">
        <f t="shared" si="9"/>
        <v>12.600000000000001</v>
      </c>
    </row>
    <row r="114" spans="1:16" x14ac:dyDescent="0.25">
      <c r="A114" s="9">
        <v>12567</v>
      </c>
      <c r="B114" s="9" t="s">
        <v>141</v>
      </c>
      <c r="C114" s="9" t="s">
        <v>161</v>
      </c>
      <c r="D114" s="17">
        <f t="shared" si="8"/>
        <v>6</v>
      </c>
      <c r="E114" s="10">
        <f t="shared" si="5"/>
        <v>6</v>
      </c>
      <c r="F114" s="11">
        <v>6</v>
      </c>
      <c r="G114" s="9">
        <v>537065</v>
      </c>
      <c r="H114" s="13">
        <v>40517.497916666667</v>
      </c>
      <c r="I114" s="14">
        <v>3.75</v>
      </c>
      <c r="J114" s="23">
        <f t="shared" si="6"/>
        <v>3.75</v>
      </c>
      <c r="K114" s="12">
        <v>40517</v>
      </c>
      <c r="L114" s="24">
        <v>0.49791666666666667</v>
      </c>
      <c r="M114" t="s">
        <v>1014</v>
      </c>
      <c r="N114" s="15" t="str">
        <f t="shared" si="7"/>
        <v>11:57 AM</v>
      </c>
      <c r="O114" s="9" t="s">
        <v>28</v>
      </c>
      <c r="P114" s="20">
        <f t="shared" si="9"/>
        <v>22.5</v>
      </c>
    </row>
    <row r="115" spans="1:16" x14ac:dyDescent="0.25">
      <c r="A115" s="9">
        <v>13089</v>
      </c>
      <c r="B115" s="9">
        <v>22440</v>
      </c>
      <c r="C115" s="9" t="s">
        <v>162</v>
      </c>
      <c r="D115" s="17">
        <f t="shared" si="8"/>
        <v>20</v>
      </c>
      <c r="E115" s="10">
        <f t="shared" si="5"/>
        <v>20</v>
      </c>
      <c r="F115" s="11">
        <v>20</v>
      </c>
      <c r="G115" s="9">
        <v>504413</v>
      </c>
      <c r="H115" s="13">
        <v>40281.518750000003</v>
      </c>
      <c r="I115" s="14">
        <v>0.42</v>
      </c>
      <c r="J115" s="23">
        <f t="shared" si="6"/>
        <v>0.42</v>
      </c>
      <c r="K115" s="12">
        <v>40281</v>
      </c>
      <c r="L115" s="24">
        <v>0.51875000000000004</v>
      </c>
      <c r="M115" t="s">
        <v>1013</v>
      </c>
      <c r="N115" s="15" t="str">
        <f t="shared" si="7"/>
        <v>12:27 PM</v>
      </c>
      <c r="O115" s="9" t="s">
        <v>9</v>
      </c>
      <c r="P115" s="20">
        <f t="shared" si="9"/>
        <v>8.4</v>
      </c>
    </row>
    <row r="116" spans="1:16" x14ac:dyDescent="0.25">
      <c r="A116" s="9">
        <v>15061</v>
      </c>
      <c r="B116" s="9">
        <v>20825</v>
      </c>
      <c r="C116" s="9" t="s">
        <v>163</v>
      </c>
      <c r="D116" s="17">
        <f t="shared" si="8"/>
        <v>288</v>
      </c>
      <c r="E116" s="10">
        <f t="shared" si="5"/>
        <v>288</v>
      </c>
      <c r="F116" s="11">
        <v>288</v>
      </c>
      <c r="G116" s="9">
        <v>525286</v>
      </c>
      <c r="H116" s="13">
        <v>40456.356944444437</v>
      </c>
      <c r="I116" s="14">
        <v>3.39</v>
      </c>
      <c r="J116" s="23">
        <f t="shared" si="6"/>
        <v>3.39</v>
      </c>
      <c r="K116" s="12">
        <v>40456</v>
      </c>
      <c r="L116" s="24">
        <v>0.35694444444444445</v>
      </c>
      <c r="M116" t="s">
        <v>1014</v>
      </c>
      <c r="N116" s="15" t="str">
        <f t="shared" si="7"/>
        <v>8:34 AM</v>
      </c>
      <c r="O116" s="9" t="s">
        <v>9</v>
      </c>
      <c r="P116" s="20">
        <f t="shared" si="9"/>
        <v>976.32</v>
      </c>
    </row>
    <row r="117" spans="1:16" x14ac:dyDescent="0.25">
      <c r="A117" s="9">
        <v>14128</v>
      </c>
      <c r="B117" s="9">
        <v>22470</v>
      </c>
      <c r="C117" s="9" t="s">
        <v>164</v>
      </c>
      <c r="D117" s="17">
        <f t="shared" si="8"/>
        <v>6</v>
      </c>
      <c r="E117" s="10">
        <f t="shared" si="5"/>
        <v>6</v>
      </c>
      <c r="F117" s="11">
        <v>6</v>
      </c>
      <c r="G117" s="9">
        <v>511081</v>
      </c>
      <c r="H117" s="13">
        <v>40335.586805555547</v>
      </c>
      <c r="I117" s="14">
        <v>2.95</v>
      </c>
      <c r="J117" s="23">
        <f t="shared" si="6"/>
        <v>2.95</v>
      </c>
      <c r="K117" s="12">
        <v>40335</v>
      </c>
      <c r="L117" s="24">
        <v>8.6805555555555552E-2</v>
      </c>
      <c r="M117" t="s">
        <v>1013</v>
      </c>
      <c r="N117" s="15" t="str">
        <f t="shared" si="7"/>
        <v>2:05 PM</v>
      </c>
      <c r="O117" s="9" t="s">
        <v>9</v>
      </c>
      <c r="P117" s="20">
        <f t="shared" si="9"/>
        <v>17.700000000000003</v>
      </c>
    </row>
    <row r="118" spans="1:16" x14ac:dyDescent="0.25">
      <c r="A118" s="9">
        <v>15823</v>
      </c>
      <c r="B118" s="9">
        <v>22134</v>
      </c>
      <c r="C118" s="9" t="s">
        <v>165</v>
      </c>
      <c r="D118" s="17">
        <f t="shared" si="8"/>
        <v>12</v>
      </c>
      <c r="E118" s="10">
        <f t="shared" si="5"/>
        <v>12</v>
      </c>
      <c r="F118" s="11">
        <v>12</v>
      </c>
      <c r="G118" s="9">
        <v>490957</v>
      </c>
      <c r="H118" s="13">
        <v>40155.633333333331</v>
      </c>
      <c r="I118" s="14">
        <v>0.42</v>
      </c>
      <c r="J118" s="23">
        <f t="shared" si="6"/>
        <v>0.42</v>
      </c>
      <c r="K118" s="12">
        <v>40155</v>
      </c>
      <c r="L118" s="24">
        <v>0.13333333333333333</v>
      </c>
      <c r="M118" t="s">
        <v>1013</v>
      </c>
      <c r="N118" s="15" t="str">
        <f t="shared" si="7"/>
        <v>3:12 PM</v>
      </c>
      <c r="O118" s="9" t="s">
        <v>9</v>
      </c>
      <c r="P118" s="20">
        <f t="shared" si="9"/>
        <v>5.04</v>
      </c>
    </row>
    <row r="119" spans="1:16" x14ac:dyDescent="0.25">
      <c r="A119" s="9">
        <v>17589</v>
      </c>
      <c r="B119" s="9">
        <v>21327</v>
      </c>
      <c r="C119" s="9" t="s">
        <v>166</v>
      </c>
      <c r="D119" s="17">
        <f t="shared" si="8"/>
        <v>2</v>
      </c>
      <c r="E119" s="10">
        <f t="shared" si="5"/>
        <v>2</v>
      </c>
      <c r="F119" s="11">
        <v>2</v>
      </c>
      <c r="G119" s="9">
        <v>500336</v>
      </c>
      <c r="H119" s="13">
        <v>40244.574999999997</v>
      </c>
      <c r="I119" s="14">
        <v>1.65</v>
      </c>
      <c r="J119" s="23">
        <f t="shared" si="6"/>
        <v>1.65</v>
      </c>
      <c r="K119" s="12">
        <v>40244</v>
      </c>
      <c r="L119" s="24">
        <v>7.4999999999999997E-2</v>
      </c>
      <c r="M119" t="s">
        <v>1013</v>
      </c>
      <c r="N119" s="15" t="str">
        <f t="shared" si="7"/>
        <v>1:48 PM</v>
      </c>
      <c r="O119" s="9" t="s">
        <v>9</v>
      </c>
      <c r="P119" s="20">
        <f t="shared" si="9"/>
        <v>3.3</v>
      </c>
    </row>
    <row r="120" spans="1:16" x14ac:dyDescent="0.25">
      <c r="A120" s="9">
        <v>16392</v>
      </c>
      <c r="B120" s="9">
        <v>22947</v>
      </c>
      <c r="C120" s="9" t="s">
        <v>167</v>
      </c>
      <c r="D120" s="17">
        <f t="shared" si="8"/>
        <v>1</v>
      </c>
      <c r="E120" s="10">
        <f t="shared" si="5"/>
        <v>1</v>
      </c>
      <c r="F120" s="11">
        <v>1</v>
      </c>
      <c r="G120" s="9">
        <v>528470</v>
      </c>
      <c r="H120" s="13">
        <v>40473.486111111109</v>
      </c>
      <c r="I120" s="14">
        <v>16.95</v>
      </c>
      <c r="J120" s="23">
        <f t="shared" si="6"/>
        <v>16.95</v>
      </c>
      <c r="K120" s="12">
        <v>40473</v>
      </c>
      <c r="L120" s="24">
        <v>0.4861111111111111</v>
      </c>
      <c r="M120" t="s">
        <v>1014</v>
      </c>
      <c r="N120" s="15" t="str">
        <f t="shared" si="7"/>
        <v>11:40 AM</v>
      </c>
      <c r="O120" s="9" t="s">
        <v>9</v>
      </c>
      <c r="P120" s="20">
        <f t="shared" si="9"/>
        <v>16.95</v>
      </c>
    </row>
    <row r="121" spans="1:16" x14ac:dyDescent="0.25">
      <c r="A121" s="9">
        <v>13093</v>
      </c>
      <c r="B121" s="9">
        <v>22379</v>
      </c>
      <c r="C121" s="9" t="s">
        <v>168</v>
      </c>
      <c r="D121" s="17">
        <f t="shared" si="8"/>
        <v>25</v>
      </c>
      <c r="E121" s="10">
        <f t="shared" si="5"/>
        <v>25</v>
      </c>
      <c r="F121" s="11">
        <v>25</v>
      </c>
      <c r="G121" s="9">
        <v>521406</v>
      </c>
      <c r="H121" s="13">
        <v>40427.445833333331</v>
      </c>
      <c r="I121" s="14">
        <v>2.1</v>
      </c>
      <c r="J121" s="23">
        <f t="shared" si="6"/>
        <v>2.1</v>
      </c>
      <c r="K121" s="12">
        <v>40427</v>
      </c>
      <c r="L121" s="24">
        <v>0.44583333333333336</v>
      </c>
      <c r="M121" t="s">
        <v>1014</v>
      </c>
      <c r="N121" s="15" t="str">
        <f t="shared" si="7"/>
        <v>10:42 AM</v>
      </c>
      <c r="O121" s="9" t="s">
        <v>9</v>
      </c>
      <c r="P121" s="20">
        <f t="shared" si="9"/>
        <v>52.5</v>
      </c>
    </row>
    <row r="122" spans="1:16" x14ac:dyDescent="0.25">
      <c r="A122" s="9">
        <v>18102</v>
      </c>
      <c r="B122" s="9">
        <v>22764</v>
      </c>
      <c r="C122" s="9" t="s">
        <v>169</v>
      </c>
      <c r="D122" s="17">
        <f t="shared" si="8"/>
        <v>34</v>
      </c>
      <c r="E122" s="10">
        <f t="shared" si="5"/>
        <v>34</v>
      </c>
      <c r="F122" s="11">
        <v>34</v>
      </c>
      <c r="G122" s="9">
        <v>526945</v>
      </c>
      <c r="H122" s="13">
        <v>40465.4375</v>
      </c>
      <c r="I122" s="14">
        <v>16.88</v>
      </c>
      <c r="J122" s="23">
        <f t="shared" si="6"/>
        <v>16.88</v>
      </c>
      <c r="K122" s="12">
        <v>40465</v>
      </c>
      <c r="L122" s="24">
        <v>0.4375</v>
      </c>
      <c r="M122" t="s">
        <v>1014</v>
      </c>
      <c r="N122" s="15" t="str">
        <f t="shared" si="7"/>
        <v>10:30 AM</v>
      </c>
      <c r="O122" s="9" t="s">
        <v>9</v>
      </c>
      <c r="P122" s="20">
        <f t="shared" si="9"/>
        <v>573.91999999999996</v>
      </c>
    </row>
    <row r="123" spans="1:16" x14ac:dyDescent="0.25">
      <c r="A123" s="9">
        <v>14535</v>
      </c>
      <c r="B123" s="9">
        <v>22082</v>
      </c>
      <c r="C123" s="9" t="s">
        <v>170</v>
      </c>
      <c r="D123" s="17">
        <f t="shared" si="8"/>
        <v>5</v>
      </c>
      <c r="E123" s="10">
        <f t="shared" si="5"/>
        <v>5</v>
      </c>
      <c r="F123" s="11">
        <v>5</v>
      </c>
      <c r="G123" s="9">
        <v>502613</v>
      </c>
      <c r="H123" s="13">
        <v>40262.598611111112</v>
      </c>
      <c r="I123" s="14">
        <v>1.65</v>
      </c>
      <c r="J123" s="23">
        <f t="shared" si="6"/>
        <v>1.65</v>
      </c>
      <c r="K123" s="12">
        <v>40262</v>
      </c>
      <c r="L123" s="24">
        <v>9.8611111111111108E-2</v>
      </c>
      <c r="M123" t="s">
        <v>1013</v>
      </c>
      <c r="N123" s="15" t="str">
        <f t="shared" si="7"/>
        <v>2:22 PM</v>
      </c>
      <c r="O123" s="9" t="s">
        <v>9</v>
      </c>
      <c r="P123" s="20">
        <f t="shared" si="9"/>
        <v>8.25</v>
      </c>
    </row>
    <row r="124" spans="1:16" x14ac:dyDescent="0.25">
      <c r="A124" s="9">
        <v>16797</v>
      </c>
      <c r="B124" s="9" t="s">
        <v>171</v>
      </c>
      <c r="C124" s="9" t="s">
        <v>172</v>
      </c>
      <c r="D124" s="17">
        <f t="shared" si="8"/>
        <v>1</v>
      </c>
      <c r="E124" s="10">
        <f t="shared" si="5"/>
        <v>1</v>
      </c>
      <c r="F124" s="11">
        <v>1</v>
      </c>
      <c r="G124" s="9">
        <v>498594</v>
      </c>
      <c r="H124" s="13">
        <v>40230.658333333333</v>
      </c>
      <c r="I124" s="14">
        <v>1.95</v>
      </c>
      <c r="J124" s="23">
        <f t="shared" si="6"/>
        <v>1.95</v>
      </c>
      <c r="K124" s="12">
        <v>40230</v>
      </c>
      <c r="L124" s="24">
        <v>0.15833333333333333</v>
      </c>
      <c r="M124" t="s">
        <v>1013</v>
      </c>
      <c r="N124" s="15" t="str">
        <f t="shared" si="7"/>
        <v>3:48 PM</v>
      </c>
      <c r="O124" s="9" t="s">
        <v>9</v>
      </c>
      <c r="P124" s="20">
        <f t="shared" si="9"/>
        <v>1.95</v>
      </c>
    </row>
    <row r="125" spans="1:16" x14ac:dyDescent="0.25">
      <c r="A125" s="9">
        <v>17435</v>
      </c>
      <c r="B125" s="9">
        <v>22303</v>
      </c>
      <c r="C125" s="9" t="s">
        <v>173</v>
      </c>
      <c r="D125" s="17">
        <f t="shared" si="8"/>
        <v>6</v>
      </c>
      <c r="E125" s="10">
        <f t="shared" si="5"/>
        <v>6</v>
      </c>
      <c r="F125" s="11">
        <v>6</v>
      </c>
      <c r="G125" s="9">
        <v>528734</v>
      </c>
      <c r="H125" s="13">
        <v>40475.579861111109</v>
      </c>
      <c r="I125" s="14">
        <v>2.5499999999999998</v>
      </c>
      <c r="J125" s="23">
        <f t="shared" si="6"/>
        <v>2.5499999999999998</v>
      </c>
      <c r="K125" s="12">
        <v>40475</v>
      </c>
      <c r="L125" s="24">
        <v>7.9861111111111105E-2</v>
      </c>
      <c r="M125" t="s">
        <v>1013</v>
      </c>
      <c r="N125" s="15" t="str">
        <f t="shared" si="7"/>
        <v>1:55 PM</v>
      </c>
      <c r="O125" s="9" t="s">
        <v>9</v>
      </c>
      <c r="P125" s="20">
        <f t="shared" si="9"/>
        <v>15.299999999999999</v>
      </c>
    </row>
    <row r="126" spans="1:16" x14ac:dyDescent="0.25">
      <c r="A126" s="9">
        <v>12720</v>
      </c>
      <c r="B126" s="9">
        <v>22617</v>
      </c>
      <c r="C126" s="9" t="s">
        <v>174</v>
      </c>
      <c r="D126" s="17">
        <f t="shared" si="8"/>
        <v>3</v>
      </c>
      <c r="E126" s="10">
        <f t="shared" si="5"/>
        <v>3</v>
      </c>
      <c r="F126" s="11">
        <v>3</v>
      </c>
      <c r="G126" s="9">
        <v>516485</v>
      </c>
      <c r="H126" s="13">
        <v>40380.406944444447</v>
      </c>
      <c r="I126" s="14">
        <v>4.95</v>
      </c>
      <c r="J126" s="23">
        <f t="shared" si="6"/>
        <v>4.95</v>
      </c>
      <c r="K126" s="12">
        <v>40380</v>
      </c>
      <c r="L126" s="24">
        <v>0.40694444444444444</v>
      </c>
      <c r="M126" t="s">
        <v>1014</v>
      </c>
      <c r="N126" s="15" t="str">
        <f t="shared" si="7"/>
        <v>9:46 AM</v>
      </c>
      <c r="O126" s="9" t="s">
        <v>17</v>
      </c>
      <c r="P126" s="20">
        <f t="shared" si="9"/>
        <v>14.850000000000001</v>
      </c>
    </row>
    <row r="127" spans="1:16" x14ac:dyDescent="0.25">
      <c r="A127" s="9">
        <v>14159</v>
      </c>
      <c r="B127" s="9">
        <v>22975</v>
      </c>
      <c r="C127" s="9" t="s">
        <v>175</v>
      </c>
      <c r="D127" s="17">
        <f t="shared" si="8"/>
        <v>1</v>
      </c>
      <c r="E127" s="10">
        <f t="shared" si="5"/>
        <v>1</v>
      </c>
      <c r="F127" s="11">
        <v>1</v>
      </c>
      <c r="G127" s="9">
        <v>535266</v>
      </c>
      <c r="H127" s="13">
        <v>40507.563888888893</v>
      </c>
      <c r="I127" s="14">
        <v>1.25</v>
      </c>
      <c r="J127" s="23">
        <f t="shared" si="6"/>
        <v>1.25</v>
      </c>
      <c r="K127" s="12">
        <v>40507</v>
      </c>
      <c r="L127" s="24">
        <v>6.3888888888888884E-2</v>
      </c>
      <c r="M127" t="s">
        <v>1013</v>
      </c>
      <c r="N127" s="15" t="str">
        <f t="shared" si="7"/>
        <v>1:32 PM</v>
      </c>
      <c r="O127" s="9" t="s">
        <v>9</v>
      </c>
      <c r="P127" s="20">
        <f t="shared" si="9"/>
        <v>1.25</v>
      </c>
    </row>
    <row r="128" spans="1:16" x14ac:dyDescent="0.25">
      <c r="A128" s="9">
        <v>15191</v>
      </c>
      <c r="B128" s="9" t="s">
        <v>176</v>
      </c>
      <c r="C128" s="9" t="s">
        <v>177</v>
      </c>
      <c r="D128" s="17">
        <f t="shared" si="8"/>
        <v>2</v>
      </c>
      <c r="E128" s="10">
        <f t="shared" si="5"/>
        <v>2</v>
      </c>
      <c r="F128" s="11">
        <v>2</v>
      </c>
      <c r="G128" s="9">
        <v>495010</v>
      </c>
      <c r="H128" s="13">
        <v>40198.524305555547</v>
      </c>
      <c r="I128" s="14">
        <v>7.95</v>
      </c>
      <c r="J128" s="23">
        <f t="shared" si="6"/>
        <v>7.95</v>
      </c>
      <c r="K128" s="12">
        <v>40198</v>
      </c>
      <c r="L128" s="24">
        <v>0.52430555555555558</v>
      </c>
      <c r="M128" t="s">
        <v>1013</v>
      </c>
      <c r="N128" s="15" t="str">
        <f t="shared" si="7"/>
        <v>12:35 PM</v>
      </c>
      <c r="O128" s="9" t="s">
        <v>9</v>
      </c>
      <c r="P128" s="20">
        <f t="shared" si="9"/>
        <v>15.9</v>
      </c>
    </row>
    <row r="129" spans="1:16" x14ac:dyDescent="0.25">
      <c r="A129" s="9">
        <v>17841</v>
      </c>
      <c r="B129" s="9">
        <v>22111</v>
      </c>
      <c r="C129" s="9" t="s">
        <v>178</v>
      </c>
      <c r="D129" s="17">
        <f t="shared" si="8"/>
        <v>7</v>
      </c>
      <c r="E129" s="10">
        <f t="shared" si="5"/>
        <v>7</v>
      </c>
      <c r="F129" s="11">
        <v>7</v>
      </c>
      <c r="G129" s="9">
        <v>536557</v>
      </c>
      <c r="H129" s="13">
        <v>40513.611805555563</v>
      </c>
      <c r="I129" s="14">
        <v>4.95</v>
      </c>
      <c r="J129" s="23">
        <f t="shared" si="6"/>
        <v>4.95</v>
      </c>
      <c r="K129" s="12">
        <v>40513</v>
      </c>
      <c r="L129" s="24">
        <v>0.11180555555555556</v>
      </c>
      <c r="M129" t="s">
        <v>1013</v>
      </c>
      <c r="N129" s="15" t="str">
        <f t="shared" si="7"/>
        <v>2:41 PM</v>
      </c>
      <c r="O129" s="9" t="s">
        <v>9</v>
      </c>
      <c r="P129" s="20">
        <f t="shared" si="9"/>
        <v>34.65</v>
      </c>
    </row>
    <row r="130" spans="1:16" x14ac:dyDescent="0.25">
      <c r="A130" s="9">
        <v>14177</v>
      </c>
      <c r="B130" s="9">
        <v>20621</v>
      </c>
      <c r="C130" s="9" t="s">
        <v>179</v>
      </c>
      <c r="D130" s="17">
        <f t="shared" si="8"/>
        <v>1</v>
      </c>
      <c r="E130" s="10">
        <f t="shared" ref="E130:E193" si="10">VALUE(F130)</f>
        <v>1</v>
      </c>
      <c r="F130" s="11">
        <v>1</v>
      </c>
      <c r="G130" s="9">
        <v>499377</v>
      </c>
      <c r="H130" s="13">
        <v>40235.499305555553</v>
      </c>
      <c r="I130" s="14">
        <v>2.1</v>
      </c>
      <c r="J130" s="23">
        <f t="shared" ref="J130:J193" si="11">VALUE(I130)</f>
        <v>2.1</v>
      </c>
      <c r="K130" s="12">
        <v>40235</v>
      </c>
      <c r="L130" s="24">
        <v>0.49930555555555556</v>
      </c>
      <c r="M130" t="s">
        <v>1014</v>
      </c>
      <c r="N130" s="15" t="str">
        <f t="shared" ref="N130:N193" si="12">TEXT(L130,"h:mm")&amp;" "&amp;M130</f>
        <v>11:59 AM</v>
      </c>
      <c r="O130" s="9" t="s">
        <v>9</v>
      </c>
      <c r="P130" s="20">
        <f t="shared" si="9"/>
        <v>2.1</v>
      </c>
    </row>
    <row r="131" spans="1:16" x14ac:dyDescent="0.25">
      <c r="A131" s="9">
        <v>13174</v>
      </c>
      <c r="B131" s="9">
        <v>21872</v>
      </c>
      <c r="C131" s="9" t="s">
        <v>180</v>
      </c>
      <c r="D131" s="17">
        <f t="shared" ref="D131:D194" si="13">ABS(E131)</f>
        <v>1</v>
      </c>
      <c r="E131" s="10">
        <f t="shared" si="10"/>
        <v>1</v>
      </c>
      <c r="F131" s="11">
        <v>1</v>
      </c>
      <c r="G131" s="9">
        <v>523867</v>
      </c>
      <c r="H131" s="13">
        <v>40445.529861111107</v>
      </c>
      <c r="I131" s="14">
        <v>1.25</v>
      </c>
      <c r="J131" s="23">
        <f t="shared" si="11"/>
        <v>1.25</v>
      </c>
      <c r="K131" s="12">
        <v>40445</v>
      </c>
      <c r="L131" s="24">
        <v>0.52986111111111112</v>
      </c>
      <c r="M131" t="s">
        <v>1013</v>
      </c>
      <c r="N131" s="15" t="str">
        <f t="shared" si="12"/>
        <v>12:43 PM</v>
      </c>
      <c r="O131" s="9" t="s">
        <v>9</v>
      </c>
      <c r="P131" s="20">
        <f t="shared" ref="P131:P194" si="14">PRODUCT(D131,(J131))</f>
        <v>1.25</v>
      </c>
    </row>
    <row r="132" spans="1:16" x14ac:dyDescent="0.25">
      <c r="A132" s="9">
        <v>17448</v>
      </c>
      <c r="B132" s="9">
        <v>22421</v>
      </c>
      <c r="C132" s="9" t="s">
        <v>181</v>
      </c>
      <c r="D132" s="17">
        <f t="shared" si="13"/>
        <v>12</v>
      </c>
      <c r="E132" s="10">
        <f t="shared" si="10"/>
        <v>12</v>
      </c>
      <c r="F132" s="11">
        <v>12</v>
      </c>
      <c r="G132" s="9">
        <v>512527</v>
      </c>
      <c r="H132" s="13">
        <v>40345.495138888888</v>
      </c>
      <c r="I132" s="14">
        <v>0.42</v>
      </c>
      <c r="J132" s="23">
        <f t="shared" si="11"/>
        <v>0.42</v>
      </c>
      <c r="K132" s="12">
        <v>40345</v>
      </c>
      <c r="L132" s="24">
        <v>0.49513888888888891</v>
      </c>
      <c r="M132" t="s">
        <v>1014</v>
      </c>
      <c r="N132" s="15" t="str">
        <f t="shared" si="12"/>
        <v>11:53 AM</v>
      </c>
      <c r="O132" s="9" t="s">
        <v>9</v>
      </c>
      <c r="P132" s="20">
        <f t="shared" si="14"/>
        <v>5.04</v>
      </c>
    </row>
    <row r="133" spans="1:16" x14ac:dyDescent="0.25">
      <c r="A133" s="9">
        <v>13081</v>
      </c>
      <c r="B133" s="9">
        <v>22613</v>
      </c>
      <c r="C133" s="9" t="s">
        <v>182</v>
      </c>
      <c r="D133" s="17">
        <f t="shared" si="13"/>
        <v>12</v>
      </c>
      <c r="E133" s="10">
        <f t="shared" si="10"/>
        <v>12</v>
      </c>
      <c r="F133" s="11">
        <v>12</v>
      </c>
      <c r="G133" s="9">
        <v>510331</v>
      </c>
      <c r="H133" s="13">
        <v>40326.581250000003</v>
      </c>
      <c r="I133" s="14">
        <v>0.85</v>
      </c>
      <c r="J133" s="23">
        <f t="shared" si="11"/>
        <v>0.85</v>
      </c>
      <c r="K133" s="12">
        <v>40326</v>
      </c>
      <c r="L133" s="24">
        <v>8.1250000000000003E-2</v>
      </c>
      <c r="M133" t="s">
        <v>1013</v>
      </c>
      <c r="N133" s="15" t="str">
        <f t="shared" si="12"/>
        <v>1:57 PM</v>
      </c>
      <c r="O133" s="9" t="s">
        <v>9</v>
      </c>
      <c r="P133" s="20">
        <f t="shared" si="14"/>
        <v>10.199999999999999</v>
      </c>
    </row>
    <row r="134" spans="1:16" x14ac:dyDescent="0.25">
      <c r="A134" s="9">
        <v>12681</v>
      </c>
      <c r="B134" s="9">
        <v>48138</v>
      </c>
      <c r="C134" s="9" t="s">
        <v>183</v>
      </c>
      <c r="D134" s="17">
        <f t="shared" si="13"/>
        <v>2</v>
      </c>
      <c r="E134" s="10">
        <f t="shared" si="10"/>
        <v>2</v>
      </c>
      <c r="F134" s="11">
        <v>2</v>
      </c>
      <c r="G134" s="9">
        <v>509985</v>
      </c>
      <c r="H134" s="13">
        <v>40324.613194444442</v>
      </c>
      <c r="I134" s="14">
        <v>7.49</v>
      </c>
      <c r="J134" s="23">
        <f t="shared" si="11"/>
        <v>7.49</v>
      </c>
      <c r="K134" s="12">
        <v>40324</v>
      </c>
      <c r="L134" s="24">
        <v>0.11319444444444444</v>
      </c>
      <c r="M134" t="s">
        <v>1013</v>
      </c>
      <c r="N134" s="15" t="str">
        <f t="shared" si="12"/>
        <v>2:43 PM</v>
      </c>
      <c r="O134" s="9" t="s">
        <v>28</v>
      </c>
      <c r="P134" s="20">
        <f t="shared" si="14"/>
        <v>14.98</v>
      </c>
    </row>
    <row r="135" spans="1:16" x14ac:dyDescent="0.25">
      <c r="A135" s="9">
        <v>15255</v>
      </c>
      <c r="B135" s="9">
        <v>22595</v>
      </c>
      <c r="C135" s="9" t="s">
        <v>184</v>
      </c>
      <c r="D135" s="17">
        <f t="shared" si="13"/>
        <v>48</v>
      </c>
      <c r="E135" s="10">
        <f t="shared" si="10"/>
        <v>48</v>
      </c>
      <c r="F135" s="11">
        <v>48</v>
      </c>
      <c r="G135" s="9">
        <v>521363</v>
      </c>
      <c r="H135" s="13">
        <v>40426.42083333333</v>
      </c>
      <c r="I135" s="14">
        <v>0.85</v>
      </c>
      <c r="J135" s="23">
        <f t="shared" si="11"/>
        <v>0.85</v>
      </c>
      <c r="K135" s="12">
        <v>40426</v>
      </c>
      <c r="L135" s="24">
        <v>0.42083333333333334</v>
      </c>
      <c r="M135" t="s">
        <v>1014</v>
      </c>
      <c r="N135" s="15" t="str">
        <f t="shared" si="12"/>
        <v>10:06 AM</v>
      </c>
      <c r="O135" s="9" t="s">
        <v>9</v>
      </c>
      <c r="P135" s="20">
        <f t="shared" si="14"/>
        <v>40.799999999999997</v>
      </c>
    </row>
    <row r="136" spans="1:16" x14ac:dyDescent="0.25">
      <c r="A136" s="9">
        <v>17738</v>
      </c>
      <c r="B136" s="9" t="s">
        <v>185</v>
      </c>
      <c r="C136" s="9" t="s">
        <v>186</v>
      </c>
      <c r="D136" s="17">
        <f t="shared" si="13"/>
        <v>12</v>
      </c>
      <c r="E136" s="10">
        <f t="shared" si="10"/>
        <v>12</v>
      </c>
      <c r="F136" s="11">
        <v>12</v>
      </c>
      <c r="G136" s="9">
        <v>503837</v>
      </c>
      <c r="H136" s="13">
        <v>40275.681250000001</v>
      </c>
      <c r="I136" s="14">
        <v>0.85</v>
      </c>
      <c r="J136" s="23">
        <f t="shared" si="11"/>
        <v>0.85</v>
      </c>
      <c r="K136" s="12">
        <v>40275</v>
      </c>
      <c r="L136" s="24">
        <v>0.18124999999999999</v>
      </c>
      <c r="M136" t="s">
        <v>1013</v>
      </c>
      <c r="N136" s="15" t="str">
        <f t="shared" si="12"/>
        <v>4:21 PM</v>
      </c>
      <c r="O136" s="9" t="s">
        <v>9</v>
      </c>
      <c r="P136" s="20">
        <f t="shared" si="14"/>
        <v>10.199999999999999</v>
      </c>
    </row>
    <row r="137" spans="1:16" x14ac:dyDescent="0.25">
      <c r="A137" s="9">
        <v>12678</v>
      </c>
      <c r="B137" s="9">
        <v>21987</v>
      </c>
      <c r="C137" s="9" t="s">
        <v>187</v>
      </c>
      <c r="D137" s="17">
        <f t="shared" si="13"/>
        <v>84</v>
      </c>
      <c r="E137" s="10">
        <f t="shared" si="10"/>
        <v>84</v>
      </c>
      <c r="F137" s="11">
        <v>84</v>
      </c>
      <c r="G137" s="9">
        <v>507122</v>
      </c>
      <c r="H137" s="13">
        <v>40304.493055555547</v>
      </c>
      <c r="I137" s="14">
        <v>0.65</v>
      </c>
      <c r="J137" s="23">
        <f t="shared" si="11"/>
        <v>0.65</v>
      </c>
      <c r="K137" s="12">
        <v>40304</v>
      </c>
      <c r="L137" s="24">
        <v>0.49305555555555558</v>
      </c>
      <c r="M137" t="s">
        <v>1014</v>
      </c>
      <c r="N137" s="15" t="str">
        <f t="shared" si="12"/>
        <v>11:50 AM</v>
      </c>
      <c r="O137" s="9" t="s">
        <v>28</v>
      </c>
      <c r="P137" s="20">
        <f t="shared" si="14"/>
        <v>54.6</v>
      </c>
    </row>
    <row r="138" spans="1:16" x14ac:dyDescent="0.25">
      <c r="A138" s="9">
        <v>13891</v>
      </c>
      <c r="B138" s="9">
        <v>21866</v>
      </c>
      <c r="C138" s="9" t="s">
        <v>188</v>
      </c>
      <c r="D138" s="17">
        <f t="shared" si="13"/>
        <v>1</v>
      </c>
      <c r="E138" s="10">
        <f t="shared" si="10"/>
        <v>1</v>
      </c>
      <c r="F138" s="11">
        <v>1</v>
      </c>
      <c r="G138" s="9">
        <v>528329</v>
      </c>
      <c r="H138" s="13">
        <v>40472.557638888888</v>
      </c>
      <c r="I138" s="14">
        <v>1.25</v>
      </c>
      <c r="J138" s="23">
        <f t="shared" si="11"/>
        <v>1.25</v>
      </c>
      <c r="K138" s="12">
        <v>40472</v>
      </c>
      <c r="L138" s="24">
        <v>5.7638888888888892E-2</v>
      </c>
      <c r="M138" t="s">
        <v>1013</v>
      </c>
      <c r="N138" s="15" t="str">
        <f t="shared" si="12"/>
        <v>1:23 PM</v>
      </c>
      <c r="O138" s="9" t="s">
        <v>9</v>
      </c>
      <c r="P138" s="20">
        <f t="shared" si="14"/>
        <v>1.25</v>
      </c>
    </row>
    <row r="139" spans="1:16" x14ac:dyDescent="0.25">
      <c r="A139" s="9">
        <v>17366</v>
      </c>
      <c r="B139" s="9">
        <v>20754</v>
      </c>
      <c r="C139" s="9" t="s">
        <v>189</v>
      </c>
      <c r="D139" s="17">
        <f t="shared" si="13"/>
        <v>1</v>
      </c>
      <c r="E139" s="10">
        <f t="shared" si="10"/>
        <v>1</v>
      </c>
      <c r="F139" s="11">
        <v>1</v>
      </c>
      <c r="G139" s="9">
        <v>521973</v>
      </c>
      <c r="H139" s="13">
        <v>40430.823611111111</v>
      </c>
      <c r="I139" s="14" t="s">
        <v>190</v>
      </c>
      <c r="J139" s="23">
        <f t="shared" si="11"/>
        <v>2.1</v>
      </c>
      <c r="K139" s="12">
        <v>40430</v>
      </c>
      <c r="L139" s="24">
        <v>0.32361111111111113</v>
      </c>
      <c r="M139" t="s">
        <v>1013</v>
      </c>
      <c r="N139" s="15" t="str">
        <f t="shared" si="12"/>
        <v>7:46 PM</v>
      </c>
      <c r="O139" s="9" t="s">
        <v>9</v>
      </c>
      <c r="P139" s="20">
        <f t="shared" si="14"/>
        <v>2.1</v>
      </c>
    </row>
    <row r="140" spans="1:16" x14ac:dyDescent="0.25">
      <c r="A140" s="9">
        <v>13012</v>
      </c>
      <c r="B140" s="9">
        <v>85150</v>
      </c>
      <c r="C140" s="9" t="s">
        <v>191</v>
      </c>
      <c r="D140" s="17">
        <f t="shared" si="13"/>
        <v>12</v>
      </c>
      <c r="E140" s="10">
        <f t="shared" si="10"/>
        <v>12</v>
      </c>
      <c r="F140" s="11">
        <v>12</v>
      </c>
      <c r="G140" s="9">
        <v>515760</v>
      </c>
      <c r="H140" s="13">
        <v>40373.569444444453</v>
      </c>
      <c r="I140" s="14">
        <v>2.5499999999999998</v>
      </c>
      <c r="J140" s="23">
        <f t="shared" si="11"/>
        <v>2.5499999999999998</v>
      </c>
      <c r="K140" s="12">
        <v>40373</v>
      </c>
      <c r="L140" s="24">
        <v>6.9444444444444448E-2</v>
      </c>
      <c r="M140" t="s">
        <v>1013</v>
      </c>
      <c r="N140" s="15" t="str">
        <f t="shared" si="12"/>
        <v>1:40 PM</v>
      </c>
      <c r="O140" s="9" t="s">
        <v>9</v>
      </c>
      <c r="P140" s="20">
        <f t="shared" si="14"/>
        <v>30.599999999999998</v>
      </c>
    </row>
    <row r="141" spans="1:16" x14ac:dyDescent="0.25">
      <c r="A141" s="9">
        <v>14606</v>
      </c>
      <c r="B141" s="9">
        <v>21870</v>
      </c>
      <c r="C141" s="9" t="s">
        <v>192</v>
      </c>
      <c r="D141" s="17">
        <f t="shared" si="13"/>
        <v>2</v>
      </c>
      <c r="E141" s="10">
        <f t="shared" si="10"/>
        <v>2</v>
      </c>
      <c r="F141" s="11">
        <v>2</v>
      </c>
      <c r="G141" s="9">
        <v>508721</v>
      </c>
      <c r="H141" s="13">
        <v>40315.724999999999</v>
      </c>
      <c r="I141" s="14">
        <v>1.25</v>
      </c>
      <c r="J141" s="23">
        <f t="shared" si="11"/>
        <v>1.25</v>
      </c>
      <c r="K141" s="12">
        <v>40315</v>
      </c>
      <c r="L141" s="24">
        <v>0.22500000000000001</v>
      </c>
      <c r="M141" t="s">
        <v>1013</v>
      </c>
      <c r="N141" s="15" t="str">
        <f t="shared" si="12"/>
        <v>5:24 PM</v>
      </c>
      <c r="O141" s="9" t="s">
        <v>9</v>
      </c>
      <c r="P141" s="20">
        <f t="shared" si="14"/>
        <v>2.5</v>
      </c>
    </row>
    <row r="142" spans="1:16" x14ac:dyDescent="0.25">
      <c r="A142" s="9">
        <v>13026</v>
      </c>
      <c r="B142" s="9">
        <v>22178</v>
      </c>
      <c r="C142" s="9" t="s">
        <v>193</v>
      </c>
      <c r="D142" s="17">
        <f t="shared" si="13"/>
        <v>12</v>
      </c>
      <c r="E142" s="10">
        <f t="shared" si="10"/>
        <v>12</v>
      </c>
      <c r="F142" s="11">
        <v>12</v>
      </c>
      <c r="G142" s="9">
        <v>500354</v>
      </c>
      <c r="H142" s="13">
        <v>40244.643750000003</v>
      </c>
      <c r="I142" s="14">
        <v>1.25</v>
      </c>
      <c r="J142" s="23">
        <f t="shared" si="11"/>
        <v>1.25</v>
      </c>
      <c r="K142" s="12">
        <v>40244</v>
      </c>
      <c r="L142" s="24">
        <v>0.14374999999999999</v>
      </c>
      <c r="M142" t="s">
        <v>1013</v>
      </c>
      <c r="N142" s="15" t="str">
        <f t="shared" si="12"/>
        <v>3:27 PM</v>
      </c>
      <c r="O142" s="9" t="s">
        <v>9</v>
      </c>
      <c r="P142" s="20">
        <f t="shared" si="14"/>
        <v>15</v>
      </c>
    </row>
    <row r="143" spans="1:16" x14ac:dyDescent="0.25">
      <c r="A143" s="9">
        <v>13610</v>
      </c>
      <c r="B143" s="9">
        <v>21179</v>
      </c>
      <c r="C143" s="9" t="s">
        <v>194</v>
      </c>
      <c r="D143" s="17">
        <f t="shared" si="13"/>
        <v>2</v>
      </c>
      <c r="E143" s="10">
        <f t="shared" si="10"/>
        <v>2</v>
      </c>
      <c r="F143" s="11">
        <v>2</v>
      </c>
      <c r="G143" s="9">
        <v>495715</v>
      </c>
      <c r="H143" s="13">
        <v>40204.586805555547</v>
      </c>
      <c r="I143" s="14">
        <v>1.25</v>
      </c>
      <c r="J143" s="23">
        <f t="shared" si="11"/>
        <v>1.25</v>
      </c>
      <c r="K143" s="12">
        <v>40204</v>
      </c>
      <c r="L143" s="24">
        <v>8.6805555555555552E-2</v>
      </c>
      <c r="M143" t="s">
        <v>1013</v>
      </c>
      <c r="N143" s="15" t="str">
        <f t="shared" si="12"/>
        <v>2:05 PM</v>
      </c>
      <c r="O143" s="9" t="s">
        <v>9</v>
      </c>
      <c r="P143" s="20">
        <f t="shared" si="14"/>
        <v>2.5</v>
      </c>
    </row>
    <row r="144" spans="1:16" x14ac:dyDescent="0.25">
      <c r="A144" s="9">
        <v>16772</v>
      </c>
      <c r="B144" s="9">
        <v>48194</v>
      </c>
      <c r="C144" s="9" t="s">
        <v>195</v>
      </c>
      <c r="D144" s="17">
        <f t="shared" si="13"/>
        <v>3</v>
      </c>
      <c r="E144" s="10">
        <f t="shared" si="10"/>
        <v>3</v>
      </c>
      <c r="F144" s="11">
        <v>3</v>
      </c>
      <c r="G144" s="9">
        <v>493948</v>
      </c>
      <c r="H144" s="13">
        <v>40186.526388888888</v>
      </c>
      <c r="I144" s="14">
        <v>6.75</v>
      </c>
      <c r="J144" s="23">
        <f t="shared" si="11"/>
        <v>6.75</v>
      </c>
      <c r="K144" s="12">
        <v>40186</v>
      </c>
      <c r="L144" s="24">
        <v>0.52638888888888891</v>
      </c>
      <c r="M144" t="s">
        <v>1013</v>
      </c>
      <c r="N144" s="15" t="str">
        <f t="shared" si="12"/>
        <v>12:38 PM</v>
      </c>
      <c r="O144" s="9" t="s">
        <v>9</v>
      </c>
      <c r="P144" s="20">
        <f t="shared" si="14"/>
        <v>20.25</v>
      </c>
    </row>
    <row r="145" spans="1:16" x14ac:dyDescent="0.25">
      <c r="A145" s="9">
        <v>16062</v>
      </c>
      <c r="B145" s="9">
        <v>22077</v>
      </c>
      <c r="C145" s="9" t="s">
        <v>196</v>
      </c>
      <c r="D145" s="17">
        <f t="shared" si="13"/>
        <v>12</v>
      </c>
      <c r="E145" s="10">
        <f t="shared" si="10"/>
        <v>12</v>
      </c>
      <c r="F145" s="11">
        <v>12</v>
      </c>
      <c r="G145" s="9">
        <v>513053</v>
      </c>
      <c r="H145" s="17" t="s">
        <v>197</v>
      </c>
      <c r="I145" s="14">
        <v>1.65</v>
      </c>
      <c r="J145" s="23">
        <f t="shared" si="11"/>
        <v>1.65</v>
      </c>
      <c r="K145" s="12">
        <v>40350</v>
      </c>
      <c r="L145" s="25">
        <v>0.56388888888888888</v>
      </c>
      <c r="N145" s="15" t="str">
        <f t="shared" si="12"/>
        <v xml:space="preserve">13:32 </v>
      </c>
      <c r="O145" s="9" t="s">
        <v>9</v>
      </c>
      <c r="P145" s="20">
        <f t="shared" si="14"/>
        <v>19.799999999999997</v>
      </c>
    </row>
    <row r="146" spans="1:16" x14ac:dyDescent="0.25">
      <c r="A146" s="9">
        <v>17115</v>
      </c>
      <c r="B146" s="9">
        <v>21710</v>
      </c>
      <c r="C146" s="9" t="s">
        <v>198</v>
      </c>
      <c r="D146" s="17">
        <f t="shared" si="13"/>
        <v>4</v>
      </c>
      <c r="E146" s="10">
        <f t="shared" si="10"/>
        <v>4</v>
      </c>
      <c r="F146" s="11">
        <v>4</v>
      </c>
      <c r="G146" s="9">
        <v>496058</v>
      </c>
      <c r="H146" s="13">
        <v>40206.636805555558</v>
      </c>
      <c r="I146" s="14">
        <v>4.95</v>
      </c>
      <c r="J146" s="23">
        <f t="shared" si="11"/>
        <v>4.95</v>
      </c>
      <c r="K146" s="12">
        <v>40206</v>
      </c>
      <c r="L146" s="24">
        <v>0.13680555555555557</v>
      </c>
      <c r="M146" t="s">
        <v>1013</v>
      </c>
      <c r="N146" s="15" t="str">
        <f t="shared" si="12"/>
        <v>3:17 PM</v>
      </c>
      <c r="O146" s="9" t="s">
        <v>9</v>
      </c>
      <c r="P146" s="20">
        <f t="shared" si="14"/>
        <v>19.8</v>
      </c>
    </row>
    <row r="147" spans="1:16" x14ac:dyDescent="0.25">
      <c r="A147" s="9">
        <v>16863</v>
      </c>
      <c r="B147" s="9">
        <v>22112</v>
      </c>
      <c r="C147" s="9" t="s">
        <v>199</v>
      </c>
      <c r="D147" s="17">
        <f t="shared" si="13"/>
        <v>3</v>
      </c>
      <c r="E147" s="10">
        <f t="shared" si="10"/>
        <v>3</v>
      </c>
      <c r="F147" s="11">
        <v>3</v>
      </c>
      <c r="G147" s="9">
        <v>528966</v>
      </c>
      <c r="H147" s="13">
        <v>40477.418749999997</v>
      </c>
      <c r="I147" s="14">
        <v>4.95</v>
      </c>
      <c r="J147" s="23">
        <f t="shared" si="11"/>
        <v>4.95</v>
      </c>
      <c r="K147" s="12">
        <v>40477</v>
      </c>
      <c r="L147" s="24">
        <v>0.41875000000000001</v>
      </c>
      <c r="M147" t="s">
        <v>1014</v>
      </c>
      <c r="N147" s="15" t="str">
        <f t="shared" si="12"/>
        <v>10:03 AM</v>
      </c>
      <c r="O147" s="9" t="s">
        <v>9</v>
      </c>
      <c r="P147" s="20">
        <f t="shared" si="14"/>
        <v>14.850000000000001</v>
      </c>
    </row>
    <row r="148" spans="1:16" x14ac:dyDescent="0.25">
      <c r="A148" s="9">
        <v>13728</v>
      </c>
      <c r="B148" s="9">
        <v>48111</v>
      </c>
      <c r="C148" s="9" t="s">
        <v>200</v>
      </c>
      <c r="D148" s="17">
        <f t="shared" si="13"/>
        <v>4</v>
      </c>
      <c r="E148" s="10">
        <f t="shared" si="10"/>
        <v>4</v>
      </c>
      <c r="F148" s="11">
        <v>4</v>
      </c>
      <c r="G148" s="9">
        <v>521775</v>
      </c>
      <c r="H148" s="13">
        <v>40429.526388888888</v>
      </c>
      <c r="I148" s="14">
        <v>7.95</v>
      </c>
      <c r="J148" s="23">
        <f t="shared" si="11"/>
        <v>7.95</v>
      </c>
      <c r="K148" s="12">
        <v>40429</v>
      </c>
      <c r="L148" s="24">
        <v>0.52638888888888891</v>
      </c>
      <c r="M148" t="s">
        <v>1013</v>
      </c>
      <c r="N148" s="15" t="str">
        <f t="shared" si="12"/>
        <v>12:38 PM</v>
      </c>
      <c r="O148" s="9" t="s">
        <v>9</v>
      </c>
      <c r="P148" s="20">
        <f t="shared" si="14"/>
        <v>31.8</v>
      </c>
    </row>
    <row r="149" spans="1:16" x14ac:dyDescent="0.25">
      <c r="A149" s="9">
        <v>15443</v>
      </c>
      <c r="B149" s="9">
        <v>22528</v>
      </c>
      <c r="C149" s="9" t="s">
        <v>201</v>
      </c>
      <c r="D149" s="17">
        <f t="shared" si="13"/>
        <v>4</v>
      </c>
      <c r="E149" s="10">
        <f t="shared" si="10"/>
        <v>4</v>
      </c>
      <c r="F149" s="11">
        <v>4</v>
      </c>
      <c r="G149" s="9">
        <v>504154</v>
      </c>
      <c r="H149" s="13">
        <v>40279.602777777778</v>
      </c>
      <c r="I149" s="14">
        <v>1.25</v>
      </c>
      <c r="J149" s="23">
        <f t="shared" si="11"/>
        <v>1.25</v>
      </c>
      <c r="K149" s="12">
        <v>40279</v>
      </c>
      <c r="L149" s="24">
        <v>0.10277777777777777</v>
      </c>
      <c r="M149" t="s">
        <v>1013</v>
      </c>
      <c r="N149" s="15" t="str">
        <f t="shared" si="12"/>
        <v>2:28 PM</v>
      </c>
      <c r="O149" s="9" t="s">
        <v>9</v>
      </c>
      <c r="P149" s="20">
        <f t="shared" si="14"/>
        <v>5</v>
      </c>
    </row>
    <row r="150" spans="1:16" x14ac:dyDescent="0.25">
      <c r="A150" s="9">
        <v>14606</v>
      </c>
      <c r="B150" s="9">
        <v>21260</v>
      </c>
      <c r="C150" s="9" t="s">
        <v>202</v>
      </c>
      <c r="D150" s="17">
        <f t="shared" si="13"/>
        <v>1</v>
      </c>
      <c r="E150" s="10">
        <f t="shared" si="10"/>
        <v>1</v>
      </c>
      <c r="F150" s="11">
        <v>1</v>
      </c>
      <c r="G150" s="9">
        <v>494267</v>
      </c>
      <c r="H150" s="13">
        <v>40190.71875</v>
      </c>
      <c r="I150" s="14">
        <v>3.25</v>
      </c>
      <c r="J150" s="23">
        <f t="shared" si="11"/>
        <v>3.25</v>
      </c>
      <c r="K150" s="12">
        <v>40190</v>
      </c>
      <c r="L150" s="24">
        <v>0.21875</v>
      </c>
      <c r="M150" t="s">
        <v>1013</v>
      </c>
      <c r="N150" s="15" t="str">
        <f t="shared" si="12"/>
        <v>5:15 PM</v>
      </c>
      <c r="O150" s="9" t="s">
        <v>9</v>
      </c>
      <c r="P150" s="20">
        <f t="shared" si="14"/>
        <v>3.25</v>
      </c>
    </row>
    <row r="151" spans="1:16" x14ac:dyDescent="0.25">
      <c r="A151" s="9">
        <v>18231</v>
      </c>
      <c r="B151" s="9">
        <v>22194</v>
      </c>
      <c r="C151" s="9" t="s">
        <v>203</v>
      </c>
      <c r="D151" s="17">
        <f t="shared" si="13"/>
        <v>1</v>
      </c>
      <c r="E151" s="10">
        <f t="shared" si="10"/>
        <v>1</v>
      </c>
      <c r="F151" s="11">
        <v>1</v>
      </c>
      <c r="G151" s="9">
        <v>505479</v>
      </c>
      <c r="H151" s="13">
        <v>40290.508333333331</v>
      </c>
      <c r="I151" s="14">
        <v>8.5</v>
      </c>
      <c r="J151" s="23">
        <f t="shared" si="11"/>
        <v>8.5</v>
      </c>
      <c r="K151" s="12">
        <v>40290</v>
      </c>
      <c r="L151" s="24">
        <v>0.5083333333333333</v>
      </c>
      <c r="M151" t="s">
        <v>1013</v>
      </c>
      <c r="N151" s="15" t="str">
        <f t="shared" si="12"/>
        <v>12:12 PM</v>
      </c>
      <c r="O151" s="9" t="s">
        <v>9</v>
      </c>
      <c r="P151" s="20">
        <f t="shared" si="14"/>
        <v>8.5</v>
      </c>
    </row>
    <row r="152" spans="1:16" x14ac:dyDescent="0.25">
      <c r="A152" s="9" t="s">
        <v>205</v>
      </c>
      <c r="B152" s="9">
        <v>22256</v>
      </c>
      <c r="C152" s="9" t="s">
        <v>204</v>
      </c>
      <c r="D152" s="17">
        <f t="shared" si="13"/>
        <v>12</v>
      </c>
      <c r="E152" s="10">
        <f t="shared" si="10"/>
        <v>12</v>
      </c>
      <c r="F152" s="11">
        <v>12</v>
      </c>
      <c r="G152" s="9">
        <v>507597</v>
      </c>
      <c r="H152" s="13">
        <v>40308.556250000001</v>
      </c>
      <c r="I152" s="14">
        <v>1.25</v>
      </c>
      <c r="J152" s="23">
        <f t="shared" si="11"/>
        <v>1.25</v>
      </c>
      <c r="K152" s="12">
        <v>40308</v>
      </c>
      <c r="L152" s="24">
        <v>5.6250000000000001E-2</v>
      </c>
      <c r="M152" t="s">
        <v>1013</v>
      </c>
      <c r="N152" s="15" t="str">
        <f t="shared" si="12"/>
        <v>1:21 PM</v>
      </c>
      <c r="O152" s="9" t="s">
        <v>9</v>
      </c>
      <c r="P152" s="20">
        <f t="shared" si="14"/>
        <v>15</v>
      </c>
    </row>
    <row r="153" spans="1:16" x14ac:dyDescent="0.25">
      <c r="A153" s="9">
        <v>17511</v>
      </c>
      <c r="B153" s="9">
        <v>22411</v>
      </c>
      <c r="C153" s="9" t="s">
        <v>206</v>
      </c>
      <c r="D153" s="17">
        <f t="shared" si="13"/>
        <v>200</v>
      </c>
      <c r="E153" s="10">
        <f t="shared" si="10"/>
        <v>200</v>
      </c>
      <c r="F153" s="11">
        <v>200</v>
      </c>
      <c r="G153" s="9">
        <v>507996</v>
      </c>
      <c r="H153" s="13">
        <v>40310.455555555563</v>
      </c>
      <c r="I153" s="14">
        <v>1.65</v>
      </c>
      <c r="J153" s="23">
        <f t="shared" si="11"/>
        <v>1.65</v>
      </c>
      <c r="K153" s="12">
        <v>40310</v>
      </c>
      <c r="L153" s="24">
        <v>0.45555555555555555</v>
      </c>
      <c r="M153" t="s">
        <v>1014</v>
      </c>
      <c r="N153" s="15" t="str">
        <f t="shared" si="12"/>
        <v>10:56 AM</v>
      </c>
      <c r="O153" s="9" t="s">
        <v>9</v>
      </c>
      <c r="P153" s="20">
        <f t="shared" si="14"/>
        <v>330</v>
      </c>
    </row>
    <row r="154" spans="1:16" x14ac:dyDescent="0.25">
      <c r="A154" s="9">
        <v>16794</v>
      </c>
      <c r="B154" s="9">
        <v>22470</v>
      </c>
      <c r="C154" s="9" t="s">
        <v>164</v>
      </c>
      <c r="D154" s="17">
        <f t="shared" si="13"/>
        <v>2</v>
      </c>
      <c r="E154" s="10">
        <f t="shared" si="10"/>
        <v>2</v>
      </c>
      <c r="F154" s="11">
        <v>2</v>
      </c>
      <c r="G154" s="9">
        <v>509441</v>
      </c>
      <c r="H154" s="13">
        <v>40321.661111111112</v>
      </c>
      <c r="I154" s="14">
        <v>2.95</v>
      </c>
      <c r="J154" s="23">
        <f t="shared" si="11"/>
        <v>2.95</v>
      </c>
      <c r="K154" s="12">
        <v>40321</v>
      </c>
      <c r="L154" s="24">
        <v>0.16111111111111112</v>
      </c>
      <c r="M154" t="s">
        <v>1013</v>
      </c>
      <c r="N154" s="15" t="str">
        <f t="shared" si="12"/>
        <v>3:52 PM</v>
      </c>
      <c r="O154" s="9" t="s">
        <v>9</v>
      </c>
      <c r="P154" s="20">
        <f t="shared" si="14"/>
        <v>5.9</v>
      </c>
    </row>
    <row r="155" spans="1:16" x14ac:dyDescent="0.25">
      <c r="A155" s="9">
        <v>15976</v>
      </c>
      <c r="B155" s="9">
        <v>22429</v>
      </c>
      <c r="C155" s="9" t="s">
        <v>207</v>
      </c>
      <c r="D155" s="17">
        <f t="shared" si="13"/>
        <v>1</v>
      </c>
      <c r="E155" s="10">
        <f t="shared" si="10"/>
        <v>1</v>
      </c>
      <c r="F155" s="11">
        <v>1</v>
      </c>
      <c r="G155" s="9">
        <v>520700</v>
      </c>
      <c r="H155" s="13">
        <v>40419.479861111111</v>
      </c>
      <c r="I155" s="14">
        <v>4.25</v>
      </c>
      <c r="J155" s="23">
        <f t="shared" si="11"/>
        <v>4.25</v>
      </c>
      <c r="K155" s="12">
        <v>40419</v>
      </c>
      <c r="L155" s="24">
        <v>0.47986111111111113</v>
      </c>
      <c r="M155" t="s">
        <v>1014</v>
      </c>
      <c r="N155" s="15" t="str">
        <f t="shared" si="12"/>
        <v>11:31 AM</v>
      </c>
      <c r="O155" s="9" t="s">
        <v>9</v>
      </c>
      <c r="P155" s="20">
        <f t="shared" si="14"/>
        <v>4.25</v>
      </c>
    </row>
    <row r="156" spans="1:16" x14ac:dyDescent="0.25">
      <c r="A156" s="9">
        <v>17841</v>
      </c>
      <c r="B156" s="9">
        <v>22835</v>
      </c>
      <c r="C156" s="9" t="s">
        <v>208</v>
      </c>
      <c r="D156" s="17">
        <f t="shared" si="13"/>
        <v>1</v>
      </c>
      <c r="E156" s="10">
        <f t="shared" si="10"/>
        <v>1</v>
      </c>
      <c r="F156" s="11">
        <v>1</v>
      </c>
      <c r="G156" s="9">
        <v>533761</v>
      </c>
      <c r="H156" s="13">
        <v>40500.619444444441</v>
      </c>
      <c r="I156" s="14">
        <v>4.6500000000000004</v>
      </c>
      <c r="J156" s="23">
        <f t="shared" si="11"/>
        <v>4.6500000000000004</v>
      </c>
      <c r="K156" s="12">
        <v>40500</v>
      </c>
      <c r="L156" s="24">
        <v>0.11944444444444445</v>
      </c>
      <c r="M156" t="s">
        <v>1013</v>
      </c>
      <c r="N156" s="15" t="str">
        <f t="shared" si="12"/>
        <v>2:52 PM</v>
      </c>
      <c r="O156" s="9" t="s">
        <v>9</v>
      </c>
      <c r="P156" s="20">
        <f t="shared" si="14"/>
        <v>4.6500000000000004</v>
      </c>
    </row>
    <row r="157" spans="1:16" x14ac:dyDescent="0.25">
      <c r="A157" s="9">
        <v>17539</v>
      </c>
      <c r="B157" s="9">
        <v>21658</v>
      </c>
      <c r="C157" s="9" t="s">
        <v>210</v>
      </c>
      <c r="D157" s="17">
        <f t="shared" si="13"/>
        <v>10</v>
      </c>
      <c r="E157" s="10">
        <f t="shared" si="10"/>
        <v>-10</v>
      </c>
      <c r="F157" s="11">
        <v>-10</v>
      </c>
      <c r="G157" s="9" t="s">
        <v>209</v>
      </c>
      <c r="H157" s="13">
        <v>40259.701388888891</v>
      </c>
      <c r="I157" s="14">
        <v>3.95</v>
      </c>
      <c r="J157" s="23">
        <f t="shared" si="11"/>
        <v>3.95</v>
      </c>
      <c r="K157" s="12">
        <v>40259</v>
      </c>
      <c r="L157" s="24">
        <v>0.2013888888888889</v>
      </c>
      <c r="M157" t="s">
        <v>1013</v>
      </c>
      <c r="N157" s="15" t="str">
        <f t="shared" si="12"/>
        <v>4:50 PM</v>
      </c>
      <c r="O157" s="9" t="s">
        <v>9</v>
      </c>
      <c r="P157" s="20">
        <f t="shared" si="14"/>
        <v>39.5</v>
      </c>
    </row>
    <row r="158" spans="1:16" x14ac:dyDescent="0.25">
      <c r="A158" s="9">
        <v>16607</v>
      </c>
      <c r="B158" s="9">
        <v>22759</v>
      </c>
      <c r="C158" s="9" t="s">
        <v>211</v>
      </c>
      <c r="D158" s="17">
        <f t="shared" si="13"/>
        <v>12</v>
      </c>
      <c r="E158" s="10">
        <f t="shared" si="10"/>
        <v>12</v>
      </c>
      <c r="F158" s="11">
        <v>12</v>
      </c>
      <c r="G158" s="9">
        <v>520904</v>
      </c>
      <c r="H158" s="13">
        <v>40422.427083333343</v>
      </c>
      <c r="I158" s="14" t="s">
        <v>212</v>
      </c>
      <c r="J158" s="23">
        <f t="shared" si="11"/>
        <v>1.65</v>
      </c>
      <c r="K158" s="12">
        <v>40422</v>
      </c>
      <c r="L158" s="24">
        <v>0.42708333333333331</v>
      </c>
      <c r="M158" t="s">
        <v>1014</v>
      </c>
      <c r="N158" s="15" t="str">
        <f t="shared" si="12"/>
        <v>10:15 AM</v>
      </c>
      <c r="O158" s="9" t="s">
        <v>9</v>
      </c>
      <c r="P158" s="20">
        <f t="shared" si="14"/>
        <v>19.799999999999997</v>
      </c>
    </row>
    <row r="159" spans="1:16" x14ac:dyDescent="0.25">
      <c r="A159" s="9">
        <v>13869</v>
      </c>
      <c r="B159" s="9">
        <v>22759</v>
      </c>
      <c r="C159" s="9" t="s">
        <v>211</v>
      </c>
      <c r="D159" s="17">
        <f t="shared" si="13"/>
        <v>3</v>
      </c>
      <c r="E159" s="10">
        <f t="shared" si="10"/>
        <v>3</v>
      </c>
      <c r="F159" s="11">
        <v>3</v>
      </c>
      <c r="G159" s="9">
        <v>534656</v>
      </c>
      <c r="H159" s="13">
        <v>40505.566666666673</v>
      </c>
      <c r="I159" s="14">
        <v>1.65</v>
      </c>
      <c r="J159" s="23">
        <f t="shared" si="11"/>
        <v>1.65</v>
      </c>
      <c r="K159" s="12">
        <v>40505</v>
      </c>
      <c r="L159" s="24">
        <v>6.6666666666666666E-2</v>
      </c>
      <c r="M159" t="s">
        <v>1013</v>
      </c>
      <c r="N159" s="15" t="str">
        <f t="shared" si="12"/>
        <v>1:36 PM</v>
      </c>
      <c r="O159" s="9" t="s">
        <v>9</v>
      </c>
      <c r="P159" s="20">
        <f t="shared" si="14"/>
        <v>4.9499999999999993</v>
      </c>
    </row>
    <row r="160" spans="1:16" x14ac:dyDescent="0.25">
      <c r="A160" s="9">
        <v>16466</v>
      </c>
      <c r="B160" s="9">
        <v>21652</v>
      </c>
      <c r="C160" s="9" t="s">
        <v>213</v>
      </c>
      <c r="D160" s="17">
        <f t="shared" si="13"/>
        <v>6</v>
      </c>
      <c r="E160" s="10">
        <f t="shared" si="10"/>
        <v>6</v>
      </c>
      <c r="F160" s="11">
        <v>6</v>
      </c>
      <c r="G160" s="9">
        <v>511059</v>
      </c>
      <c r="H160" s="13">
        <v>40335.518750000003</v>
      </c>
      <c r="I160" s="14">
        <v>1.95</v>
      </c>
      <c r="J160" s="23">
        <f t="shared" si="11"/>
        <v>1.95</v>
      </c>
      <c r="K160" s="12">
        <v>40335</v>
      </c>
      <c r="L160" s="24">
        <v>0.51875000000000004</v>
      </c>
      <c r="M160" t="s">
        <v>1013</v>
      </c>
      <c r="N160" s="15" t="str">
        <f t="shared" si="12"/>
        <v>12:27 PM</v>
      </c>
      <c r="O160" s="9" t="s">
        <v>9</v>
      </c>
      <c r="P160" s="20">
        <f t="shared" si="14"/>
        <v>11.7</v>
      </c>
    </row>
    <row r="161" spans="1:16" x14ac:dyDescent="0.25">
      <c r="A161" s="9">
        <v>15599</v>
      </c>
      <c r="B161" s="9">
        <v>21135</v>
      </c>
      <c r="C161" s="9" t="s">
        <v>214</v>
      </c>
      <c r="D161" s="17">
        <f t="shared" si="13"/>
        <v>16</v>
      </c>
      <c r="E161" s="10">
        <f t="shared" si="10"/>
        <v>16</v>
      </c>
      <c r="F161" s="11">
        <v>16</v>
      </c>
      <c r="G161" s="9">
        <v>523013</v>
      </c>
      <c r="H161" s="13">
        <v>40441.427083333343</v>
      </c>
      <c r="I161" s="14">
        <v>1.69</v>
      </c>
      <c r="J161" s="23">
        <f t="shared" si="11"/>
        <v>1.69</v>
      </c>
      <c r="K161" s="12">
        <v>40441</v>
      </c>
      <c r="L161" s="24">
        <v>0.42708333333333331</v>
      </c>
      <c r="M161" t="s">
        <v>1014</v>
      </c>
      <c r="N161" s="15" t="str">
        <f t="shared" si="12"/>
        <v>10:15 AM</v>
      </c>
      <c r="O161" s="9" t="s">
        <v>9</v>
      </c>
      <c r="P161" s="20">
        <f t="shared" si="14"/>
        <v>27.04</v>
      </c>
    </row>
    <row r="162" spans="1:16" x14ac:dyDescent="0.25">
      <c r="A162" s="9">
        <v>13873</v>
      </c>
      <c r="B162" s="9">
        <v>21304</v>
      </c>
      <c r="C162" s="9" t="s">
        <v>215</v>
      </c>
      <c r="D162" s="17">
        <f t="shared" si="13"/>
        <v>6</v>
      </c>
      <c r="E162" s="10">
        <f t="shared" si="10"/>
        <v>6</v>
      </c>
      <c r="F162" s="11">
        <v>6</v>
      </c>
      <c r="G162" s="9">
        <v>499942</v>
      </c>
      <c r="H162" s="13">
        <v>40240.521527777782</v>
      </c>
      <c r="I162" s="14">
        <v>4.95</v>
      </c>
      <c r="J162" s="23">
        <f t="shared" si="11"/>
        <v>4.95</v>
      </c>
      <c r="K162" s="12">
        <v>40240</v>
      </c>
      <c r="L162" s="24">
        <v>0.52152777777777781</v>
      </c>
      <c r="M162" t="s">
        <v>1013</v>
      </c>
      <c r="N162" s="15" t="str">
        <f t="shared" si="12"/>
        <v>12:31 PM</v>
      </c>
      <c r="O162" s="9" t="s">
        <v>9</v>
      </c>
      <c r="P162" s="20">
        <f t="shared" si="14"/>
        <v>29.700000000000003</v>
      </c>
    </row>
    <row r="163" spans="1:16" x14ac:dyDescent="0.25">
      <c r="A163" s="9">
        <v>17460</v>
      </c>
      <c r="B163" s="9">
        <v>21212</v>
      </c>
      <c r="C163" s="9" t="s">
        <v>125</v>
      </c>
      <c r="D163" s="17">
        <f t="shared" si="13"/>
        <v>24</v>
      </c>
      <c r="E163" s="10">
        <f t="shared" si="10"/>
        <v>24</v>
      </c>
      <c r="F163" s="11">
        <v>24</v>
      </c>
      <c r="G163" s="9">
        <v>495294</v>
      </c>
      <c r="H163" s="13">
        <v>40200.559027777781</v>
      </c>
      <c r="I163" s="14">
        <v>0.55000000000000004</v>
      </c>
      <c r="J163" s="23">
        <f t="shared" si="11"/>
        <v>0.55000000000000004</v>
      </c>
      <c r="K163" s="12">
        <v>40200</v>
      </c>
      <c r="L163" s="24">
        <v>5.9027777777777776E-2</v>
      </c>
      <c r="M163" t="s">
        <v>1013</v>
      </c>
      <c r="N163" s="15" t="str">
        <f t="shared" si="12"/>
        <v>1:25 PM</v>
      </c>
      <c r="O163" s="9" t="s">
        <v>9</v>
      </c>
      <c r="P163" s="20">
        <f t="shared" si="14"/>
        <v>13.200000000000001</v>
      </c>
    </row>
    <row r="164" spans="1:16" x14ac:dyDescent="0.25">
      <c r="A164" s="9">
        <v>18149</v>
      </c>
      <c r="B164" s="9" t="s">
        <v>153</v>
      </c>
      <c r="C164" s="9" t="s">
        <v>154</v>
      </c>
      <c r="D164" s="17">
        <f t="shared" si="13"/>
        <v>10</v>
      </c>
      <c r="E164" s="10">
        <f t="shared" si="10"/>
        <v>10</v>
      </c>
      <c r="F164" s="11">
        <v>10</v>
      </c>
      <c r="G164" s="9">
        <v>520722</v>
      </c>
      <c r="H164" s="13">
        <v>40419.613888888889</v>
      </c>
      <c r="I164" s="14">
        <v>2.95</v>
      </c>
      <c r="J164" s="23">
        <f t="shared" si="11"/>
        <v>2.95</v>
      </c>
      <c r="K164" s="12">
        <v>40419</v>
      </c>
      <c r="L164" s="24">
        <v>0.11388888888888889</v>
      </c>
      <c r="M164" t="s">
        <v>1013</v>
      </c>
      <c r="N164" s="15" t="str">
        <f t="shared" si="12"/>
        <v>2:44 PM</v>
      </c>
      <c r="O164" s="9" t="s">
        <v>9</v>
      </c>
      <c r="P164" s="20">
        <f t="shared" si="14"/>
        <v>29.5</v>
      </c>
    </row>
    <row r="165" spans="1:16" x14ac:dyDescent="0.25">
      <c r="A165" s="9">
        <v>12733</v>
      </c>
      <c r="B165" s="9">
        <v>22904</v>
      </c>
      <c r="C165" s="9" t="s">
        <v>216</v>
      </c>
      <c r="D165" s="17">
        <f t="shared" si="13"/>
        <v>4</v>
      </c>
      <c r="E165" s="10">
        <f t="shared" si="10"/>
        <v>4</v>
      </c>
      <c r="F165" s="11">
        <v>4</v>
      </c>
      <c r="G165" s="9">
        <v>532985</v>
      </c>
      <c r="H165" s="13">
        <v>40497.580555555563</v>
      </c>
      <c r="I165" s="14">
        <v>2.95</v>
      </c>
      <c r="J165" s="23">
        <f t="shared" si="11"/>
        <v>2.95</v>
      </c>
      <c r="K165" s="12">
        <v>40497</v>
      </c>
      <c r="L165" s="24">
        <v>8.0555555555555561E-2</v>
      </c>
      <c r="M165" t="s">
        <v>1013</v>
      </c>
      <c r="N165" s="15" t="str">
        <f t="shared" si="12"/>
        <v>1:56 PM</v>
      </c>
      <c r="O165" s="9" t="s">
        <v>217</v>
      </c>
      <c r="P165" s="20">
        <f t="shared" si="14"/>
        <v>11.8</v>
      </c>
    </row>
    <row r="166" spans="1:16" x14ac:dyDescent="0.25">
      <c r="A166" s="9">
        <v>12693</v>
      </c>
      <c r="B166" s="9">
        <v>37447</v>
      </c>
      <c r="C166" s="9" t="s">
        <v>218</v>
      </c>
      <c r="D166" s="17">
        <f t="shared" si="13"/>
        <v>12</v>
      </c>
      <c r="E166" s="10">
        <f t="shared" si="10"/>
        <v>12</v>
      </c>
      <c r="F166" s="11">
        <v>12</v>
      </c>
      <c r="G166" s="9">
        <v>514682</v>
      </c>
      <c r="H166" s="13">
        <v>40364.580555555563</v>
      </c>
      <c r="I166" s="14">
        <v>1.49</v>
      </c>
      <c r="J166" s="23">
        <f t="shared" si="11"/>
        <v>1.49</v>
      </c>
      <c r="K166" s="12">
        <v>40364</v>
      </c>
      <c r="L166" s="24">
        <v>8.0555555555555561E-2</v>
      </c>
      <c r="M166" t="s">
        <v>1013</v>
      </c>
      <c r="N166" s="15" t="str">
        <f t="shared" si="12"/>
        <v>1:56 PM</v>
      </c>
      <c r="O166" s="9" t="s">
        <v>17</v>
      </c>
      <c r="P166" s="20">
        <f t="shared" si="14"/>
        <v>17.88</v>
      </c>
    </row>
    <row r="167" spans="1:16" x14ac:dyDescent="0.25">
      <c r="A167" s="9">
        <v>13593</v>
      </c>
      <c r="B167" s="9">
        <v>84946</v>
      </c>
      <c r="C167" s="9" t="s">
        <v>24</v>
      </c>
      <c r="D167" s="17">
        <f t="shared" si="13"/>
        <v>6</v>
      </c>
      <c r="E167" s="10">
        <f t="shared" si="10"/>
        <v>6</v>
      </c>
      <c r="F167" s="11">
        <v>6</v>
      </c>
      <c r="G167" s="9">
        <v>522248</v>
      </c>
      <c r="H167" s="13">
        <v>40434.513194444437</v>
      </c>
      <c r="I167" s="14">
        <v>1.25</v>
      </c>
      <c r="J167" s="23">
        <f t="shared" si="11"/>
        <v>1.25</v>
      </c>
      <c r="K167" s="12">
        <v>40434</v>
      </c>
      <c r="L167" s="24">
        <v>0.5131944444444444</v>
      </c>
      <c r="M167" t="s">
        <v>1013</v>
      </c>
      <c r="N167" s="15" t="str">
        <f t="shared" si="12"/>
        <v>12:19 PM</v>
      </c>
      <c r="O167" s="9" t="s">
        <v>9</v>
      </c>
      <c r="P167" s="20">
        <f t="shared" si="14"/>
        <v>7.5</v>
      </c>
    </row>
    <row r="168" spans="1:16" x14ac:dyDescent="0.25">
      <c r="A168" s="9">
        <v>12621</v>
      </c>
      <c r="B168" s="9">
        <v>85216</v>
      </c>
      <c r="C168" s="9" t="s">
        <v>219</v>
      </c>
      <c r="D168" s="17">
        <f t="shared" si="13"/>
        <v>12</v>
      </c>
      <c r="E168" s="10">
        <f t="shared" si="10"/>
        <v>12</v>
      </c>
      <c r="F168" s="11">
        <v>12</v>
      </c>
      <c r="G168" s="9">
        <v>497383</v>
      </c>
      <c r="H168" s="13">
        <v>40218.500694444447</v>
      </c>
      <c r="I168" s="14">
        <v>0.65</v>
      </c>
      <c r="J168" s="23">
        <f t="shared" si="11"/>
        <v>0.65</v>
      </c>
      <c r="K168" s="12">
        <v>40218</v>
      </c>
      <c r="L168" s="24">
        <v>0.50069444444444444</v>
      </c>
      <c r="M168" t="s">
        <v>1013</v>
      </c>
      <c r="N168" s="15" t="str">
        <f t="shared" si="12"/>
        <v>12:01 PM</v>
      </c>
      <c r="O168" s="9" t="s">
        <v>220</v>
      </c>
      <c r="P168" s="20">
        <f t="shared" si="14"/>
        <v>7.8000000000000007</v>
      </c>
    </row>
    <row r="169" spans="1:16" x14ac:dyDescent="0.25">
      <c r="A169" s="9">
        <v>13694</v>
      </c>
      <c r="B169" s="9">
        <v>21378</v>
      </c>
      <c r="C169" s="9" t="s">
        <v>221</v>
      </c>
      <c r="D169" s="17">
        <f t="shared" si="13"/>
        <v>144</v>
      </c>
      <c r="E169" s="10">
        <f t="shared" si="10"/>
        <v>144</v>
      </c>
      <c r="F169" s="11">
        <v>144</v>
      </c>
      <c r="G169" s="9">
        <v>501614</v>
      </c>
      <c r="H169" s="13">
        <v>40255.456944444442</v>
      </c>
      <c r="I169" s="14">
        <v>0.65</v>
      </c>
      <c r="J169" s="23">
        <f t="shared" si="11"/>
        <v>0.65</v>
      </c>
      <c r="K169" s="12">
        <v>40255</v>
      </c>
      <c r="L169" s="24">
        <v>0.45694444444444443</v>
      </c>
      <c r="M169" t="s">
        <v>1014</v>
      </c>
      <c r="N169" s="15" t="str">
        <f t="shared" si="12"/>
        <v>10:58 AM</v>
      </c>
      <c r="O169" s="9" t="s">
        <v>9</v>
      </c>
      <c r="P169" s="20">
        <f t="shared" si="14"/>
        <v>93.600000000000009</v>
      </c>
    </row>
    <row r="170" spans="1:16" x14ac:dyDescent="0.25">
      <c r="A170" s="9">
        <v>16400</v>
      </c>
      <c r="B170" s="9">
        <v>37448</v>
      </c>
      <c r="C170" s="9" t="s">
        <v>222</v>
      </c>
      <c r="D170" s="17">
        <f t="shared" si="13"/>
        <v>1</v>
      </c>
      <c r="E170" s="10">
        <f t="shared" si="10"/>
        <v>1</v>
      </c>
      <c r="F170" s="11">
        <v>1</v>
      </c>
      <c r="G170" s="9">
        <v>508652</v>
      </c>
      <c r="H170" s="13">
        <v>40315.658333333333</v>
      </c>
      <c r="I170" s="14">
        <v>1.49</v>
      </c>
      <c r="J170" s="23">
        <f t="shared" si="11"/>
        <v>1.49</v>
      </c>
      <c r="K170" s="12">
        <v>40315</v>
      </c>
      <c r="L170" s="24">
        <v>0.15833333333333333</v>
      </c>
      <c r="M170" t="s">
        <v>1013</v>
      </c>
      <c r="N170" s="15" t="str">
        <f t="shared" si="12"/>
        <v>3:48 PM</v>
      </c>
      <c r="O170" s="9" t="s">
        <v>9</v>
      </c>
      <c r="P170" s="20">
        <f t="shared" si="14"/>
        <v>1.49</v>
      </c>
    </row>
    <row r="171" spans="1:16" x14ac:dyDescent="0.25">
      <c r="A171" s="9">
        <v>14065</v>
      </c>
      <c r="B171" s="9" t="s">
        <v>223</v>
      </c>
      <c r="C171" s="9" t="s">
        <v>224</v>
      </c>
      <c r="D171" s="17">
        <f t="shared" si="13"/>
        <v>2</v>
      </c>
      <c r="E171" s="10">
        <f t="shared" si="10"/>
        <v>2</v>
      </c>
      <c r="F171" s="11">
        <v>2</v>
      </c>
      <c r="G171" s="9">
        <v>533038</v>
      </c>
      <c r="H171" s="13">
        <v>40497.675694444442</v>
      </c>
      <c r="I171" s="14">
        <v>7.95</v>
      </c>
      <c r="J171" s="23">
        <f t="shared" si="11"/>
        <v>7.95</v>
      </c>
      <c r="K171" s="12">
        <v>40497</v>
      </c>
      <c r="L171" s="24">
        <v>0.17569444444444443</v>
      </c>
      <c r="M171" t="s">
        <v>1013</v>
      </c>
      <c r="N171" s="15" t="str">
        <f t="shared" si="12"/>
        <v>4:13 PM</v>
      </c>
      <c r="O171" s="9" t="s">
        <v>9</v>
      </c>
      <c r="P171" s="20">
        <f t="shared" si="14"/>
        <v>15.9</v>
      </c>
    </row>
    <row r="172" spans="1:16" x14ac:dyDescent="0.25">
      <c r="A172" s="9">
        <v>15272</v>
      </c>
      <c r="B172" s="9">
        <v>22058</v>
      </c>
      <c r="C172" s="9" t="s">
        <v>225</v>
      </c>
      <c r="D172" s="17">
        <f t="shared" si="13"/>
        <v>1</v>
      </c>
      <c r="E172" s="10">
        <f t="shared" si="10"/>
        <v>1</v>
      </c>
      <c r="F172" s="11">
        <v>1</v>
      </c>
      <c r="G172" s="9">
        <v>497909</v>
      </c>
      <c r="H172" s="13">
        <v>40223.568749999999</v>
      </c>
      <c r="I172" s="14">
        <v>1.49</v>
      </c>
      <c r="J172" s="23">
        <f t="shared" si="11"/>
        <v>1.49</v>
      </c>
      <c r="K172" s="12">
        <v>40223</v>
      </c>
      <c r="L172" s="24">
        <v>6.8750000000000006E-2</v>
      </c>
      <c r="M172" t="s">
        <v>1013</v>
      </c>
      <c r="N172" s="15" t="str">
        <f t="shared" si="12"/>
        <v>1:39 PM</v>
      </c>
      <c r="O172" s="9" t="s">
        <v>9</v>
      </c>
      <c r="P172" s="20">
        <f t="shared" si="14"/>
        <v>1.49</v>
      </c>
    </row>
    <row r="173" spans="1:16" x14ac:dyDescent="0.25">
      <c r="A173" s="9">
        <v>17085</v>
      </c>
      <c r="B173" s="9">
        <v>22292</v>
      </c>
      <c r="C173" s="9" t="s">
        <v>226</v>
      </c>
      <c r="D173" s="17">
        <f t="shared" si="13"/>
        <v>4</v>
      </c>
      <c r="E173" s="10">
        <f t="shared" si="10"/>
        <v>4</v>
      </c>
      <c r="F173" s="11">
        <v>4</v>
      </c>
      <c r="G173" s="9">
        <v>501267</v>
      </c>
      <c r="H173" s="13">
        <v>40252.537499999999</v>
      </c>
      <c r="I173" s="14">
        <v>1.45</v>
      </c>
      <c r="J173" s="23">
        <f t="shared" si="11"/>
        <v>1.45</v>
      </c>
      <c r="K173" s="12">
        <v>40252</v>
      </c>
      <c r="L173" s="24">
        <v>0.53749999999999998</v>
      </c>
      <c r="M173" t="s">
        <v>1013</v>
      </c>
      <c r="N173" s="15" t="str">
        <f t="shared" si="12"/>
        <v>12:54 PM</v>
      </c>
      <c r="O173" s="9" t="s">
        <v>9</v>
      </c>
      <c r="P173" s="20">
        <f t="shared" si="14"/>
        <v>5.8</v>
      </c>
    </row>
    <row r="174" spans="1:16" x14ac:dyDescent="0.25">
      <c r="A174" s="9">
        <v>17738</v>
      </c>
      <c r="B174" s="9">
        <v>22151</v>
      </c>
      <c r="C174" s="9" t="s">
        <v>227</v>
      </c>
      <c r="D174" s="17">
        <f t="shared" si="13"/>
        <v>24</v>
      </c>
      <c r="E174" s="10">
        <f t="shared" si="10"/>
        <v>24</v>
      </c>
      <c r="F174" s="11">
        <v>24</v>
      </c>
      <c r="G174" s="9">
        <v>501710</v>
      </c>
      <c r="H174" s="13">
        <v>40256.421527777777</v>
      </c>
      <c r="I174" s="14">
        <v>0.42</v>
      </c>
      <c r="J174" s="23">
        <f t="shared" si="11"/>
        <v>0.42</v>
      </c>
      <c r="K174" s="12">
        <v>40256</v>
      </c>
      <c r="L174" s="24">
        <v>0.42152777777777778</v>
      </c>
      <c r="M174" t="s">
        <v>1014</v>
      </c>
      <c r="N174" s="15" t="str">
        <f t="shared" si="12"/>
        <v>10:07 AM</v>
      </c>
      <c r="O174" s="9" t="s">
        <v>9</v>
      </c>
      <c r="P174" s="20">
        <f t="shared" si="14"/>
        <v>10.08</v>
      </c>
    </row>
    <row r="175" spans="1:16" x14ac:dyDescent="0.25">
      <c r="A175" s="9">
        <v>17804</v>
      </c>
      <c r="B175" s="9">
        <v>84789</v>
      </c>
      <c r="C175" s="9" t="s">
        <v>228</v>
      </c>
      <c r="D175" s="17">
        <f t="shared" si="13"/>
        <v>2</v>
      </c>
      <c r="E175" s="10">
        <f t="shared" si="10"/>
        <v>2</v>
      </c>
      <c r="F175" s="11">
        <v>2</v>
      </c>
      <c r="G175" s="9">
        <v>513559</v>
      </c>
      <c r="H175" s="13">
        <v>40354.565972222219</v>
      </c>
      <c r="I175" s="14">
        <v>3.75</v>
      </c>
      <c r="J175" s="23">
        <f t="shared" si="11"/>
        <v>3.75</v>
      </c>
      <c r="K175" s="12">
        <v>40354</v>
      </c>
      <c r="L175" s="24">
        <v>6.5972222222222224E-2</v>
      </c>
      <c r="M175" t="s">
        <v>1013</v>
      </c>
      <c r="N175" s="15" t="str">
        <f t="shared" si="12"/>
        <v>1:35 PM</v>
      </c>
      <c r="O175" s="9" t="s">
        <v>9</v>
      </c>
      <c r="P175" s="20">
        <f t="shared" si="14"/>
        <v>7.5</v>
      </c>
    </row>
    <row r="176" spans="1:16" x14ac:dyDescent="0.25">
      <c r="A176" s="9">
        <v>14930</v>
      </c>
      <c r="B176" s="9">
        <v>20726</v>
      </c>
      <c r="C176" s="9" t="s">
        <v>229</v>
      </c>
      <c r="D176" s="17">
        <f t="shared" si="13"/>
        <v>10</v>
      </c>
      <c r="E176" s="10">
        <f t="shared" si="10"/>
        <v>10</v>
      </c>
      <c r="F176" s="11">
        <v>10</v>
      </c>
      <c r="G176" s="9">
        <v>509759</v>
      </c>
      <c r="H176" s="13">
        <v>40323.63958333333</v>
      </c>
      <c r="I176" s="14">
        <v>1.65</v>
      </c>
      <c r="J176" s="23">
        <f t="shared" si="11"/>
        <v>1.65</v>
      </c>
      <c r="K176" s="12">
        <v>40323</v>
      </c>
      <c r="L176" s="24">
        <v>0.13958333333333334</v>
      </c>
      <c r="M176" t="s">
        <v>1013</v>
      </c>
      <c r="N176" s="15" t="str">
        <f t="shared" si="12"/>
        <v>3:21 PM</v>
      </c>
      <c r="O176" s="9" t="s">
        <v>230</v>
      </c>
      <c r="P176" s="20">
        <f t="shared" si="14"/>
        <v>16.5</v>
      </c>
    </row>
    <row r="177" spans="1:16" x14ac:dyDescent="0.25">
      <c r="A177" s="9">
        <v>17561</v>
      </c>
      <c r="B177" s="9">
        <v>22132</v>
      </c>
      <c r="C177" s="9" t="s">
        <v>231</v>
      </c>
      <c r="D177" s="17">
        <f t="shared" si="13"/>
        <v>1</v>
      </c>
      <c r="E177" s="10">
        <f t="shared" si="10"/>
        <v>1</v>
      </c>
      <c r="F177" s="11">
        <v>1</v>
      </c>
      <c r="G177" s="9">
        <v>532681</v>
      </c>
      <c r="H177" s="13">
        <v>40496.525000000001</v>
      </c>
      <c r="I177" s="14">
        <v>0.85</v>
      </c>
      <c r="J177" s="23">
        <f t="shared" si="11"/>
        <v>0.85</v>
      </c>
      <c r="K177" s="12">
        <v>40496</v>
      </c>
      <c r="L177" s="24">
        <v>0.52500000000000002</v>
      </c>
      <c r="M177" t="s">
        <v>1013</v>
      </c>
      <c r="N177" s="15" t="str">
        <f t="shared" si="12"/>
        <v>12:36 PM</v>
      </c>
      <c r="O177" s="9" t="s">
        <v>9</v>
      </c>
      <c r="P177" s="20">
        <f t="shared" si="14"/>
        <v>0.85</v>
      </c>
    </row>
    <row r="178" spans="1:16" x14ac:dyDescent="0.25">
      <c r="A178" s="9">
        <v>17449</v>
      </c>
      <c r="B178" s="9" t="s">
        <v>232</v>
      </c>
      <c r="C178" s="9" t="s">
        <v>233</v>
      </c>
      <c r="D178" s="17">
        <f t="shared" si="13"/>
        <v>4</v>
      </c>
      <c r="E178" s="10">
        <f t="shared" si="10"/>
        <v>4</v>
      </c>
      <c r="F178" s="11">
        <v>4</v>
      </c>
      <c r="G178" s="9">
        <v>500362</v>
      </c>
      <c r="H178" s="13">
        <v>40244.675000000003</v>
      </c>
      <c r="I178" s="14">
        <v>2.95</v>
      </c>
      <c r="J178" s="23">
        <f t="shared" si="11"/>
        <v>2.95</v>
      </c>
      <c r="K178" s="12">
        <v>40244</v>
      </c>
      <c r="L178" s="24">
        <v>0.17499999999999999</v>
      </c>
      <c r="M178" t="s">
        <v>1013</v>
      </c>
      <c r="N178" s="15" t="str">
        <f t="shared" si="12"/>
        <v>4:12 PM</v>
      </c>
      <c r="O178" s="9" t="s">
        <v>9</v>
      </c>
      <c r="P178" s="20">
        <f t="shared" si="14"/>
        <v>11.8</v>
      </c>
    </row>
    <row r="179" spans="1:16" x14ac:dyDescent="0.25">
      <c r="A179" s="9">
        <v>17428</v>
      </c>
      <c r="B179" s="9">
        <v>22833</v>
      </c>
      <c r="C179" s="9" t="s">
        <v>234</v>
      </c>
      <c r="D179" s="17">
        <f t="shared" si="13"/>
        <v>1</v>
      </c>
      <c r="E179" s="10">
        <f t="shared" si="10"/>
        <v>1</v>
      </c>
      <c r="F179" s="11">
        <v>1</v>
      </c>
      <c r="G179" s="9">
        <v>531735</v>
      </c>
      <c r="H179" s="13">
        <v>40491.519444444442</v>
      </c>
      <c r="I179" s="14">
        <v>49.95</v>
      </c>
      <c r="J179" s="23">
        <f t="shared" si="11"/>
        <v>49.95</v>
      </c>
      <c r="K179" s="12">
        <v>40491</v>
      </c>
      <c r="L179" s="24">
        <v>0.51944444444444449</v>
      </c>
      <c r="M179" t="s">
        <v>1013</v>
      </c>
      <c r="N179" s="15" t="str">
        <f t="shared" si="12"/>
        <v>12:28 PM</v>
      </c>
      <c r="O179" s="9" t="s">
        <v>9</v>
      </c>
      <c r="P179" s="20">
        <f t="shared" si="14"/>
        <v>49.95</v>
      </c>
    </row>
    <row r="180" spans="1:16" x14ac:dyDescent="0.25">
      <c r="A180" s="9">
        <v>12921</v>
      </c>
      <c r="B180" s="9">
        <v>22940</v>
      </c>
      <c r="C180" s="9" t="s">
        <v>235</v>
      </c>
      <c r="D180" s="17">
        <f t="shared" si="13"/>
        <v>4</v>
      </c>
      <c r="E180" s="10">
        <f t="shared" si="10"/>
        <v>4</v>
      </c>
      <c r="F180" s="11">
        <v>4</v>
      </c>
      <c r="G180" s="9">
        <v>521989</v>
      </c>
      <c r="H180" s="13">
        <v>40431.449305555558</v>
      </c>
      <c r="I180" s="14">
        <v>4.25</v>
      </c>
      <c r="J180" s="23">
        <f t="shared" si="11"/>
        <v>4.25</v>
      </c>
      <c r="K180" s="12">
        <v>40431</v>
      </c>
      <c r="L180" s="24">
        <v>0.44930555555555557</v>
      </c>
      <c r="M180" t="s">
        <v>1014</v>
      </c>
      <c r="N180" s="15" t="str">
        <f t="shared" si="12"/>
        <v>10:47 AM</v>
      </c>
      <c r="O180" s="9" t="s">
        <v>9</v>
      </c>
      <c r="P180" s="20">
        <f t="shared" si="14"/>
        <v>17</v>
      </c>
    </row>
    <row r="181" spans="1:16" x14ac:dyDescent="0.25">
      <c r="A181" s="9">
        <v>15235</v>
      </c>
      <c r="B181" s="9">
        <v>22703</v>
      </c>
      <c r="C181" s="9" t="s">
        <v>236</v>
      </c>
      <c r="D181" s="17">
        <f t="shared" si="13"/>
        <v>6</v>
      </c>
      <c r="E181" s="10">
        <f t="shared" si="10"/>
        <v>6</v>
      </c>
      <c r="F181" s="11">
        <v>6</v>
      </c>
      <c r="G181" s="9">
        <v>534516</v>
      </c>
      <c r="H181" s="13">
        <v>40505.5</v>
      </c>
      <c r="I181" s="14">
        <v>2.1</v>
      </c>
      <c r="J181" s="23">
        <f t="shared" si="11"/>
        <v>2.1</v>
      </c>
      <c r="K181" s="12">
        <v>40505</v>
      </c>
      <c r="L181" s="24">
        <v>0.5</v>
      </c>
      <c r="M181" t="s">
        <v>1013</v>
      </c>
      <c r="N181" s="15" t="str">
        <f t="shared" si="12"/>
        <v>12:00 PM</v>
      </c>
      <c r="O181" s="9" t="s">
        <v>9</v>
      </c>
      <c r="P181" s="20">
        <f t="shared" si="14"/>
        <v>12.600000000000001</v>
      </c>
    </row>
    <row r="182" spans="1:16" x14ac:dyDescent="0.25">
      <c r="A182" s="9">
        <v>14911</v>
      </c>
      <c r="B182" s="9" t="s">
        <v>237</v>
      </c>
      <c r="C182" s="9" t="s">
        <v>238</v>
      </c>
      <c r="D182" s="17">
        <f t="shared" si="13"/>
        <v>12</v>
      </c>
      <c r="E182" s="10">
        <f t="shared" si="10"/>
        <v>12</v>
      </c>
      <c r="F182" s="11">
        <v>12</v>
      </c>
      <c r="G182" s="9">
        <v>512280</v>
      </c>
      <c r="H182" s="13">
        <v>40343.585416666669</v>
      </c>
      <c r="I182" s="14">
        <v>1.25</v>
      </c>
      <c r="J182" s="23">
        <f t="shared" si="11"/>
        <v>1.25</v>
      </c>
      <c r="K182" s="12">
        <v>40343</v>
      </c>
      <c r="L182" s="24">
        <v>8.5416666666666669E-2</v>
      </c>
      <c r="M182" t="s">
        <v>1013</v>
      </c>
      <c r="N182" s="15" t="str">
        <f t="shared" si="12"/>
        <v>2:03 PM</v>
      </c>
      <c r="O182" s="9" t="s">
        <v>11</v>
      </c>
      <c r="P182" s="20">
        <f t="shared" si="14"/>
        <v>15</v>
      </c>
    </row>
    <row r="183" spans="1:16" x14ac:dyDescent="0.25">
      <c r="A183" s="9">
        <v>14426</v>
      </c>
      <c r="B183" s="9">
        <v>21586</v>
      </c>
      <c r="C183" s="9" t="s">
        <v>239</v>
      </c>
      <c r="D183" s="17">
        <f t="shared" si="13"/>
        <v>12</v>
      </c>
      <c r="E183" s="10">
        <f t="shared" si="10"/>
        <v>12</v>
      </c>
      <c r="F183" s="11">
        <v>12</v>
      </c>
      <c r="G183" s="9">
        <v>500125</v>
      </c>
      <c r="H183" s="13">
        <v>40241.60833333333</v>
      </c>
      <c r="I183" s="14">
        <v>2.5499999999999998</v>
      </c>
      <c r="J183" s="23">
        <f t="shared" si="11"/>
        <v>2.5499999999999998</v>
      </c>
      <c r="K183" s="12">
        <v>40241</v>
      </c>
      <c r="L183" s="24">
        <v>0.10833333333333334</v>
      </c>
      <c r="M183" t="s">
        <v>1013</v>
      </c>
      <c r="N183" s="15" t="str">
        <f t="shared" si="12"/>
        <v>2:36 PM</v>
      </c>
      <c r="O183" s="9" t="s">
        <v>9</v>
      </c>
      <c r="P183" s="20">
        <f t="shared" si="14"/>
        <v>30.599999999999998</v>
      </c>
    </row>
    <row r="184" spans="1:16" x14ac:dyDescent="0.25">
      <c r="A184" s="9">
        <v>13694</v>
      </c>
      <c r="B184" s="9">
        <v>20869</v>
      </c>
      <c r="C184" s="9" t="s">
        <v>240</v>
      </c>
      <c r="D184" s="17">
        <f t="shared" si="13"/>
        <v>240</v>
      </c>
      <c r="E184" s="10">
        <f t="shared" si="10"/>
        <v>240</v>
      </c>
      <c r="F184" s="11">
        <v>240</v>
      </c>
      <c r="G184" s="9">
        <v>493436</v>
      </c>
      <c r="H184" s="13">
        <v>40182.543749999997</v>
      </c>
      <c r="I184" s="14">
        <v>0.38</v>
      </c>
      <c r="J184" s="23">
        <f t="shared" si="11"/>
        <v>0.38</v>
      </c>
      <c r="K184" s="12">
        <v>40182</v>
      </c>
      <c r="L184" s="24">
        <v>4.3749999999999997E-2</v>
      </c>
      <c r="M184" t="s">
        <v>1013</v>
      </c>
      <c r="N184" s="15" t="str">
        <f t="shared" si="12"/>
        <v>1:03 PM</v>
      </c>
      <c r="O184" s="9" t="s">
        <v>9</v>
      </c>
      <c r="P184" s="20">
        <f t="shared" si="14"/>
        <v>91.2</v>
      </c>
    </row>
    <row r="185" spans="1:16" x14ac:dyDescent="0.25">
      <c r="A185" s="9">
        <v>16555</v>
      </c>
      <c r="B185" s="9">
        <v>37500</v>
      </c>
      <c r="C185" s="9" t="s">
        <v>242</v>
      </c>
      <c r="D185" s="17">
        <f t="shared" si="13"/>
        <v>4</v>
      </c>
      <c r="E185" s="10">
        <f t="shared" si="10"/>
        <v>-4</v>
      </c>
      <c r="F185" s="11">
        <v>-4</v>
      </c>
      <c r="G185" s="9" t="s">
        <v>241</v>
      </c>
      <c r="H185" s="13">
        <v>40385.570833333331</v>
      </c>
      <c r="I185" s="14">
        <v>9.9499999999999993</v>
      </c>
      <c r="J185" s="23">
        <f t="shared" si="11"/>
        <v>9.9499999999999993</v>
      </c>
      <c r="K185" s="12">
        <v>40385</v>
      </c>
      <c r="L185" s="24">
        <v>7.0833333333333331E-2</v>
      </c>
      <c r="M185" t="s">
        <v>1013</v>
      </c>
      <c r="N185" s="15" t="str">
        <f t="shared" si="12"/>
        <v>1:42 PM</v>
      </c>
      <c r="O185" s="9" t="s">
        <v>9</v>
      </c>
      <c r="P185" s="20">
        <f t="shared" si="14"/>
        <v>39.799999999999997</v>
      </c>
    </row>
    <row r="186" spans="1:16" x14ac:dyDescent="0.25">
      <c r="A186" s="9">
        <v>13819</v>
      </c>
      <c r="B186" s="9">
        <v>21213</v>
      </c>
      <c r="C186" s="9" t="s">
        <v>243</v>
      </c>
      <c r="D186" s="17">
        <f t="shared" si="13"/>
        <v>24</v>
      </c>
      <c r="E186" s="10">
        <f t="shared" si="10"/>
        <v>24</v>
      </c>
      <c r="F186" s="11">
        <v>24</v>
      </c>
      <c r="G186" s="9">
        <v>497341</v>
      </c>
      <c r="H186" s="13">
        <v>40217.645833333343</v>
      </c>
      <c r="I186" s="14">
        <v>0.55000000000000004</v>
      </c>
      <c r="J186" s="23">
        <f t="shared" si="11"/>
        <v>0.55000000000000004</v>
      </c>
      <c r="K186" s="12">
        <v>40217</v>
      </c>
      <c r="L186" s="24">
        <v>0.14583333333333334</v>
      </c>
      <c r="M186" t="s">
        <v>1013</v>
      </c>
      <c r="N186" s="15" t="str">
        <f t="shared" si="12"/>
        <v>3:30 PM</v>
      </c>
      <c r="O186" s="9" t="s">
        <v>9</v>
      </c>
      <c r="P186" s="20">
        <f t="shared" si="14"/>
        <v>13.200000000000001</v>
      </c>
    </row>
    <row r="187" spans="1:16" x14ac:dyDescent="0.25">
      <c r="A187" s="9">
        <v>12356</v>
      </c>
      <c r="B187" s="9">
        <v>22956</v>
      </c>
      <c r="C187" s="9" t="s">
        <v>244</v>
      </c>
      <c r="D187" s="17">
        <f t="shared" si="13"/>
        <v>48</v>
      </c>
      <c r="E187" s="10">
        <f t="shared" si="10"/>
        <v>48</v>
      </c>
      <c r="F187" s="11">
        <v>48</v>
      </c>
      <c r="G187" s="9">
        <v>532305</v>
      </c>
      <c r="H187" s="13">
        <v>40493.599305555559</v>
      </c>
      <c r="I187" s="14">
        <v>1.85</v>
      </c>
      <c r="J187" s="23">
        <f t="shared" si="11"/>
        <v>1.85</v>
      </c>
      <c r="K187" s="12">
        <v>40493</v>
      </c>
      <c r="L187" s="24">
        <v>9.930555555555555E-2</v>
      </c>
      <c r="M187" t="s">
        <v>1013</v>
      </c>
      <c r="N187" s="15" t="str">
        <f t="shared" si="12"/>
        <v>2:23 PM</v>
      </c>
      <c r="O187" s="9" t="s">
        <v>245</v>
      </c>
      <c r="P187" s="20">
        <f t="shared" si="14"/>
        <v>88.800000000000011</v>
      </c>
    </row>
    <row r="188" spans="1:16" x14ac:dyDescent="0.25">
      <c r="A188" s="9">
        <v>17739</v>
      </c>
      <c r="B188" s="9">
        <v>22665</v>
      </c>
      <c r="C188" s="9" t="s">
        <v>102</v>
      </c>
      <c r="D188" s="17">
        <f t="shared" si="13"/>
        <v>12</v>
      </c>
      <c r="E188" s="10">
        <f t="shared" si="10"/>
        <v>12</v>
      </c>
      <c r="F188" s="11">
        <v>12</v>
      </c>
      <c r="G188" s="9">
        <v>530163</v>
      </c>
      <c r="H188" s="17" t="s">
        <v>246</v>
      </c>
      <c r="I188" s="14">
        <v>2.95</v>
      </c>
      <c r="J188" s="23">
        <f t="shared" si="11"/>
        <v>2.95</v>
      </c>
      <c r="K188" s="12">
        <v>40484</v>
      </c>
      <c r="L188" s="25">
        <v>0.3347222222222222</v>
      </c>
      <c r="N188" s="15" t="str">
        <f t="shared" si="12"/>
        <v xml:space="preserve">8:02 </v>
      </c>
      <c r="O188" s="9" t="s">
        <v>9</v>
      </c>
      <c r="P188" s="20">
        <f t="shared" si="14"/>
        <v>35.400000000000006</v>
      </c>
    </row>
    <row r="189" spans="1:16" x14ac:dyDescent="0.25">
      <c r="A189" s="9">
        <v>13089</v>
      </c>
      <c r="B189" s="9">
        <v>22633</v>
      </c>
      <c r="C189" s="9" t="s">
        <v>247</v>
      </c>
      <c r="D189" s="17">
        <f t="shared" si="13"/>
        <v>12</v>
      </c>
      <c r="E189" s="10">
        <f t="shared" si="10"/>
        <v>12</v>
      </c>
      <c r="F189" s="11">
        <v>12</v>
      </c>
      <c r="G189" s="9">
        <v>525860</v>
      </c>
      <c r="H189" s="13">
        <v>40458.554861111108</v>
      </c>
      <c r="I189" s="14">
        <v>2.1</v>
      </c>
      <c r="J189" s="23">
        <f t="shared" si="11"/>
        <v>2.1</v>
      </c>
      <c r="K189" s="12">
        <v>40458</v>
      </c>
      <c r="L189" s="24">
        <v>5.486111111111111E-2</v>
      </c>
      <c r="M189" t="s">
        <v>1013</v>
      </c>
      <c r="N189" s="15" t="str">
        <f t="shared" si="12"/>
        <v>1:19 PM</v>
      </c>
      <c r="O189" s="9" t="s">
        <v>9</v>
      </c>
      <c r="P189" s="20">
        <f t="shared" si="14"/>
        <v>25.200000000000003</v>
      </c>
    </row>
    <row r="190" spans="1:16" x14ac:dyDescent="0.25">
      <c r="A190" s="9">
        <v>17022</v>
      </c>
      <c r="B190" s="9">
        <v>21564</v>
      </c>
      <c r="C190" s="9" t="s">
        <v>248</v>
      </c>
      <c r="D190" s="17">
        <f t="shared" si="13"/>
        <v>6</v>
      </c>
      <c r="E190" s="10">
        <f t="shared" si="10"/>
        <v>6</v>
      </c>
      <c r="F190" s="11">
        <v>6</v>
      </c>
      <c r="G190" s="9">
        <v>525002</v>
      </c>
      <c r="H190" s="13">
        <v>40454.435416666667</v>
      </c>
      <c r="I190" s="14">
        <v>2.95</v>
      </c>
      <c r="J190" s="23">
        <f t="shared" si="11"/>
        <v>2.95</v>
      </c>
      <c r="K190" s="12">
        <v>40454</v>
      </c>
      <c r="L190" s="24">
        <v>0.43541666666666667</v>
      </c>
      <c r="M190" t="s">
        <v>1014</v>
      </c>
      <c r="N190" s="15" t="str">
        <f t="shared" si="12"/>
        <v>10:27 AM</v>
      </c>
      <c r="O190" s="9" t="s">
        <v>9</v>
      </c>
      <c r="P190" s="20">
        <f t="shared" si="14"/>
        <v>17.700000000000003</v>
      </c>
    </row>
    <row r="191" spans="1:16" x14ac:dyDescent="0.25">
      <c r="A191" s="9">
        <v>14395</v>
      </c>
      <c r="B191" s="9">
        <v>20992</v>
      </c>
      <c r="C191" s="9" t="s">
        <v>249</v>
      </c>
      <c r="D191" s="17">
        <f t="shared" si="13"/>
        <v>4</v>
      </c>
      <c r="E191" s="10">
        <f t="shared" si="10"/>
        <v>4</v>
      </c>
      <c r="F191" s="11">
        <v>4</v>
      </c>
      <c r="G191" s="9">
        <v>507691</v>
      </c>
      <c r="H191" s="13">
        <v>40309.429861111108</v>
      </c>
      <c r="I191" s="14">
        <v>0.85</v>
      </c>
      <c r="J191" s="23">
        <f t="shared" si="11"/>
        <v>0.85</v>
      </c>
      <c r="K191" s="12">
        <v>40309</v>
      </c>
      <c r="L191" s="24">
        <v>0.42986111111111114</v>
      </c>
      <c r="M191" t="s">
        <v>1014</v>
      </c>
      <c r="N191" s="15" t="str">
        <f t="shared" si="12"/>
        <v>10:19 AM</v>
      </c>
      <c r="O191" s="9" t="s">
        <v>9</v>
      </c>
      <c r="P191" s="20">
        <f t="shared" si="14"/>
        <v>3.4</v>
      </c>
    </row>
    <row r="192" spans="1:16" x14ac:dyDescent="0.25">
      <c r="A192" s="9">
        <v>13297</v>
      </c>
      <c r="B192" s="9">
        <v>22605</v>
      </c>
      <c r="C192" s="9" t="s">
        <v>103</v>
      </c>
      <c r="D192" s="17">
        <f t="shared" si="13"/>
        <v>0</v>
      </c>
      <c r="E192" s="10">
        <f t="shared" si="10"/>
        <v>0</v>
      </c>
      <c r="F192" s="11"/>
      <c r="G192" s="9">
        <v>512400</v>
      </c>
      <c r="H192" s="13">
        <v>40344.524305555547</v>
      </c>
      <c r="I192" s="14">
        <v>12.75</v>
      </c>
      <c r="J192" s="23">
        <f t="shared" si="11"/>
        <v>12.75</v>
      </c>
      <c r="K192" s="12">
        <v>40344</v>
      </c>
      <c r="L192" s="24">
        <v>0.52430555555555558</v>
      </c>
      <c r="M192" t="s">
        <v>1013</v>
      </c>
      <c r="N192" s="15" t="str">
        <f t="shared" si="12"/>
        <v>12:35 PM</v>
      </c>
      <c r="O192" s="9" t="s">
        <v>9</v>
      </c>
      <c r="P192" s="20">
        <f t="shared" si="14"/>
        <v>0</v>
      </c>
    </row>
    <row r="193" spans="1:16" x14ac:dyDescent="0.25">
      <c r="A193" s="9">
        <v>15596</v>
      </c>
      <c r="B193" s="9">
        <v>22501</v>
      </c>
      <c r="C193" s="9" t="s">
        <v>250</v>
      </c>
      <c r="D193" s="17">
        <f t="shared" si="13"/>
        <v>2</v>
      </c>
      <c r="E193" s="10">
        <f t="shared" si="10"/>
        <v>2</v>
      </c>
      <c r="F193" s="11">
        <v>2</v>
      </c>
      <c r="G193" s="9">
        <v>525172</v>
      </c>
      <c r="H193" s="13">
        <v>40455.515277777777</v>
      </c>
      <c r="I193" s="14">
        <v>9.9499999999999993</v>
      </c>
      <c r="J193" s="23">
        <f t="shared" si="11"/>
        <v>9.9499999999999993</v>
      </c>
      <c r="K193" s="12">
        <v>40455</v>
      </c>
      <c r="L193" s="24">
        <v>0.51527777777777772</v>
      </c>
      <c r="M193" t="s">
        <v>1013</v>
      </c>
      <c r="N193" s="15" t="str">
        <f t="shared" si="12"/>
        <v>12:22 PM</v>
      </c>
      <c r="O193" s="9" t="s">
        <v>9</v>
      </c>
      <c r="P193" s="20">
        <f t="shared" si="14"/>
        <v>19.899999999999999</v>
      </c>
    </row>
    <row r="194" spans="1:16" x14ac:dyDescent="0.25">
      <c r="A194" s="9">
        <v>15641</v>
      </c>
      <c r="B194" s="9">
        <v>84869</v>
      </c>
      <c r="C194" s="9" t="s">
        <v>251</v>
      </c>
      <c r="D194" s="17">
        <f t="shared" si="13"/>
        <v>12</v>
      </c>
      <c r="E194" s="10">
        <f t="shared" ref="E194:E257" si="15">VALUE(F194)</f>
        <v>12</v>
      </c>
      <c r="F194" s="11">
        <v>12</v>
      </c>
      <c r="G194" s="9">
        <v>492216</v>
      </c>
      <c r="H194" s="13">
        <v>40162.725694444453</v>
      </c>
      <c r="I194" s="14">
        <v>1.95</v>
      </c>
      <c r="J194" s="23">
        <f t="shared" ref="J194:J257" si="16">VALUE(I194)</f>
        <v>1.95</v>
      </c>
      <c r="K194" s="12">
        <v>40162</v>
      </c>
      <c r="L194" s="24">
        <v>0.22569444444444445</v>
      </c>
      <c r="M194" t="s">
        <v>1013</v>
      </c>
      <c r="N194" s="15" t="str">
        <f t="shared" ref="N194:N257" si="17">TEXT(L194,"h:mm")&amp;" "&amp;M194</f>
        <v>5:25 PM</v>
      </c>
      <c r="O194" s="9" t="s">
        <v>9</v>
      </c>
      <c r="P194" s="20">
        <f t="shared" si="14"/>
        <v>23.4</v>
      </c>
    </row>
    <row r="195" spans="1:16" x14ac:dyDescent="0.25">
      <c r="A195" s="9">
        <v>15768</v>
      </c>
      <c r="B195" s="9">
        <v>22151</v>
      </c>
      <c r="C195" s="9" t="s">
        <v>227</v>
      </c>
      <c r="D195" s="17">
        <f t="shared" ref="D195:D258" si="18">ABS(E195)</f>
        <v>2</v>
      </c>
      <c r="E195" s="10">
        <f t="shared" si="15"/>
        <v>2</v>
      </c>
      <c r="F195" s="11">
        <v>2</v>
      </c>
      <c r="G195" s="9">
        <v>490008</v>
      </c>
      <c r="H195" s="13">
        <v>40150.506944444453</v>
      </c>
      <c r="I195" s="14">
        <v>0.42</v>
      </c>
      <c r="J195" s="23">
        <f t="shared" si="16"/>
        <v>0.42</v>
      </c>
      <c r="K195" s="12">
        <v>40150</v>
      </c>
      <c r="L195" s="24">
        <v>0.50694444444444442</v>
      </c>
      <c r="M195" t="s">
        <v>1013</v>
      </c>
      <c r="N195" s="15" t="str">
        <f t="shared" si="17"/>
        <v>12:10 PM</v>
      </c>
      <c r="O195" s="9" t="s">
        <v>9</v>
      </c>
      <c r="P195" s="20">
        <f t="shared" ref="P195:P258" si="19">PRODUCT(D195,(J195))</f>
        <v>0.84</v>
      </c>
    </row>
    <row r="196" spans="1:16" x14ac:dyDescent="0.25">
      <c r="A196" s="9">
        <v>12949</v>
      </c>
      <c r="B196" s="9">
        <v>37448</v>
      </c>
      <c r="C196" s="9" t="s">
        <v>222</v>
      </c>
      <c r="D196" s="17">
        <f t="shared" si="18"/>
        <v>24</v>
      </c>
      <c r="E196" s="10">
        <f t="shared" si="15"/>
        <v>24</v>
      </c>
      <c r="F196" s="11">
        <v>24</v>
      </c>
      <c r="G196" s="9" t="s">
        <v>252</v>
      </c>
      <c r="H196" s="13">
        <v>40150.663888888892</v>
      </c>
      <c r="I196" s="14">
        <v>1.49</v>
      </c>
      <c r="J196" s="23">
        <f t="shared" si="16"/>
        <v>1.49</v>
      </c>
      <c r="K196" s="12">
        <v>40150</v>
      </c>
      <c r="L196" s="24">
        <v>0.16388888888888889</v>
      </c>
      <c r="M196" t="s">
        <v>1013</v>
      </c>
      <c r="N196" s="15" t="str">
        <f t="shared" si="17"/>
        <v>3:56 PM</v>
      </c>
      <c r="O196" s="9" t="s">
        <v>9</v>
      </c>
      <c r="P196" s="20">
        <f t="shared" si="19"/>
        <v>35.76</v>
      </c>
    </row>
    <row r="197" spans="1:16" x14ac:dyDescent="0.25">
      <c r="A197" s="9">
        <v>16551</v>
      </c>
      <c r="B197" s="9">
        <v>21843</v>
      </c>
      <c r="C197" s="9" t="s">
        <v>253</v>
      </c>
      <c r="D197" s="17">
        <f t="shared" si="18"/>
        <v>3</v>
      </c>
      <c r="E197" s="10">
        <f t="shared" si="15"/>
        <v>3</v>
      </c>
      <c r="F197" s="11">
        <v>3</v>
      </c>
      <c r="G197" s="9">
        <v>497346</v>
      </c>
      <c r="H197" s="13">
        <v>40217.658333333333</v>
      </c>
      <c r="I197" s="14">
        <v>10.95</v>
      </c>
      <c r="J197" s="23">
        <f t="shared" si="16"/>
        <v>10.95</v>
      </c>
      <c r="K197" s="12">
        <v>40217</v>
      </c>
      <c r="L197" s="24">
        <v>0.15833333333333333</v>
      </c>
      <c r="M197" t="s">
        <v>1013</v>
      </c>
      <c r="N197" s="15" t="str">
        <f t="shared" si="17"/>
        <v>3:48 PM</v>
      </c>
      <c r="O197" s="9" t="s">
        <v>9</v>
      </c>
      <c r="P197" s="20">
        <f t="shared" si="19"/>
        <v>32.849999999999994</v>
      </c>
    </row>
    <row r="198" spans="1:16" x14ac:dyDescent="0.25">
      <c r="A198" s="9">
        <v>17091</v>
      </c>
      <c r="B198" s="9">
        <v>22607</v>
      </c>
      <c r="C198" s="9" t="s">
        <v>254</v>
      </c>
      <c r="D198" s="17">
        <f t="shared" si="18"/>
        <v>2</v>
      </c>
      <c r="E198" s="10">
        <f t="shared" si="15"/>
        <v>2</v>
      </c>
      <c r="F198" s="11">
        <v>2</v>
      </c>
      <c r="G198" s="9">
        <v>506718</v>
      </c>
      <c r="H198" s="13">
        <v>40302.375694444447</v>
      </c>
      <c r="I198" s="14">
        <v>8.5</v>
      </c>
      <c r="J198" s="23">
        <f t="shared" si="16"/>
        <v>8.5</v>
      </c>
      <c r="K198" s="12">
        <v>40302</v>
      </c>
      <c r="L198" s="24">
        <v>0.37569444444444444</v>
      </c>
      <c r="M198" t="s">
        <v>1014</v>
      </c>
      <c r="N198" s="15" t="str">
        <f t="shared" si="17"/>
        <v>9:01 AM</v>
      </c>
      <c r="O198" s="9" t="s">
        <v>9</v>
      </c>
      <c r="P198" s="20">
        <f t="shared" si="19"/>
        <v>17</v>
      </c>
    </row>
    <row r="199" spans="1:16" x14ac:dyDescent="0.25">
      <c r="A199" s="9">
        <v>15024</v>
      </c>
      <c r="B199" s="9">
        <v>22441</v>
      </c>
      <c r="C199" s="9" t="s">
        <v>255</v>
      </c>
      <c r="D199" s="17">
        <f t="shared" si="18"/>
        <v>3</v>
      </c>
      <c r="E199" s="10">
        <f t="shared" si="15"/>
        <v>3</v>
      </c>
      <c r="F199" s="11">
        <v>3</v>
      </c>
      <c r="G199" s="9">
        <v>526462</v>
      </c>
      <c r="H199" s="13">
        <v>40462.676388888889</v>
      </c>
      <c r="I199" s="14">
        <v>2.1</v>
      </c>
      <c r="J199" s="23">
        <f t="shared" si="16"/>
        <v>2.1</v>
      </c>
      <c r="K199" s="12">
        <v>40462</v>
      </c>
      <c r="L199" s="24">
        <v>0.1763888888888889</v>
      </c>
      <c r="M199" t="s">
        <v>1013</v>
      </c>
      <c r="N199" s="15" t="str">
        <f t="shared" si="17"/>
        <v>4:14 PM</v>
      </c>
      <c r="O199" s="9" t="s">
        <v>9</v>
      </c>
      <c r="P199" s="20">
        <f t="shared" si="19"/>
        <v>6.3000000000000007</v>
      </c>
    </row>
    <row r="200" spans="1:16" x14ac:dyDescent="0.25">
      <c r="A200" s="9">
        <v>14194</v>
      </c>
      <c r="B200" s="9">
        <v>85200</v>
      </c>
      <c r="C200" s="9" t="s">
        <v>256</v>
      </c>
      <c r="D200" s="17">
        <f t="shared" si="18"/>
        <v>12</v>
      </c>
      <c r="E200" s="10">
        <f t="shared" si="15"/>
        <v>12</v>
      </c>
      <c r="F200" s="11">
        <v>12</v>
      </c>
      <c r="G200" s="9">
        <v>499900</v>
      </c>
      <c r="H200" s="13">
        <v>40240.501388888893</v>
      </c>
      <c r="I200" s="14">
        <v>1.25</v>
      </c>
      <c r="J200" s="23">
        <f t="shared" si="16"/>
        <v>1.25</v>
      </c>
      <c r="K200" s="12">
        <v>40240</v>
      </c>
      <c r="L200" s="24">
        <v>0.50138888888888888</v>
      </c>
      <c r="M200" t="s">
        <v>1013</v>
      </c>
      <c r="N200" s="15" t="str">
        <f t="shared" si="17"/>
        <v>12:02 PM</v>
      </c>
      <c r="O200" s="9" t="s">
        <v>9</v>
      </c>
      <c r="P200" s="20">
        <f t="shared" si="19"/>
        <v>15</v>
      </c>
    </row>
    <row r="201" spans="1:16" x14ac:dyDescent="0.25">
      <c r="A201" s="9">
        <v>16085</v>
      </c>
      <c r="B201" s="9">
        <v>21790</v>
      </c>
      <c r="C201" s="9" t="s">
        <v>257</v>
      </c>
      <c r="D201" s="17">
        <f t="shared" si="18"/>
        <v>3</v>
      </c>
      <c r="E201" s="10">
        <f t="shared" si="15"/>
        <v>3</v>
      </c>
      <c r="F201" s="11">
        <v>3</v>
      </c>
      <c r="G201" s="9">
        <v>495029</v>
      </c>
      <c r="H201" s="13">
        <v>40198.585416666669</v>
      </c>
      <c r="I201" s="14">
        <v>0.85</v>
      </c>
      <c r="J201" s="23">
        <f t="shared" si="16"/>
        <v>0.85</v>
      </c>
      <c r="K201" s="12">
        <v>40198</v>
      </c>
      <c r="L201" s="24">
        <v>8.5416666666666669E-2</v>
      </c>
      <c r="M201" t="s">
        <v>1013</v>
      </c>
      <c r="N201" s="15" t="str">
        <f t="shared" si="17"/>
        <v>2:03 PM</v>
      </c>
      <c r="O201" s="9" t="s">
        <v>9</v>
      </c>
      <c r="P201" s="20">
        <f t="shared" si="19"/>
        <v>2.5499999999999998</v>
      </c>
    </row>
    <row r="202" spans="1:16" x14ac:dyDescent="0.25">
      <c r="A202" s="9">
        <v>13869</v>
      </c>
      <c r="B202" s="9">
        <v>22576</v>
      </c>
      <c r="C202" s="9" t="s">
        <v>258</v>
      </c>
      <c r="D202" s="17">
        <f t="shared" si="18"/>
        <v>4</v>
      </c>
      <c r="E202" s="10">
        <f t="shared" si="15"/>
        <v>4</v>
      </c>
      <c r="F202" s="11">
        <v>4</v>
      </c>
      <c r="G202" s="9">
        <v>534656</v>
      </c>
      <c r="H202" s="13">
        <v>40505.566666666673</v>
      </c>
      <c r="I202" s="14">
        <v>0.85</v>
      </c>
      <c r="J202" s="23">
        <f t="shared" si="16"/>
        <v>0.85</v>
      </c>
      <c r="K202" s="12">
        <v>40505</v>
      </c>
      <c r="L202" s="24">
        <v>6.6666666666666666E-2</v>
      </c>
      <c r="M202" t="s">
        <v>1013</v>
      </c>
      <c r="N202" s="15" t="str">
        <f t="shared" si="17"/>
        <v>1:36 PM</v>
      </c>
      <c r="O202" s="9" t="s">
        <v>9</v>
      </c>
      <c r="P202" s="20">
        <f t="shared" si="19"/>
        <v>3.4</v>
      </c>
    </row>
    <row r="203" spans="1:16" x14ac:dyDescent="0.25">
      <c r="A203" s="9">
        <v>17589</v>
      </c>
      <c r="B203" s="9">
        <v>22553</v>
      </c>
      <c r="C203" s="9" t="s">
        <v>259</v>
      </c>
      <c r="D203" s="17">
        <f t="shared" si="18"/>
        <v>10</v>
      </c>
      <c r="E203" s="10">
        <f t="shared" si="15"/>
        <v>10</v>
      </c>
      <c r="F203" s="11">
        <v>10</v>
      </c>
      <c r="G203" s="9">
        <v>514355</v>
      </c>
      <c r="H203" s="13">
        <v>40360.699999999997</v>
      </c>
      <c r="I203" s="14">
        <v>1.65</v>
      </c>
      <c r="J203" s="23">
        <f t="shared" si="16"/>
        <v>1.65</v>
      </c>
      <c r="K203" s="12">
        <v>40360</v>
      </c>
      <c r="L203" s="24">
        <v>0.2</v>
      </c>
      <c r="M203" t="s">
        <v>1013</v>
      </c>
      <c r="N203" s="15" t="str">
        <f t="shared" si="17"/>
        <v>4:48 PM</v>
      </c>
      <c r="O203" s="9" t="s">
        <v>9</v>
      </c>
      <c r="P203" s="20">
        <f t="shared" si="19"/>
        <v>16.5</v>
      </c>
    </row>
    <row r="204" spans="1:16" x14ac:dyDescent="0.25">
      <c r="A204" s="9">
        <v>17338</v>
      </c>
      <c r="B204" s="9">
        <v>22396</v>
      </c>
      <c r="C204" s="9" t="s">
        <v>260</v>
      </c>
      <c r="D204" s="17">
        <f t="shared" si="18"/>
        <v>1</v>
      </c>
      <c r="E204" s="10">
        <f t="shared" si="15"/>
        <v>1</v>
      </c>
      <c r="F204" s="11">
        <v>1</v>
      </c>
      <c r="G204" s="9">
        <v>532076</v>
      </c>
      <c r="H204" s="13">
        <v>40492.625</v>
      </c>
      <c r="I204" s="14">
        <v>1.25</v>
      </c>
      <c r="J204" s="23">
        <f t="shared" si="16"/>
        <v>1.25</v>
      </c>
      <c r="K204" s="12">
        <v>40492</v>
      </c>
      <c r="L204" s="24">
        <v>0.125</v>
      </c>
      <c r="M204" t="s">
        <v>1013</v>
      </c>
      <c r="N204" s="15" t="str">
        <f t="shared" si="17"/>
        <v>3:00 PM</v>
      </c>
      <c r="O204" s="9" t="s">
        <v>9</v>
      </c>
      <c r="P204" s="20">
        <f t="shared" si="19"/>
        <v>1.25</v>
      </c>
    </row>
    <row r="205" spans="1:16" x14ac:dyDescent="0.25">
      <c r="A205" s="9">
        <v>12359</v>
      </c>
      <c r="B205" s="9">
        <v>20819</v>
      </c>
      <c r="C205" s="9" t="s">
        <v>261</v>
      </c>
      <c r="D205" s="17">
        <f t="shared" si="18"/>
        <v>4</v>
      </c>
      <c r="E205" s="10">
        <f t="shared" si="15"/>
        <v>4</v>
      </c>
      <c r="F205" s="11">
        <v>4</v>
      </c>
      <c r="G205" s="9">
        <v>490382</v>
      </c>
      <c r="H205" s="13">
        <v>40152.563888888893</v>
      </c>
      <c r="I205" s="14">
        <v>3.75</v>
      </c>
      <c r="J205" s="23">
        <f t="shared" si="16"/>
        <v>3.75</v>
      </c>
      <c r="K205" s="12">
        <v>40152</v>
      </c>
      <c r="L205" s="24">
        <v>6.3888888888888884E-2</v>
      </c>
      <c r="M205" t="s">
        <v>1013</v>
      </c>
      <c r="N205" s="15" t="str">
        <f t="shared" si="17"/>
        <v>1:32 PM</v>
      </c>
      <c r="O205" s="9" t="s">
        <v>160</v>
      </c>
      <c r="P205" s="20">
        <f t="shared" si="19"/>
        <v>15</v>
      </c>
    </row>
    <row r="206" spans="1:16" x14ac:dyDescent="0.25">
      <c r="A206" s="9">
        <v>16170</v>
      </c>
      <c r="B206" s="9">
        <v>85016</v>
      </c>
      <c r="C206" s="9" t="s">
        <v>262</v>
      </c>
      <c r="D206" s="17">
        <f t="shared" si="18"/>
        <v>6</v>
      </c>
      <c r="E206" s="10">
        <f t="shared" si="15"/>
        <v>6</v>
      </c>
      <c r="F206" s="11">
        <v>6</v>
      </c>
      <c r="G206" s="9">
        <v>518426</v>
      </c>
      <c r="H206" s="13">
        <v>40399.40625</v>
      </c>
      <c r="I206" s="14" t="s">
        <v>263</v>
      </c>
      <c r="J206" s="23">
        <f t="shared" si="16"/>
        <v>2.5499999999999998</v>
      </c>
      <c r="K206" s="12">
        <v>40399</v>
      </c>
      <c r="L206" s="24">
        <v>0.40625</v>
      </c>
      <c r="M206" t="s">
        <v>1014</v>
      </c>
      <c r="N206" s="15" t="str">
        <f t="shared" si="17"/>
        <v>9:45 AM</v>
      </c>
      <c r="O206" s="9" t="s">
        <v>9</v>
      </c>
      <c r="P206" s="20">
        <f t="shared" si="19"/>
        <v>15.299999999999999</v>
      </c>
    </row>
    <row r="207" spans="1:16" x14ac:dyDescent="0.25">
      <c r="A207" s="9">
        <v>16072</v>
      </c>
      <c r="B207" s="9">
        <v>22909</v>
      </c>
      <c r="C207" s="9" t="s">
        <v>157</v>
      </c>
      <c r="D207" s="17">
        <f t="shared" si="18"/>
        <v>8</v>
      </c>
      <c r="E207" s="10">
        <f t="shared" si="15"/>
        <v>8</v>
      </c>
      <c r="F207" s="11">
        <v>8</v>
      </c>
      <c r="G207" s="9">
        <v>525928</v>
      </c>
      <c r="H207" s="13">
        <v>40458.699999999997</v>
      </c>
      <c r="I207" s="14">
        <v>0.85</v>
      </c>
      <c r="J207" s="23">
        <f t="shared" si="16"/>
        <v>0.85</v>
      </c>
      <c r="K207" s="12">
        <v>40458</v>
      </c>
      <c r="L207" s="24">
        <v>0.2</v>
      </c>
      <c r="M207" t="s">
        <v>1013</v>
      </c>
      <c r="N207" s="15" t="str">
        <f t="shared" si="17"/>
        <v>4:48 PM</v>
      </c>
      <c r="O207" s="9" t="s">
        <v>9</v>
      </c>
      <c r="P207" s="20">
        <f t="shared" si="19"/>
        <v>6.8</v>
      </c>
    </row>
    <row r="208" spans="1:16" x14ac:dyDescent="0.25">
      <c r="A208" s="9">
        <v>12949</v>
      </c>
      <c r="B208" s="9" t="s">
        <v>264</v>
      </c>
      <c r="C208" s="9" t="s">
        <v>265</v>
      </c>
      <c r="D208" s="17">
        <f t="shared" si="18"/>
        <v>8</v>
      </c>
      <c r="E208" s="10">
        <f t="shared" si="15"/>
        <v>8</v>
      </c>
      <c r="F208" s="11">
        <v>8</v>
      </c>
      <c r="G208" s="9">
        <v>530753</v>
      </c>
      <c r="H208" s="13">
        <v>40486.49722222222</v>
      </c>
      <c r="I208" s="14">
        <v>3.25</v>
      </c>
      <c r="J208" s="23">
        <f t="shared" si="16"/>
        <v>3.25</v>
      </c>
      <c r="K208" s="12">
        <v>40486</v>
      </c>
      <c r="L208" s="24">
        <v>0.49722222222222223</v>
      </c>
      <c r="M208" t="s">
        <v>1014</v>
      </c>
      <c r="N208" s="15" t="str">
        <f t="shared" si="17"/>
        <v>11:56 AM</v>
      </c>
      <c r="O208" s="9" t="s">
        <v>9</v>
      </c>
      <c r="P208" s="20">
        <f t="shared" si="19"/>
        <v>26</v>
      </c>
    </row>
    <row r="209" spans="1:16" x14ac:dyDescent="0.25">
      <c r="A209" s="9">
        <v>17702</v>
      </c>
      <c r="B209" s="9" t="s">
        <v>266</v>
      </c>
      <c r="C209" s="9" t="s">
        <v>267</v>
      </c>
      <c r="D209" s="17">
        <f t="shared" si="18"/>
        <v>6</v>
      </c>
      <c r="E209" s="10">
        <f t="shared" si="15"/>
        <v>6</v>
      </c>
      <c r="F209" s="11">
        <v>6</v>
      </c>
      <c r="G209" s="9">
        <v>530785</v>
      </c>
      <c r="H209" s="13">
        <v>40486.506249999999</v>
      </c>
      <c r="I209" s="14">
        <v>2.5499999999999998</v>
      </c>
      <c r="J209" s="23">
        <f t="shared" si="16"/>
        <v>2.5499999999999998</v>
      </c>
      <c r="K209" s="12">
        <v>40486</v>
      </c>
      <c r="L209" s="24">
        <v>0.50624999999999998</v>
      </c>
      <c r="M209" t="s">
        <v>1013</v>
      </c>
      <c r="N209" s="15" t="str">
        <f t="shared" si="17"/>
        <v>12:09 PM</v>
      </c>
      <c r="O209" s="9" t="s">
        <v>9</v>
      </c>
      <c r="P209" s="20">
        <f t="shared" si="19"/>
        <v>15.299999999999999</v>
      </c>
    </row>
    <row r="210" spans="1:16" x14ac:dyDescent="0.25">
      <c r="A210" s="9" t="s">
        <v>269</v>
      </c>
      <c r="B210" s="9">
        <v>82600</v>
      </c>
      <c r="C210" s="9" t="s">
        <v>268</v>
      </c>
      <c r="D210" s="17">
        <f t="shared" si="18"/>
        <v>12</v>
      </c>
      <c r="E210" s="10">
        <f t="shared" si="15"/>
        <v>12</v>
      </c>
      <c r="F210" s="11">
        <v>12</v>
      </c>
      <c r="G210" s="9">
        <v>517111</v>
      </c>
      <c r="H210" s="13">
        <v>40385.65347222222</v>
      </c>
      <c r="I210" s="14">
        <v>2.1</v>
      </c>
      <c r="J210" s="23">
        <f t="shared" si="16"/>
        <v>2.1</v>
      </c>
      <c r="K210" s="12">
        <v>40385</v>
      </c>
      <c r="L210" s="24">
        <v>0.15347222222222223</v>
      </c>
      <c r="M210" t="s">
        <v>1013</v>
      </c>
      <c r="N210" s="15" t="str">
        <f t="shared" si="17"/>
        <v>3:41 PM</v>
      </c>
      <c r="O210" s="9" t="s">
        <v>9</v>
      </c>
      <c r="P210" s="20">
        <f t="shared" si="19"/>
        <v>25.200000000000003</v>
      </c>
    </row>
    <row r="211" spans="1:16" x14ac:dyDescent="0.25">
      <c r="A211" s="9">
        <v>15424</v>
      </c>
      <c r="B211" s="9" t="s">
        <v>270</v>
      </c>
      <c r="C211" s="9" t="s">
        <v>271</v>
      </c>
      <c r="D211" s="17">
        <f t="shared" si="18"/>
        <v>25</v>
      </c>
      <c r="E211" s="10">
        <f t="shared" si="15"/>
        <v>25</v>
      </c>
      <c r="F211" s="11">
        <v>25</v>
      </c>
      <c r="G211" s="9">
        <v>521195</v>
      </c>
      <c r="H211" s="13">
        <v>40423.720138888893</v>
      </c>
      <c r="I211" s="14">
        <v>0.42</v>
      </c>
      <c r="J211" s="23">
        <f t="shared" si="16"/>
        <v>0.42</v>
      </c>
      <c r="K211" s="12">
        <v>40423</v>
      </c>
      <c r="L211" s="24">
        <v>0.22013888888888888</v>
      </c>
      <c r="M211" t="s">
        <v>1013</v>
      </c>
      <c r="N211" s="15" t="str">
        <f t="shared" si="17"/>
        <v>5:17 PM</v>
      </c>
      <c r="O211" s="9" t="s">
        <v>9</v>
      </c>
      <c r="P211" s="20">
        <f t="shared" si="19"/>
        <v>10.5</v>
      </c>
    </row>
    <row r="212" spans="1:16" x14ac:dyDescent="0.25">
      <c r="A212" s="9">
        <v>18041</v>
      </c>
      <c r="B212" s="9">
        <v>85119</v>
      </c>
      <c r="C212" s="9" t="s">
        <v>272</v>
      </c>
      <c r="D212" s="17">
        <f t="shared" si="18"/>
        <v>1</v>
      </c>
      <c r="E212" s="10">
        <f t="shared" si="15"/>
        <v>1</v>
      </c>
      <c r="F212" s="11">
        <v>1</v>
      </c>
      <c r="G212" s="9">
        <v>502922</v>
      </c>
      <c r="H212" s="13">
        <v>40266.586111111108</v>
      </c>
      <c r="I212" s="14">
        <v>1.69</v>
      </c>
      <c r="J212" s="23">
        <f t="shared" si="16"/>
        <v>1.69</v>
      </c>
      <c r="K212" s="12">
        <v>40266</v>
      </c>
      <c r="L212" s="24">
        <v>8.611111111111111E-2</v>
      </c>
      <c r="M212" t="s">
        <v>1013</v>
      </c>
      <c r="N212" s="15" t="str">
        <f t="shared" si="17"/>
        <v>2:04 PM</v>
      </c>
      <c r="O212" s="9" t="s">
        <v>9</v>
      </c>
      <c r="P212" s="20">
        <f t="shared" si="19"/>
        <v>1.69</v>
      </c>
    </row>
    <row r="213" spans="1:16" x14ac:dyDescent="0.25">
      <c r="A213" s="9">
        <v>16643</v>
      </c>
      <c r="B213" s="9">
        <v>22406</v>
      </c>
      <c r="C213" s="9" t="s">
        <v>978</v>
      </c>
      <c r="D213" s="17">
        <f t="shared" si="18"/>
        <v>12</v>
      </c>
      <c r="E213" s="10">
        <f t="shared" si="15"/>
        <v>12</v>
      </c>
      <c r="F213" s="11">
        <v>12</v>
      </c>
      <c r="G213" s="9">
        <v>526749</v>
      </c>
      <c r="H213" s="13">
        <v>40464.407638888893</v>
      </c>
      <c r="I213" s="14">
        <v>1.25</v>
      </c>
      <c r="J213" s="23">
        <f t="shared" si="16"/>
        <v>1.25</v>
      </c>
      <c r="K213" s="12">
        <v>40464</v>
      </c>
      <c r="L213" s="24">
        <v>0.40763888888888888</v>
      </c>
      <c r="M213" t="s">
        <v>1014</v>
      </c>
      <c r="N213" s="15" t="str">
        <f t="shared" si="17"/>
        <v>9:47 AM</v>
      </c>
      <c r="O213" s="9" t="s">
        <v>9</v>
      </c>
      <c r="P213" s="20">
        <f t="shared" si="19"/>
        <v>15</v>
      </c>
    </row>
    <row r="214" spans="1:16" x14ac:dyDescent="0.25">
      <c r="A214" s="9">
        <v>14343</v>
      </c>
      <c r="B214" s="9">
        <v>22588</v>
      </c>
      <c r="C214" s="9" t="s">
        <v>273</v>
      </c>
      <c r="D214" s="17">
        <f t="shared" si="18"/>
        <v>3</v>
      </c>
      <c r="E214" s="10">
        <f t="shared" si="15"/>
        <v>3</v>
      </c>
      <c r="F214" s="11">
        <v>3</v>
      </c>
      <c r="G214" s="9">
        <v>527053</v>
      </c>
      <c r="H214" s="13">
        <v>40465.545138888891</v>
      </c>
      <c r="I214" s="14">
        <v>2.5499999999999998</v>
      </c>
      <c r="J214" s="23">
        <f t="shared" si="16"/>
        <v>2.5499999999999998</v>
      </c>
      <c r="K214" s="12">
        <v>40465</v>
      </c>
      <c r="L214" s="24">
        <v>4.5138888888888888E-2</v>
      </c>
      <c r="M214" t="s">
        <v>1013</v>
      </c>
      <c r="N214" s="15" t="str">
        <f t="shared" si="17"/>
        <v>1:05 PM</v>
      </c>
      <c r="O214" s="9" t="s">
        <v>9</v>
      </c>
      <c r="P214" s="20">
        <f t="shared" si="19"/>
        <v>7.6499999999999995</v>
      </c>
    </row>
    <row r="215" spans="1:16" x14ac:dyDescent="0.25">
      <c r="A215" s="9">
        <v>16718</v>
      </c>
      <c r="B215" s="9" t="s">
        <v>274</v>
      </c>
      <c r="C215" s="9" t="s">
        <v>275</v>
      </c>
      <c r="D215" s="17">
        <f t="shared" si="18"/>
        <v>3</v>
      </c>
      <c r="E215" s="10">
        <f t="shared" si="15"/>
        <v>3</v>
      </c>
      <c r="F215" s="11">
        <v>3</v>
      </c>
      <c r="G215" s="9">
        <v>537153</v>
      </c>
      <c r="H215" s="13">
        <v>40517.543749999997</v>
      </c>
      <c r="I215" s="14">
        <v>7.95</v>
      </c>
      <c r="J215" s="23">
        <f t="shared" si="16"/>
        <v>7.95</v>
      </c>
      <c r="K215" s="12">
        <v>40517</v>
      </c>
      <c r="L215" s="24">
        <v>4.3749999999999997E-2</v>
      </c>
      <c r="M215" t="s">
        <v>1013</v>
      </c>
      <c r="N215" s="15" t="str">
        <f t="shared" si="17"/>
        <v>1:03 PM</v>
      </c>
      <c r="O215" s="9" t="s">
        <v>9</v>
      </c>
      <c r="P215" s="20">
        <f t="shared" si="19"/>
        <v>23.85</v>
      </c>
    </row>
    <row r="216" spans="1:16" x14ac:dyDescent="0.25">
      <c r="A216" s="9">
        <v>13527</v>
      </c>
      <c r="B216" s="9">
        <v>21908</v>
      </c>
      <c r="C216" s="9" t="s">
        <v>276</v>
      </c>
      <c r="D216" s="17">
        <f t="shared" si="18"/>
        <v>1</v>
      </c>
      <c r="E216" s="10">
        <f t="shared" si="15"/>
        <v>1</v>
      </c>
      <c r="F216" s="11">
        <v>1</v>
      </c>
      <c r="G216" s="9">
        <v>495158</v>
      </c>
      <c r="H216" s="13">
        <v>40199.525694444441</v>
      </c>
      <c r="I216" s="14">
        <v>2.1</v>
      </c>
      <c r="J216" s="23">
        <f t="shared" si="16"/>
        <v>2.1</v>
      </c>
      <c r="K216" s="12">
        <v>40199</v>
      </c>
      <c r="L216" s="24">
        <v>0.52569444444444446</v>
      </c>
      <c r="M216" t="s">
        <v>1013</v>
      </c>
      <c r="N216" s="15" t="str">
        <f t="shared" si="17"/>
        <v>12:37 PM</v>
      </c>
      <c r="O216" s="9" t="s">
        <v>9</v>
      </c>
      <c r="P216" s="20">
        <f t="shared" si="19"/>
        <v>2.1</v>
      </c>
    </row>
    <row r="217" spans="1:16" x14ac:dyDescent="0.25">
      <c r="A217" s="9">
        <v>17315</v>
      </c>
      <c r="B217" s="9" t="s">
        <v>277</v>
      </c>
      <c r="C217" s="9" t="s">
        <v>278</v>
      </c>
      <c r="D217" s="17">
        <f t="shared" si="18"/>
        <v>1</v>
      </c>
      <c r="E217" s="10">
        <f t="shared" si="15"/>
        <v>1</v>
      </c>
      <c r="F217" s="11">
        <v>1</v>
      </c>
      <c r="G217" s="9">
        <v>530085</v>
      </c>
      <c r="H217" s="13">
        <v>40483.55972222222</v>
      </c>
      <c r="I217" s="14">
        <v>1.95</v>
      </c>
      <c r="J217" s="23">
        <f t="shared" si="16"/>
        <v>1.95</v>
      </c>
      <c r="K217" s="12">
        <v>40483</v>
      </c>
      <c r="L217" s="24">
        <v>5.9722222222222225E-2</v>
      </c>
      <c r="M217" t="s">
        <v>1013</v>
      </c>
      <c r="N217" s="15" t="str">
        <f t="shared" si="17"/>
        <v>1:26 PM</v>
      </c>
      <c r="O217" s="9" t="s">
        <v>9</v>
      </c>
      <c r="P217" s="20">
        <f t="shared" si="19"/>
        <v>1.95</v>
      </c>
    </row>
    <row r="218" spans="1:16" x14ac:dyDescent="0.25">
      <c r="A218" s="9">
        <v>12748</v>
      </c>
      <c r="B218" s="9">
        <v>22561</v>
      </c>
      <c r="C218" s="9" t="s">
        <v>27</v>
      </c>
      <c r="D218" s="17">
        <f t="shared" si="18"/>
        <v>2</v>
      </c>
      <c r="E218" s="10">
        <f t="shared" si="15"/>
        <v>2</v>
      </c>
      <c r="F218" s="11">
        <v>2</v>
      </c>
      <c r="G218" s="9">
        <v>537871</v>
      </c>
      <c r="H218" s="13">
        <v>40520.722222222219</v>
      </c>
      <c r="I218" s="14">
        <v>1.65</v>
      </c>
      <c r="J218" s="23">
        <f t="shared" si="16"/>
        <v>1.65</v>
      </c>
      <c r="K218" s="12">
        <v>40520</v>
      </c>
      <c r="L218" s="24">
        <v>0.22222222222222221</v>
      </c>
      <c r="M218" t="s">
        <v>1013</v>
      </c>
      <c r="N218" s="15" t="str">
        <f t="shared" si="17"/>
        <v>5:20 PM</v>
      </c>
      <c r="O218" s="9" t="s">
        <v>9</v>
      </c>
      <c r="P218" s="20">
        <f t="shared" si="19"/>
        <v>3.3</v>
      </c>
    </row>
    <row r="219" spans="1:16" x14ac:dyDescent="0.25">
      <c r="A219" s="9">
        <v>14911</v>
      </c>
      <c r="B219" s="9">
        <v>21976</v>
      </c>
      <c r="C219" s="9" t="s">
        <v>279</v>
      </c>
      <c r="D219" s="17">
        <f t="shared" si="18"/>
        <v>24</v>
      </c>
      <c r="E219" s="10">
        <f t="shared" si="15"/>
        <v>24</v>
      </c>
      <c r="F219" s="11">
        <v>24</v>
      </c>
      <c r="G219" s="9">
        <v>521642</v>
      </c>
      <c r="H219" s="13">
        <v>40428.544444444437</v>
      </c>
      <c r="I219" s="14">
        <v>0.55000000000000004</v>
      </c>
      <c r="J219" s="23">
        <f t="shared" si="16"/>
        <v>0.55000000000000004</v>
      </c>
      <c r="K219" s="12">
        <v>40428</v>
      </c>
      <c r="L219" s="24">
        <v>4.4444444444444446E-2</v>
      </c>
      <c r="M219" t="s">
        <v>1013</v>
      </c>
      <c r="N219" s="15" t="str">
        <f t="shared" si="17"/>
        <v>1:04 PM</v>
      </c>
      <c r="O219" s="9" t="s">
        <v>11</v>
      </c>
      <c r="P219" s="20">
        <f t="shared" si="19"/>
        <v>13.200000000000001</v>
      </c>
    </row>
    <row r="220" spans="1:16" x14ac:dyDescent="0.25">
      <c r="A220" s="9">
        <v>14110</v>
      </c>
      <c r="B220" s="9">
        <v>20685</v>
      </c>
      <c r="C220" s="9" t="s">
        <v>280</v>
      </c>
      <c r="D220" s="17">
        <f t="shared" si="18"/>
        <v>2</v>
      </c>
      <c r="E220" s="10">
        <f t="shared" si="15"/>
        <v>2</v>
      </c>
      <c r="F220" s="11">
        <v>2</v>
      </c>
      <c r="G220" s="9">
        <v>502724</v>
      </c>
      <c r="H220" s="13">
        <v>40263.476388888892</v>
      </c>
      <c r="I220" s="14">
        <v>7.49</v>
      </c>
      <c r="J220" s="23">
        <f t="shared" si="16"/>
        <v>7.49</v>
      </c>
      <c r="K220" s="12">
        <v>40263</v>
      </c>
      <c r="L220" s="24">
        <v>0.47638888888888886</v>
      </c>
      <c r="M220" t="s">
        <v>1014</v>
      </c>
      <c r="N220" s="15" t="str">
        <f t="shared" si="17"/>
        <v>11:26 AM</v>
      </c>
      <c r="O220" s="9" t="s">
        <v>9</v>
      </c>
      <c r="P220" s="20">
        <f t="shared" si="19"/>
        <v>14.98</v>
      </c>
    </row>
    <row r="221" spans="1:16" x14ac:dyDescent="0.25">
      <c r="A221" s="9">
        <v>16549</v>
      </c>
      <c r="B221" s="9">
        <v>22143</v>
      </c>
      <c r="C221" s="9" t="s">
        <v>281</v>
      </c>
      <c r="D221" s="17">
        <f t="shared" si="18"/>
        <v>2</v>
      </c>
      <c r="E221" s="10">
        <f t="shared" si="15"/>
        <v>2</v>
      </c>
      <c r="F221" s="11">
        <v>2</v>
      </c>
      <c r="G221" s="9">
        <v>529156</v>
      </c>
      <c r="H221" s="13">
        <v>40477.699305555558</v>
      </c>
      <c r="I221" s="14">
        <v>2.1</v>
      </c>
      <c r="J221" s="23">
        <f t="shared" si="16"/>
        <v>2.1</v>
      </c>
      <c r="K221" s="12">
        <v>40477</v>
      </c>
      <c r="L221" s="24">
        <v>0.19930555555555557</v>
      </c>
      <c r="M221" t="s">
        <v>1013</v>
      </c>
      <c r="N221" s="15" t="str">
        <f t="shared" si="17"/>
        <v>4:47 PM</v>
      </c>
      <c r="O221" s="9" t="s">
        <v>9</v>
      </c>
      <c r="P221" s="20">
        <f t="shared" si="19"/>
        <v>4.2</v>
      </c>
    </row>
    <row r="222" spans="1:16" x14ac:dyDescent="0.25">
      <c r="A222" s="9">
        <v>16120</v>
      </c>
      <c r="B222" s="9">
        <v>84199</v>
      </c>
      <c r="C222" s="9" t="s">
        <v>282</v>
      </c>
      <c r="D222" s="17">
        <f t="shared" si="18"/>
        <v>1</v>
      </c>
      <c r="E222" s="10">
        <f t="shared" si="15"/>
        <v>1</v>
      </c>
      <c r="F222" s="11">
        <v>1</v>
      </c>
      <c r="G222" s="9">
        <v>526906</v>
      </c>
      <c r="H222" s="13">
        <v>40464.640277777777</v>
      </c>
      <c r="I222" s="14">
        <v>0.21</v>
      </c>
      <c r="J222" s="23">
        <f t="shared" si="16"/>
        <v>0.21</v>
      </c>
      <c r="K222" s="12">
        <v>40464</v>
      </c>
      <c r="L222" s="24">
        <v>0.14027777777777778</v>
      </c>
      <c r="M222" t="s">
        <v>1013</v>
      </c>
      <c r="N222" s="15" t="str">
        <f t="shared" si="17"/>
        <v>3:22 PM</v>
      </c>
      <c r="O222" s="9" t="s">
        <v>9</v>
      </c>
      <c r="P222" s="20">
        <f t="shared" si="19"/>
        <v>0.21</v>
      </c>
    </row>
    <row r="223" spans="1:16" x14ac:dyDescent="0.25">
      <c r="A223" s="9">
        <v>15494</v>
      </c>
      <c r="B223" s="9">
        <v>84077</v>
      </c>
      <c r="C223" s="9" t="s">
        <v>283</v>
      </c>
      <c r="D223" s="17">
        <f t="shared" si="18"/>
        <v>192</v>
      </c>
      <c r="E223" s="10">
        <f t="shared" si="15"/>
        <v>192</v>
      </c>
      <c r="F223" s="17">
        <v>192</v>
      </c>
      <c r="G223" s="9">
        <v>519610</v>
      </c>
      <c r="H223" s="13">
        <v>40408.70416666667</v>
      </c>
      <c r="I223" s="14">
        <v>0.21</v>
      </c>
      <c r="J223" s="23">
        <f t="shared" si="16"/>
        <v>0.21</v>
      </c>
      <c r="K223" s="12">
        <v>40408</v>
      </c>
      <c r="L223" s="24">
        <v>0.20416666666666666</v>
      </c>
      <c r="M223" t="s">
        <v>1013</v>
      </c>
      <c r="N223" s="15" t="str">
        <f t="shared" si="17"/>
        <v>4:54 PM</v>
      </c>
      <c r="O223" s="9" t="s">
        <v>9</v>
      </c>
      <c r="P223" s="20">
        <f t="shared" si="19"/>
        <v>40.32</v>
      </c>
    </row>
    <row r="224" spans="1:16" x14ac:dyDescent="0.25">
      <c r="A224" s="9">
        <v>15038</v>
      </c>
      <c r="B224" s="9">
        <v>21169</v>
      </c>
      <c r="C224" s="9" t="s">
        <v>285</v>
      </c>
      <c r="D224" s="17">
        <f t="shared" si="18"/>
        <v>1</v>
      </c>
      <c r="E224" s="10">
        <f t="shared" si="15"/>
        <v>1</v>
      </c>
      <c r="F224" s="11">
        <v>1</v>
      </c>
      <c r="G224" s="9">
        <v>529842</v>
      </c>
      <c r="H224" s="13">
        <v>40482.536111111112</v>
      </c>
      <c r="I224" s="14">
        <v>1.69</v>
      </c>
      <c r="J224" s="23">
        <f t="shared" si="16"/>
        <v>1.69</v>
      </c>
      <c r="K224" s="12">
        <v>40482</v>
      </c>
      <c r="L224" s="24">
        <v>0.53611111111111109</v>
      </c>
      <c r="M224" t="s">
        <v>1013</v>
      </c>
      <c r="N224" s="15" t="str">
        <f t="shared" si="17"/>
        <v>12:52 PM</v>
      </c>
      <c r="O224" s="9" t="s">
        <v>9</v>
      </c>
      <c r="P224" s="20">
        <f t="shared" si="19"/>
        <v>1.69</v>
      </c>
    </row>
    <row r="225" spans="1:16" x14ac:dyDescent="0.25">
      <c r="A225" s="9">
        <v>15194</v>
      </c>
      <c r="B225" s="9" t="s">
        <v>286</v>
      </c>
      <c r="C225" s="9" t="s">
        <v>287</v>
      </c>
      <c r="D225" s="17">
        <f t="shared" si="18"/>
        <v>25</v>
      </c>
      <c r="E225" s="10">
        <f t="shared" si="15"/>
        <v>25</v>
      </c>
      <c r="F225" s="11">
        <v>25</v>
      </c>
      <c r="G225" s="9">
        <v>489916</v>
      </c>
      <c r="H225" s="13">
        <v>40150.442361111112</v>
      </c>
      <c r="I225" s="14">
        <v>0.42</v>
      </c>
      <c r="J225" s="23">
        <f t="shared" si="16"/>
        <v>0.42</v>
      </c>
      <c r="K225" s="12">
        <v>40150</v>
      </c>
      <c r="L225" s="24">
        <v>0.44236111111111109</v>
      </c>
      <c r="M225" t="s">
        <v>1014</v>
      </c>
      <c r="N225" s="15" t="str">
        <f t="shared" si="17"/>
        <v>10:37 AM</v>
      </c>
      <c r="O225" s="9" t="s">
        <v>9</v>
      </c>
      <c r="P225" s="20">
        <f t="shared" si="19"/>
        <v>10.5</v>
      </c>
    </row>
    <row r="226" spans="1:16" x14ac:dyDescent="0.25">
      <c r="A226" s="9">
        <v>14258</v>
      </c>
      <c r="B226" s="9">
        <v>37503</v>
      </c>
      <c r="C226" s="9" t="s">
        <v>288</v>
      </c>
      <c r="D226" s="17">
        <f t="shared" si="18"/>
        <v>6</v>
      </c>
      <c r="E226" s="10">
        <f t="shared" si="15"/>
        <v>6</v>
      </c>
      <c r="F226" s="11">
        <v>6</v>
      </c>
      <c r="G226" s="9">
        <v>490142</v>
      </c>
      <c r="H226" s="13">
        <v>40151.35833333333</v>
      </c>
      <c r="I226" s="14">
        <v>10.75</v>
      </c>
      <c r="J226" s="23">
        <f t="shared" si="16"/>
        <v>10.75</v>
      </c>
      <c r="K226" s="12">
        <v>40151</v>
      </c>
      <c r="L226" s="24">
        <v>0.35833333333333334</v>
      </c>
      <c r="M226" t="s">
        <v>1014</v>
      </c>
      <c r="N226" s="15" t="str">
        <f t="shared" si="17"/>
        <v>8:36 AM</v>
      </c>
      <c r="O226" s="9" t="s">
        <v>9</v>
      </c>
      <c r="P226" s="20">
        <f t="shared" si="19"/>
        <v>64.5</v>
      </c>
    </row>
    <row r="227" spans="1:16" x14ac:dyDescent="0.25">
      <c r="A227" s="9">
        <v>15164</v>
      </c>
      <c r="B227" s="9">
        <v>22578</v>
      </c>
      <c r="C227" s="9" t="s">
        <v>289</v>
      </c>
      <c r="D227" s="17">
        <f t="shared" si="18"/>
        <v>3</v>
      </c>
      <c r="E227" s="10">
        <f t="shared" si="15"/>
        <v>3</v>
      </c>
      <c r="F227" s="11">
        <v>3</v>
      </c>
      <c r="G227" s="9">
        <v>525009</v>
      </c>
      <c r="H227" s="13">
        <v>40454.451388888891</v>
      </c>
      <c r="I227" s="14">
        <v>0.85</v>
      </c>
      <c r="J227" s="23">
        <f t="shared" si="16"/>
        <v>0.85</v>
      </c>
      <c r="K227" s="12">
        <v>40454</v>
      </c>
      <c r="L227" s="24">
        <v>0.4513888888888889</v>
      </c>
      <c r="M227" t="s">
        <v>1014</v>
      </c>
      <c r="N227" s="15" t="str">
        <f t="shared" si="17"/>
        <v>10:50 AM</v>
      </c>
      <c r="O227" s="9" t="s">
        <v>9</v>
      </c>
      <c r="P227" s="20">
        <f t="shared" si="19"/>
        <v>2.5499999999999998</v>
      </c>
    </row>
    <row r="228" spans="1:16" x14ac:dyDescent="0.25">
      <c r="A228" s="9">
        <v>13276</v>
      </c>
      <c r="B228" s="9">
        <v>22905</v>
      </c>
      <c r="C228" s="9" t="s">
        <v>290</v>
      </c>
      <c r="D228" s="17">
        <f t="shared" si="18"/>
        <v>2</v>
      </c>
      <c r="E228" s="10">
        <f t="shared" si="15"/>
        <v>2</v>
      </c>
      <c r="F228" s="11">
        <v>2</v>
      </c>
      <c r="G228" s="9">
        <v>531359</v>
      </c>
      <c r="H228" s="13">
        <v>40489.595138888893</v>
      </c>
      <c r="I228" s="14">
        <v>2.95</v>
      </c>
      <c r="J228" s="23">
        <f t="shared" si="16"/>
        <v>2.95</v>
      </c>
      <c r="K228" s="12">
        <v>40489</v>
      </c>
      <c r="L228" s="24">
        <v>9.5138888888888884E-2</v>
      </c>
      <c r="M228" t="s">
        <v>1013</v>
      </c>
      <c r="N228" s="15" t="str">
        <f t="shared" si="17"/>
        <v>2:17 PM</v>
      </c>
      <c r="O228" s="9" t="s">
        <v>9</v>
      </c>
      <c r="P228" s="20">
        <f t="shared" si="19"/>
        <v>5.9</v>
      </c>
    </row>
    <row r="229" spans="1:16" x14ac:dyDescent="0.25">
      <c r="A229" s="9">
        <v>17589</v>
      </c>
      <c r="B229" s="9">
        <v>22139</v>
      </c>
      <c r="C229" s="9" t="s">
        <v>135</v>
      </c>
      <c r="D229" s="17">
        <f t="shared" si="18"/>
        <v>15</v>
      </c>
      <c r="E229" s="10">
        <f t="shared" si="15"/>
        <v>15</v>
      </c>
      <c r="F229" s="11">
        <v>15</v>
      </c>
      <c r="G229" s="9">
        <v>508864</v>
      </c>
      <c r="H229" s="13">
        <v>40316.67291666667</v>
      </c>
      <c r="I229" s="14">
        <v>4.95</v>
      </c>
      <c r="J229" s="23">
        <f t="shared" si="16"/>
        <v>4.95</v>
      </c>
      <c r="K229" s="12">
        <v>40316</v>
      </c>
      <c r="L229" s="24">
        <v>0.17291666666666666</v>
      </c>
      <c r="M229" t="s">
        <v>1013</v>
      </c>
      <c r="N229" s="15" t="str">
        <f t="shared" si="17"/>
        <v>4:09 PM</v>
      </c>
      <c r="O229" s="9" t="s">
        <v>9</v>
      </c>
      <c r="P229" s="20">
        <f t="shared" si="19"/>
        <v>74.25</v>
      </c>
    </row>
    <row r="230" spans="1:16" x14ac:dyDescent="0.25">
      <c r="A230" s="9">
        <v>14114</v>
      </c>
      <c r="B230" s="9" t="s">
        <v>291</v>
      </c>
      <c r="C230" s="9" t="s">
        <v>292</v>
      </c>
      <c r="D230" s="17">
        <f t="shared" si="18"/>
        <v>3</v>
      </c>
      <c r="E230" s="10">
        <f t="shared" si="15"/>
        <v>3</v>
      </c>
      <c r="F230" s="11">
        <v>3</v>
      </c>
      <c r="G230" s="9">
        <v>504200</v>
      </c>
      <c r="H230" s="13">
        <v>40280.463194444441</v>
      </c>
      <c r="I230" s="14">
        <v>5.95</v>
      </c>
      <c r="J230" s="23">
        <f t="shared" si="16"/>
        <v>5.95</v>
      </c>
      <c r="K230" s="12">
        <v>40280</v>
      </c>
      <c r="L230" s="24">
        <v>0.46319444444444446</v>
      </c>
      <c r="M230" t="s">
        <v>1014</v>
      </c>
      <c r="N230" s="15" t="str">
        <f t="shared" si="17"/>
        <v>11:07 AM</v>
      </c>
      <c r="O230" s="9" t="s">
        <v>9</v>
      </c>
      <c r="P230" s="20">
        <f t="shared" si="19"/>
        <v>17.850000000000001</v>
      </c>
    </row>
    <row r="231" spans="1:16" x14ac:dyDescent="0.25">
      <c r="A231" s="9">
        <v>12635</v>
      </c>
      <c r="B231" s="9">
        <v>21244</v>
      </c>
      <c r="C231" s="9" t="s">
        <v>293</v>
      </c>
      <c r="D231" s="17">
        <f t="shared" si="18"/>
        <v>8</v>
      </c>
      <c r="E231" s="10">
        <f t="shared" si="15"/>
        <v>8</v>
      </c>
      <c r="F231" s="11">
        <v>8</v>
      </c>
      <c r="G231" s="9">
        <v>521839</v>
      </c>
      <c r="H231" s="13">
        <v>40430.451388888891</v>
      </c>
      <c r="I231" s="14">
        <v>1.69</v>
      </c>
      <c r="J231" s="23">
        <f t="shared" si="16"/>
        <v>1.69</v>
      </c>
      <c r="K231" s="12">
        <v>40430</v>
      </c>
      <c r="L231" s="24">
        <v>0.4513888888888889</v>
      </c>
      <c r="M231" t="s">
        <v>1014</v>
      </c>
      <c r="N231" s="15" t="str">
        <f t="shared" si="17"/>
        <v>10:50 AM</v>
      </c>
      <c r="O231" s="9" t="s">
        <v>9</v>
      </c>
      <c r="P231" s="20">
        <f t="shared" si="19"/>
        <v>13.52</v>
      </c>
    </row>
    <row r="232" spans="1:16" x14ac:dyDescent="0.25">
      <c r="A232" s="9">
        <v>16899</v>
      </c>
      <c r="B232" s="9">
        <v>21888</v>
      </c>
      <c r="C232" s="9" t="s">
        <v>149</v>
      </c>
      <c r="D232" s="17">
        <f t="shared" si="18"/>
        <v>3</v>
      </c>
      <c r="E232" s="10">
        <f t="shared" si="15"/>
        <v>3</v>
      </c>
      <c r="F232" s="11">
        <v>3</v>
      </c>
      <c r="G232" s="9">
        <v>535412</v>
      </c>
      <c r="H232" s="13">
        <v>40508.477777777778</v>
      </c>
      <c r="I232" s="14">
        <v>3.75</v>
      </c>
      <c r="J232" s="23">
        <f t="shared" si="16"/>
        <v>3.75</v>
      </c>
      <c r="K232" s="12">
        <v>40508</v>
      </c>
      <c r="L232" s="24">
        <v>0.4777777777777778</v>
      </c>
      <c r="M232" t="s">
        <v>1014</v>
      </c>
      <c r="N232" s="15" t="str">
        <f t="shared" si="17"/>
        <v>11:28 AM</v>
      </c>
      <c r="O232" s="9" t="s">
        <v>9</v>
      </c>
      <c r="P232" s="20">
        <f t="shared" si="19"/>
        <v>11.25</v>
      </c>
    </row>
    <row r="233" spans="1:16" x14ac:dyDescent="0.25">
      <c r="A233" s="9">
        <v>16593</v>
      </c>
      <c r="B233" s="9">
        <v>22060</v>
      </c>
      <c r="C233" s="9" t="s">
        <v>294</v>
      </c>
      <c r="D233" s="17">
        <f t="shared" si="18"/>
        <v>6</v>
      </c>
      <c r="E233" s="10">
        <f t="shared" si="15"/>
        <v>6</v>
      </c>
      <c r="F233" s="11">
        <v>6</v>
      </c>
      <c r="G233" s="9">
        <v>492817</v>
      </c>
      <c r="H233" s="13">
        <v>40167.567361111112</v>
      </c>
      <c r="I233" s="14">
        <v>9.9499999999999993</v>
      </c>
      <c r="J233" s="23">
        <f t="shared" si="16"/>
        <v>9.9499999999999993</v>
      </c>
      <c r="K233" s="12">
        <v>40167</v>
      </c>
      <c r="L233" s="24">
        <v>6.7361111111111108E-2</v>
      </c>
      <c r="M233" t="s">
        <v>1013</v>
      </c>
      <c r="N233" s="15" t="str">
        <f t="shared" si="17"/>
        <v>1:37 PM</v>
      </c>
      <c r="O233" s="9" t="s">
        <v>9</v>
      </c>
      <c r="P233" s="20">
        <f t="shared" si="19"/>
        <v>59.699999999999996</v>
      </c>
    </row>
    <row r="234" spans="1:16" x14ac:dyDescent="0.25">
      <c r="A234" s="9">
        <v>17025</v>
      </c>
      <c r="B234" s="9">
        <v>22178</v>
      </c>
      <c r="C234" s="9" t="s">
        <v>193</v>
      </c>
      <c r="D234" s="17">
        <f t="shared" si="18"/>
        <v>36</v>
      </c>
      <c r="E234" s="10">
        <f t="shared" si="15"/>
        <v>36</v>
      </c>
      <c r="F234" s="11">
        <v>36</v>
      </c>
      <c r="G234" s="9">
        <v>536573</v>
      </c>
      <c r="H234" s="13">
        <v>40513.65625</v>
      </c>
      <c r="I234" s="14">
        <v>1.25</v>
      </c>
      <c r="J234" s="23">
        <f t="shared" si="16"/>
        <v>1.25</v>
      </c>
      <c r="K234" s="12">
        <v>40513</v>
      </c>
      <c r="L234" s="24">
        <v>0.15625</v>
      </c>
      <c r="M234" t="s">
        <v>1013</v>
      </c>
      <c r="N234" s="15" t="str">
        <f t="shared" si="17"/>
        <v>3:45 PM</v>
      </c>
      <c r="O234" s="9" t="s">
        <v>9</v>
      </c>
      <c r="P234" s="20">
        <f t="shared" si="19"/>
        <v>45</v>
      </c>
    </row>
    <row r="235" spans="1:16" x14ac:dyDescent="0.25">
      <c r="A235" s="9">
        <v>16923</v>
      </c>
      <c r="B235" s="16" t="s">
        <v>1012</v>
      </c>
      <c r="C235" s="9" t="s">
        <v>295</v>
      </c>
      <c r="D235" s="17">
        <f t="shared" si="18"/>
        <v>3</v>
      </c>
      <c r="E235" s="10">
        <f t="shared" si="15"/>
        <v>3</v>
      </c>
      <c r="F235" s="11">
        <v>3</v>
      </c>
      <c r="G235" s="9">
        <v>496303</v>
      </c>
      <c r="H235" s="13">
        <v>40209.468055555553</v>
      </c>
      <c r="I235" s="14">
        <v>0.42</v>
      </c>
      <c r="J235" s="23">
        <f t="shared" si="16"/>
        <v>0.42</v>
      </c>
      <c r="K235" s="12">
        <v>40209</v>
      </c>
      <c r="L235" s="24">
        <v>0.46805555555555556</v>
      </c>
      <c r="M235" t="s">
        <v>1014</v>
      </c>
      <c r="N235" s="15" t="str">
        <f t="shared" si="17"/>
        <v>11:14 AM</v>
      </c>
      <c r="O235" s="9" t="s">
        <v>9</v>
      </c>
      <c r="P235" s="20">
        <f t="shared" si="19"/>
        <v>1.26</v>
      </c>
    </row>
    <row r="236" spans="1:16" x14ac:dyDescent="0.25">
      <c r="A236" s="9">
        <v>16843</v>
      </c>
      <c r="B236" s="9">
        <v>22367</v>
      </c>
      <c r="C236" s="9" t="s">
        <v>296</v>
      </c>
      <c r="D236" s="17">
        <f t="shared" si="18"/>
        <v>16</v>
      </c>
      <c r="E236" s="10">
        <f t="shared" si="15"/>
        <v>16</v>
      </c>
      <c r="F236" s="11">
        <v>16</v>
      </c>
      <c r="G236" s="9">
        <v>517853</v>
      </c>
      <c r="H236" s="13">
        <v>40392.572916666657</v>
      </c>
      <c r="I236" s="14">
        <v>1.95</v>
      </c>
      <c r="J236" s="23">
        <f t="shared" si="16"/>
        <v>1.95</v>
      </c>
      <c r="K236" s="12">
        <v>40392</v>
      </c>
      <c r="L236" s="24">
        <v>7.2916666666666671E-2</v>
      </c>
      <c r="M236" t="s">
        <v>1013</v>
      </c>
      <c r="N236" s="15" t="str">
        <f t="shared" si="17"/>
        <v>1:45 PM</v>
      </c>
      <c r="O236" s="9" t="s">
        <v>9</v>
      </c>
      <c r="P236" s="20">
        <f t="shared" si="19"/>
        <v>31.2</v>
      </c>
    </row>
    <row r="237" spans="1:16" x14ac:dyDescent="0.25">
      <c r="A237" s="9">
        <v>16422</v>
      </c>
      <c r="B237" s="9">
        <v>17003</v>
      </c>
      <c r="C237" s="9" t="s">
        <v>297</v>
      </c>
      <c r="D237" s="17">
        <f t="shared" si="18"/>
        <v>720</v>
      </c>
      <c r="E237" s="10">
        <f t="shared" si="15"/>
        <v>720</v>
      </c>
      <c r="F237" s="17">
        <v>720</v>
      </c>
      <c r="G237" s="9">
        <v>516536</v>
      </c>
      <c r="H237" s="13">
        <v>40380.48333333333</v>
      </c>
      <c r="I237" s="14">
        <v>0.16</v>
      </c>
      <c r="J237" s="23">
        <f t="shared" si="16"/>
        <v>0.16</v>
      </c>
      <c r="K237" s="12">
        <v>40380</v>
      </c>
      <c r="L237" s="24">
        <v>0.48333333333333334</v>
      </c>
      <c r="M237" t="s">
        <v>1014</v>
      </c>
      <c r="N237" s="15" t="str">
        <f t="shared" si="17"/>
        <v>11:36 AM</v>
      </c>
      <c r="O237" s="9" t="s">
        <v>9</v>
      </c>
      <c r="P237" s="20">
        <f t="shared" si="19"/>
        <v>115.2</v>
      </c>
    </row>
    <row r="238" spans="1:16" x14ac:dyDescent="0.25">
      <c r="A238" s="9">
        <v>12913</v>
      </c>
      <c r="B238" s="9">
        <v>21741</v>
      </c>
      <c r="C238" s="9" t="s">
        <v>299</v>
      </c>
      <c r="D238" s="17">
        <f t="shared" si="18"/>
        <v>12</v>
      </c>
      <c r="E238" s="10">
        <f t="shared" si="15"/>
        <v>12</v>
      </c>
      <c r="F238" s="11">
        <v>12</v>
      </c>
      <c r="G238" s="9">
        <v>503355</v>
      </c>
      <c r="H238" s="13">
        <v>40268.569444444453</v>
      </c>
      <c r="I238" s="14">
        <v>2.95</v>
      </c>
      <c r="J238" s="23">
        <f t="shared" si="16"/>
        <v>2.95</v>
      </c>
      <c r="K238" s="12">
        <v>40268</v>
      </c>
      <c r="L238" s="24">
        <v>6.9444444444444448E-2</v>
      </c>
      <c r="M238" t="s">
        <v>1013</v>
      </c>
      <c r="N238" s="15" t="str">
        <f t="shared" si="17"/>
        <v>1:40 PM</v>
      </c>
      <c r="O238" s="9" t="s">
        <v>9</v>
      </c>
      <c r="P238" s="20">
        <f t="shared" si="19"/>
        <v>35.400000000000006</v>
      </c>
    </row>
    <row r="239" spans="1:16" x14ac:dyDescent="0.25">
      <c r="A239" s="9">
        <v>14375</v>
      </c>
      <c r="B239" s="9">
        <v>22080</v>
      </c>
      <c r="C239" s="9" t="s">
        <v>300</v>
      </c>
      <c r="D239" s="17">
        <f t="shared" si="18"/>
        <v>1</v>
      </c>
      <c r="E239" s="10">
        <f t="shared" si="15"/>
        <v>1</v>
      </c>
      <c r="F239" s="11">
        <v>1</v>
      </c>
      <c r="G239" s="9">
        <v>512564</v>
      </c>
      <c r="H239" s="13">
        <v>40345.606944444437</v>
      </c>
      <c r="I239" s="14">
        <v>1.25</v>
      </c>
      <c r="J239" s="23">
        <f t="shared" si="16"/>
        <v>1.25</v>
      </c>
      <c r="K239" s="12">
        <v>40345</v>
      </c>
      <c r="L239" s="24">
        <v>0.10694444444444444</v>
      </c>
      <c r="M239" t="s">
        <v>1013</v>
      </c>
      <c r="N239" s="15" t="str">
        <f t="shared" si="17"/>
        <v>2:34 PM</v>
      </c>
      <c r="O239" s="9" t="s">
        <v>9</v>
      </c>
      <c r="P239" s="20">
        <f t="shared" si="19"/>
        <v>1.25</v>
      </c>
    </row>
    <row r="240" spans="1:16" x14ac:dyDescent="0.25">
      <c r="A240" s="9">
        <v>15719</v>
      </c>
      <c r="B240" s="9">
        <v>21624</v>
      </c>
      <c r="C240" s="9" t="s">
        <v>301</v>
      </c>
      <c r="D240" s="17">
        <f t="shared" si="18"/>
        <v>1</v>
      </c>
      <c r="E240" s="10">
        <f t="shared" si="15"/>
        <v>1</v>
      </c>
      <c r="F240" s="11">
        <v>1</v>
      </c>
      <c r="G240" s="9">
        <v>515533</v>
      </c>
      <c r="H240" s="13">
        <v>40372.505555555559</v>
      </c>
      <c r="I240" s="14">
        <v>5.95</v>
      </c>
      <c r="J240" s="23">
        <f t="shared" si="16"/>
        <v>5.95</v>
      </c>
      <c r="K240" s="12">
        <v>40372</v>
      </c>
      <c r="L240" s="24">
        <v>0.50555555555555554</v>
      </c>
      <c r="M240" t="s">
        <v>1013</v>
      </c>
      <c r="N240" s="15" t="str">
        <f t="shared" si="17"/>
        <v>12:08 PM</v>
      </c>
      <c r="O240" s="9" t="s">
        <v>9</v>
      </c>
      <c r="P240" s="20">
        <f t="shared" si="19"/>
        <v>5.95</v>
      </c>
    </row>
    <row r="241" spans="1:16" x14ac:dyDescent="0.25">
      <c r="A241" s="9">
        <v>17271</v>
      </c>
      <c r="B241" s="9">
        <v>84937</v>
      </c>
      <c r="C241" s="9" t="s">
        <v>302</v>
      </c>
      <c r="D241" s="17">
        <f t="shared" si="18"/>
        <v>6</v>
      </c>
      <c r="E241" s="10">
        <f t="shared" si="15"/>
        <v>6</v>
      </c>
      <c r="F241" s="11">
        <v>6</v>
      </c>
      <c r="G241" s="9">
        <v>490063</v>
      </c>
      <c r="H241" s="13">
        <v>40150.575694444437</v>
      </c>
      <c r="I241" s="14">
        <v>2.1</v>
      </c>
      <c r="J241" s="23">
        <f t="shared" si="16"/>
        <v>2.1</v>
      </c>
      <c r="K241" s="12">
        <v>40150</v>
      </c>
      <c r="L241" s="24">
        <v>7.5694444444444439E-2</v>
      </c>
      <c r="M241" t="s">
        <v>1013</v>
      </c>
      <c r="N241" s="15" t="str">
        <f t="shared" si="17"/>
        <v>1:49 PM</v>
      </c>
      <c r="O241" s="9" t="s">
        <v>9</v>
      </c>
      <c r="P241" s="20">
        <f t="shared" si="19"/>
        <v>12.600000000000001</v>
      </c>
    </row>
    <row r="242" spans="1:16" x14ac:dyDescent="0.25">
      <c r="A242" s="9" t="s">
        <v>304</v>
      </c>
      <c r="B242" s="9">
        <v>22583</v>
      </c>
      <c r="C242" s="9" t="s">
        <v>303</v>
      </c>
      <c r="D242" s="17">
        <f t="shared" si="18"/>
        <v>6</v>
      </c>
      <c r="E242" s="10">
        <f t="shared" si="15"/>
        <v>6</v>
      </c>
      <c r="F242" s="11">
        <v>6</v>
      </c>
      <c r="G242" s="9">
        <v>526905</v>
      </c>
      <c r="H242" s="13">
        <v>40464.636805555558</v>
      </c>
      <c r="I242" s="14">
        <v>2.5499999999999998</v>
      </c>
      <c r="J242" s="23">
        <f t="shared" si="16"/>
        <v>2.5499999999999998</v>
      </c>
      <c r="K242" s="12">
        <v>40464</v>
      </c>
      <c r="L242" s="24">
        <v>0.13680555555555557</v>
      </c>
      <c r="M242" t="s">
        <v>1013</v>
      </c>
      <c r="N242" s="15" t="str">
        <f t="shared" si="17"/>
        <v>3:17 PM</v>
      </c>
      <c r="O242" s="9" t="s">
        <v>9</v>
      </c>
      <c r="P242" s="20">
        <f t="shared" si="19"/>
        <v>15.299999999999999</v>
      </c>
    </row>
    <row r="243" spans="1:16" x14ac:dyDescent="0.25">
      <c r="A243" s="9">
        <v>12993</v>
      </c>
      <c r="B243" s="9">
        <v>22384</v>
      </c>
      <c r="C243" s="9" t="s">
        <v>305</v>
      </c>
      <c r="D243" s="17">
        <f t="shared" si="18"/>
        <v>10</v>
      </c>
      <c r="E243" s="10">
        <f t="shared" si="15"/>
        <v>10</v>
      </c>
      <c r="F243" s="11">
        <v>10</v>
      </c>
      <c r="G243" s="9">
        <v>523122</v>
      </c>
      <c r="H243" s="13">
        <v>40441.54791666667</v>
      </c>
      <c r="I243" s="14">
        <v>1.65</v>
      </c>
      <c r="J243" s="23">
        <f t="shared" si="16"/>
        <v>1.65</v>
      </c>
      <c r="K243" s="12">
        <v>40441</v>
      </c>
      <c r="L243" s="24">
        <v>4.791666666666667E-2</v>
      </c>
      <c r="M243" t="s">
        <v>1013</v>
      </c>
      <c r="N243" s="15" t="str">
        <f t="shared" si="17"/>
        <v>1:09 PM</v>
      </c>
      <c r="O243" s="9" t="s">
        <v>9</v>
      </c>
      <c r="P243" s="20">
        <f t="shared" si="19"/>
        <v>16.5</v>
      </c>
    </row>
    <row r="244" spans="1:16" x14ac:dyDescent="0.25">
      <c r="A244" s="9">
        <v>17860</v>
      </c>
      <c r="B244" s="9">
        <v>20770</v>
      </c>
      <c r="C244" s="9" t="s">
        <v>306</v>
      </c>
      <c r="D244" s="17">
        <f t="shared" si="18"/>
        <v>1</v>
      </c>
      <c r="E244" s="10">
        <f t="shared" si="15"/>
        <v>1</v>
      </c>
      <c r="F244" s="11">
        <v>1</v>
      </c>
      <c r="G244" s="9">
        <v>525857</v>
      </c>
      <c r="H244" s="13">
        <v>40458.54791666667</v>
      </c>
      <c r="I244" s="14">
        <v>2.5499999999999998</v>
      </c>
      <c r="J244" s="23">
        <f t="shared" si="16"/>
        <v>2.5499999999999998</v>
      </c>
      <c r="K244" s="12">
        <v>40458</v>
      </c>
      <c r="L244" s="24">
        <v>4.791666666666667E-2</v>
      </c>
      <c r="M244" t="s">
        <v>1013</v>
      </c>
      <c r="N244" s="15" t="str">
        <f t="shared" si="17"/>
        <v>1:09 PM</v>
      </c>
      <c r="O244" s="9" t="s">
        <v>9</v>
      </c>
      <c r="P244" s="20">
        <f t="shared" si="19"/>
        <v>2.5499999999999998</v>
      </c>
    </row>
    <row r="245" spans="1:16" x14ac:dyDescent="0.25">
      <c r="A245" s="9">
        <v>16259</v>
      </c>
      <c r="B245" s="9">
        <v>22669</v>
      </c>
      <c r="C245" s="9" t="s">
        <v>307</v>
      </c>
      <c r="D245" s="17">
        <f t="shared" si="18"/>
        <v>2</v>
      </c>
      <c r="E245" s="10">
        <f t="shared" si="15"/>
        <v>2</v>
      </c>
      <c r="F245" s="11">
        <v>2</v>
      </c>
      <c r="G245" s="9">
        <v>528919</v>
      </c>
      <c r="H245" s="13">
        <v>40476.602083333331</v>
      </c>
      <c r="I245" s="14">
        <v>2.95</v>
      </c>
      <c r="J245" s="23">
        <f t="shared" si="16"/>
        <v>2.95</v>
      </c>
      <c r="K245" s="12">
        <v>40476</v>
      </c>
      <c r="L245" s="24">
        <v>0.10208333333333333</v>
      </c>
      <c r="M245" t="s">
        <v>1013</v>
      </c>
      <c r="N245" s="15" t="str">
        <f t="shared" si="17"/>
        <v>2:27 PM</v>
      </c>
      <c r="O245" s="9" t="s">
        <v>9</v>
      </c>
      <c r="P245" s="20">
        <f t="shared" si="19"/>
        <v>5.9</v>
      </c>
    </row>
    <row r="246" spans="1:16" x14ac:dyDescent="0.25">
      <c r="A246" s="9">
        <v>14754</v>
      </c>
      <c r="B246" s="9">
        <v>22356</v>
      </c>
      <c r="C246" s="9" t="s">
        <v>308</v>
      </c>
      <c r="D246" s="17">
        <f t="shared" si="18"/>
        <v>4</v>
      </c>
      <c r="E246" s="10">
        <f t="shared" si="15"/>
        <v>4</v>
      </c>
      <c r="F246" s="11">
        <v>4</v>
      </c>
      <c r="G246" s="9">
        <v>510058</v>
      </c>
      <c r="H246" s="13">
        <v>40325.425694444442</v>
      </c>
      <c r="I246" s="14">
        <v>0.85</v>
      </c>
      <c r="J246" s="23">
        <f t="shared" si="16"/>
        <v>0.85</v>
      </c>
      <c r="K246" s="12">
        <v>40325</v>
      </c>
      <c r="L246" s="24">
        <v>0.42569444444444443</v>
      </c>
      <c r="M246" t="s">
        <v>1014</v>
      </c>
      <c r="N246" s="15" t="str">
        <f t="shared" si="17"/>
        <v>10:13 AM</v>
      </c>
      <c r="O246" s="9" t="s">
        <v>9</v>
      </c>
      <c r="P246" s="20">
        <f t="shared" si="19"/>
        <v>3.4</v>
      </c>
    </row>
    <row r="247" spans="1:16" x14ac:dyDescent="0.25">
      <c r="A247" s="9">
        <v>14936</v>
      </c>
      <c r="B247" s="9">
        <v>22553</v>
      </c>
      <c r="C247" s="9" t="s">
        <v>259</v>
      </c>
      <c r="D247" s="17">
        <f t="shared" si="18"/>
        <v>12</v>
      </c>
      <c r="E247" s="10">
        <f t="shared" si="15"/>
        <v>12</v>
      </c>
      <c r="F247" s="11">
        <v>12</v>
      </c>
      <c r="G247" s="9">
        <v>523313</v>
      </c>
      <c r="H247" s="13">
        <v>40442.556250000001</v>
      </c>
      <c r="I247" s="14">
        <v>1.65</v>
      </c>
      <c r="J247" s="23">
        <f t="shared" si="16"/>
        <v>1.65</v>
      </c>
      <c r="K247" s="12">
        <v>40442</v>
      </c>
      <c r="L247" s="24">
        <v>5.6250000000000001E-2</v>
      </c>
      <c r="M247" t="s">
        <v>1013</v>
      </c>
      <c r="N247" s="15" t="str">
        <f t="shared" si="17"/>
        <v>1:21 PM</v>
      </c>
      <c r="O247" s="9" t="s">
        <v>230</v>
      </c>
      <c r="P247" s="20">
        <f t="shared" si="19"/>
        <v>19.799999999999997</v>
      </c>
    </row>
    <row r="248" spans="1:16" x14ac:dyDescent="0.25">
      <c r="A248" s="9">
        <v>14084</v>
      </c>
      <c r="B248" s="9">
        <v>22331</v>
      </c>
      <c r="C248" s="9" t="s">
        <v>309</v>
      </c>
      <c r="D248" s="17">
        <f t="shared" si="18"/>
        <v>8</v>
      </c>
      <c r="E248" s="10">
        <f t="shared" si="15"/>
        <v>8</v>
      </c>
      <c r="F248" s="11">
        <v>8</v>
      </c>
      <c r="G248" s="9">
        <v>515929</v>
      </c>
      <c r="H248" s="13">
        <v>40374.60833333333</v>
      </c>
      <c r="I248" s="14">
        <v>1.65</v>
      </c>
      <c r="J248" s="23">
        <f t="shared" si="16"/>
        <v>1.65</v>
      </c>
      <c r="K248" s="12">
        <v>40374</v>
      </c>
      <c r="L248" s="24">
        <v>0.10833333333333334</v>
      </c>
      <c r="M248" t="s">
        <v>1013</v>
      </c>
      <c r="N248" s="15" t="str">
        <f t="shared" si="17"/>
        <v>2:36 PM</v>
      </c>
      <c r="O248" s="9" t="s">
        <v>9</v>
      </c>
      <c r="P248" s="20">
        <f t="shared" si="19"/>
        <v>13.2</v>
      </c>
    </row>
    <row r="249" spans="1:16" x14ac:dyDescent="0.25">
      <c r="A249" s="9">
        <v>13324</v>
      </c>
      <c r="B249" s="9">
        <v>22482</v>
      </c>
      <c r="C249" s="9" t="s">
        <v>310</v>
      </c>
      <c r="D249" s="17">
        <f t="shared" si="18"/>
        <v>1</v>
      </c>
      <c r="E249" s="10">
        <f t="shared" si="15"/>
        <v>1</v>
      </c>
      <c r="F249" s="11">
        <v>1</v>
      </c>
      <c r="G249" s="9">
        <v>509634</v>
      </c>
      <c r="H249" s="13">
        <v>40323.432638888888</v>
      </c>
      <c r="I249" s="14">
        <v>1.25</v>
      </c>
      <c r="J249" s="23">
        <f t="shared" si="16"/>
        <v>1.25</v>
      </c>
      <c r="K249" s="12">
        <v>40323</v>
      </c>
      <c r="L249" s="24">
        <v>0.43263888888888891</v>
      </c>
      <c r="M249" t="s">
        <v>1014</v>
      </c>
      <c r="N249" s="15" t="str">
        <f t="shared" si="17"/>
        <v>10:23 AM</v>
      </c>
      <c r="O249" s="9" t="s">
        <v>9</v>
      </c>
      <c r="P249" s="20">
        <f t="shared" si="19"/>
        <v>1.25</v>
      </c>
    </row>
    <row r="250" spans="1:16" x14ac:dyDescent="0.25">
      <c r="A250" s="9">
        <v>18060</v>
      </c>
      <c r="B250" s="9">
        <v>22948</v>
      </c>
      <c r="C250" s="9" t="s">
        <v>155</v>
      </c>
      <c r="D250" s="17">
        <f t="shared" si="18"/>
        <v>24</v>
      </c>
      <c r="E250" s="10">
        <f t="shared" si="15"/>
        <v>24</v>
      </c>
      <c r="F250" s="11">
        <v>24</v>
      </c>
      <c r="G250" s="9">
        <v>529342</v>
      </c>
      <c r="H250" s="13">
        <v>40478.695138888892</v>
      </c>
      <c r="I250" s="14">
        <v>0.85</v>
      </c>
      <c r="J250" s="23">
        <f t="shared" si="16"/>
        <v>0.85</v>
      </c>
      <c r="K250" s="12">
        <v>40478</v>
      </c>
      <c r="L250" s="24">
        <v>0.19513888888888889</v>
      </c>
      <c r="M250" t="s">
        <v>1013</v>
      </c>
      <c r="N250" s="15" t="str">
        <f t="shared" si="17"/>
        <v>4:41 PM</v>
      </c>
      <c r="O250" s="9" t="s">
        <v>9</v>
      </c>
      <c r="P250" s="20">
        <f t="shared" si="19"/>
        <v>20.399999999999999</v>
      </c>
    </row>
    <row r="251" spans="1:16" x14ac:dyDescent="0.25">
      <c r="A251" s="9">
        <v>13291</v>
      </c>
      <c r="B251" s="9">
        <v>22173</v>
      </c>
      <c r="C251" s="9" t="s">
        <v>311</v>
      </c>
      <c r="D251" s="17">
        <f t="shared" si="18"/>
        <v>2</v>
      </c>
      <c r="E251" s="10">
        <f t="shared" si="15"/>
        <v>2</v>
      </c>
      <c r="F251" s="11">
        <v>2</v>
      </c>
      <c r="G251" s="9">
        <v>513555</v>
      </c>
      <c r="H251" s="13">
        <v>40354.553472222222</v>
      </c>
      <c r="I251" s="14">
        <v>2.95</v>
      </c>
      <c r="J251" s="23">
        <f t="shared" si="16"/>
        <v>2.95</v>
      </c>
      <c r="K251" s="12">
        <v>40354</v>
      </c>
      <c r="L251" s="24">
        <v>5.347222222222222E-2</v>
      </c>
      <c r="M251" t="s">
        <v>1013</v>
      </c>
      <c r="N251" s="15" t="str">
        <f t="shared" si="17"/>
        <v>1:17 PM</v>
      </c>
      <c r="O251" s="9" t="s">
        <v>9</v>
      </c>
      <c r="P251" s="20">
        <f t="shared" si="19"/>
        <v>5.9</v>
      </c>
    </row>
    <row r="252" spans="1:16" x14ac:dyDescent="0.25">
      <c r="A252" s="9">
        <v>18257</v>
      </c>
      <c r="B252" s="9">
        <v>22474</v>
      </c>
      <c r="C252" s="9" t="s">
        <v>312</v>
      </c>
      <c r="D252" s="17">
        <f t="shared" si="18"/>
        <v>4</v>
      </c>
      <c r="E252" s="10">
        <f t="shared" si="15"/>
        <v>4</v>
      </c>
      <c r="F252" s="11">
        <v>4</v>
      </c>
      <c r="G252" s="9">
        <v>510173</v>
      </c>
      <c r="H252" s="13">
        <v>40325.611111111109</v>
      </c>
      <c r="I252" s="14">
        <v>4.95</v>
      </c>
      <c r="J252" s="23">
        <f t="shared" si="16"/>
        <v>4.95</v>
      </c>
      <c r="K252" s="12">
        <v>40325</v>
      </c>
      <c r="L252" s="24">
        <v>0.1111111111111111</v>
      </c>
      <c r="M252" t="s">
        <v>1013</v>
      </c>
      <c r="N252" s="15" t="str">
        <f t="shared" si="17"/>
        <v>2:40 PM</v>
      </c>
      <c r="O252" s="9" t="s">
        <v>9</v>
      </c>
      <c r="P252" s="20">
        <f t="shared" si="19"/>
        <v>19.8</v>
      </c>
    </row>
    <row r="253" spans="1:16" x14ac:dyDescent="0.25">
      <c r="A253" s="9">
        <v>12770</v>
      </c>
      <c r="B253" s="9">
        <v>21937</v>
      </c>
      <c r="C253" s="9" t="s">
        <v>313</v>
      </c>
      <c r="D253" s="17">
        <f t="shared" si="18"/>
        <v>50</v>
      </c>
      <c r="E253" s="10">
        <f t="shared" si="15"/>
        <v>50</v>
      </c>
      <c r="F253" s="11">
        <v>50</v>
      </c>
      <c r="G253" s="9">
        <v>521888</v>
      </c>
      <c r="H253" s="13">
        <v>40430.488194444442</v>
      </c>
      <c r="I253" s="14">
        <v>2.5499999999999998</v>
      </c>
      <c r="J253" s="23">
        <f t="shared" si="16"/>
        <v>2.5499999999999998</v>
      </c>
      <c r="K253" s="12">
        <v>40430</v>
      </c>
      <c r="L253" s="24">
        <v>0.48819444444444443</v>
      </c>
      <c r="M253" t="s">
        <v>1014</v>
      </c>
      <c r="N253" s="15" t="str">
        <f t="shared" si="17"/>
        <v>11:43 AM</v>
      </c>
      <c r="O253" s="9" t="s">
        <v>314</v>
      </c>
      <c r="P253" s="20">
        <f t="shared" si="19"/>
        <v>127.49999999999999</v>
      </c>
    </row>
    <row r="254" spans="1:16" x14ac:dyDescent="0.25">
      <c r="A254" s="9">
        <v>14515</v>
      </c>
      <c r="B254" s="9">
        <v>21126</v>
      </c>
      <c r="C254" s="9" t="s">
        <v>315</v>
      </c>
      <c r="D254" s="17">
        <f t="shared" si="18"/>
        <v>1</v>
      </c>
      <c r="E254" s="10">
        <f t="shared" si="15"/>
        <v>1</v>
      </c>
      <c r="F254" s="11">
        <v>1</v>
      </c>
      <c r="G254" s="9">
        <v>511251</v>
      </c>
      <c r="H254" s="13">
        <v>40336.525694444441</v>
      </c>
      <c r="I254" s="14">
        <v>1.25</v>
      </c>
      <c r="J254" s="23">
        <f t="shared" si="16"/>
        <v>1.25</v>
      </c>
      <c r="K254" s="12">
        <v>40336</v>
      </c>
      <c r="L254" s="24">
        <v>0.52569444444444446</v>
      </c>
      <c r="M254" t="s">
        <v>1013</v>
      </c>
      <c r="N254" s="15" t="str">
        <f t="shared" si="17"/>
        <v>12:37 PM</v>
      </c>
      <c r="O254" s="9" t="s">
        <v>9</v>
      </c>
      <c r="P254" s="20">
        <f t="shared" si="19"/>
        <v>1.25</v>
      </c>
    </row>
    <row r="255" spans="1:16" x14ac:dyDescent="0.25">
      <c r="A255" s="9">
        <v>16105</v>
      </c>
      <c r="B255" s="9">
        <v>37370</v>
      </c>
      <c r="C255" s="9" t="s">
        <v>316</v>
      </c>
      <c r="D255" s="17">
        <f t="shared" si="18"/>
        <v>12</v>
      </c>
      <c r="E255" s="10">
        <f t="shared" si="15"/>
        <v>12</v>
      </c>
      <c r="F255" s="11">
        <v>12</v>
      </c>
      <c r="G255" s="9">
        <v>518219</v>
      </c>
      <c r="H255" s="13">
        <v>40395.556250000001</v>
      </c>
      <c r="I255" s="14">
        <v>1.25</v>
      </c>
      <c r="J255" s="23">
        <f t="shared" si="16"/>
        <v>1.25</v>
      </c>
      <c r="K255" s="12">
        <v>40395</v>
      </c>
      <c r="L255" s="24">
        <v>5.6250000000000001E-2</v>
      </c>
      <c r="M255" t="s">
        <v>1013</v>
      </c>
      <c r="N255" s="15" t="str">
        <f t="shared" si="17"/>
        <v>1:21 PM</v>
      </c>
      <c r="O255" s="9" t="s">
        <v>9</v>
      </c>
      <c r="P255" s="20">
        <f t="shared" si="19"/>
        <v>15</v>
      </c>
    </row>
    <row r="256" spans="1:16" x14ac:dyDescent="0.25">
      <c r="A256" s="9">
        <v>14535</v>
      </c>
      <c r="B256" s="9">
        <v>82605</v>
      </c>
      <c r="C256" s="9" t="s">
        <v>317</v>
      </c>
      <c r="D256" s="17">
        <f t="shared" si="18"/>
        <v>2</v>
      </c>
      <c r="E256" s="10">
        <f t="shared" si="15"/>
        <v>2</v>
      </c>
      <c r="F256" s="11">
        <v>2</v>
      </c>
      <c r="G256" s="9">
        <v>531804</v>
      </c>
      <c r="H256" s="13">
        <v>40491.668749999997</v>
      </c>
      <c r="I256" s="14">
        <v>2.1</v>
      </c>
      <c r="J256" s="23">
        <f t="shared" si="16"/>
        <v>2.1</v>
      </c>
      <c r="K256" s="12">
        <v>40491</v>
      </c>
      <c r="L256" s="24">
        <v>0.16875000000000001</v>
      </c>
      <c r="M256" t="s">
        <v>1013</v>
      </c>
      <c r="N256" s="15" t="str">
        <f t="shared" si="17"/>
        <v>4:03 PM</v>
      </c>
      <c r="O256" s="9" t="s">
        <v>9</v>
      </c>
      <c r="P256" s="20">
        <f t="shared" si="19"/>
        <v>4.2</v>
      </c>
    </row>
    <row r="257" spans="1:16" x14ac:dyDescent="0.25">
      <c r="A257" s="9">
        <v>17422</v>
      </c>
      <c r="B257" s="9" t="s">
        <v>318</v>
      </c>
      <c r="C257" s="9" t="s">
        <v>319</v>
      </c>
      <c r="D257" s="17">
        <f t="shared" si="18"/>
        <v>24</v>
      </c>
      <c r="E257" s="10">
        <f t="shared" si="15"/>
        <v>24</v>
      </c>
      <c r="F257" s="11">
        <v>24</v>
      </c>
      <c r="G257" s="9">
        <v>534471</v>
      </c>
      <c r="H257" s="13">
        <v>40505.433333333327</v>
      </c>
      <c r="I257" s="14">
        <v>0.08</v>
      </c>
      <c r="J257" s="23">
        <f t="shared" si="16"/>
        <v>0.08</v>
      </c>
      <c r="K257" s="12">
        <v>40505</v>
      </c>
      <c r="L257" s="24">
        <v>0.43333333333333335</v>
      </c>
      <c r="M257" t="s">
        <v>1014</v>
      </c>
      <c r="N257" s="15" t="str">
        <f t="shared" si="17"/>
        <v>10:24 AM</v>
      </c>
      <c r="O257" s="9" t="s">
        <v>9</v>
      </c>
      <c r="P257" s="20">
        <f t="shared" si="19"/>
        <v>1.92</v>
      </c>
    </row>
    <row r="258" spans="1:16" x14ac:dyDescent="0.25">
      <c r="A258" s="9">
        <v>16731</v>
      </c>
      <c r="B258" s="9">
        <v>21897</v>
      </c>
      <c r="C258" s="9" t="s">
        <v>320</v>
      </c>
      <c r="D258" s="17">
        <f t="shared" si="18"/>
        <v>1</v>
      </c>
      <c r="E258" s="10">
        <f t="shared" ref="E258:E321" si="20">VALUE(F258)</f>
        <v>1</v>
      </c>
      <c r="F258" s="11">
        <v>1</v>
      </c>
      <c r="G258" s="9">
        <v>499659</v>
      </c>
      <c r="H258" s="13">
        <v>40238.628472222219</v>
      </c>
      <c r="I258" s="14">
        <v>2.95</v>
      </c>
      <c r="J258" s="23">
        <f t="shared" ref="J258:J321" si="21">VALUE(I258)</f>
        <v>2.95</v>
      </c>
      <c r="K258" s="12">
        <v>40238</v>
      </c>
      <c r="L258" s="24">
        <v>0.12847222222222221</v>
      </c>
      <c r="M258" t="s">
        <v>1013</v>
      </c>
      <c r="N258" s="15" t="str">
        <f t="shared" ref="N258:N321" si="22">TEXT(L258,"h:mm")&amp;" "&amp;M258</f>
        <v>3:05 PM</v>
      </c>
      <c r="O258" s="9" t="s">
        <v>9</v>
      </c>
      <c r="P258" s="20">
        <f t="shared" si="19"/>
        <v>2.95</v>
      </c>
    </row>
    <row r="259" spans="1:16" x14ac:dyDescent="0.25">
      <c r="A259" s="9">
        <v>14527</v>
      </c>
      <c r="B259" s="9">
        <v>21532</v>
      </c>
      <c r="C259" s="9" t="s">
        <v>321</v>
      </c>
      <c r="D259" s="17">
        <f t="shared" ref="D259:D322" si="23">ABS(E259)</f>
        <v>0</v>
      </c>
      <c r="E259" s="10">
        <f t="shared" si="20"/>
        <v>0</v>
      </c>
      <c r="F259" s="11"/>
      <c r="G259" s="9">
        <v>494451</v>
      </c>
      <c r="H259" s="13">
        <v>40192.576388888891</v>
      </c>
      <c r="I259" s="14">
        <v>2.1</v>
      </c>
      <c r="J259" s="23">
        <f t="shared" si="21"/>
        <v>2.1</v>
      </c>
      <c r="K259" s="12">
        <v>40192</v>
      </c>
      <c r="L259" s="24">
        <v>7.6388888888888895E-2</v>
      </c>
      <c r="M259" t="s">
        <v>1013</v>
      </c>
      <c r="N259" s="15" t="str">
        <f t="shared" si="22"/>
        <v>1:50 PM</v>
      </c>
      <c r="O259" s="9" t="s">
        <v>9</v>
      </c>
      <c r="P259" s="20">
        <f t="shared" ref="P259:P322" si="24">PRODUCT(D259,(J259))</f>
        <v>0</v>
      </c>
    </row>
    <row r="260" spans="1:16" x14ac:dyDescent="0.25">
      <c r="A260" s="9">
        <v>13407</v>
      </c>
      <c r="B260" s="9">
        <v>84676</v>
      </c>
      <c r="C260" s="9" t="s">
        <v>323</v>
      </c>
      <c r="D260" s="17">
        <f t="shared" si="23"/>
        <v>3</v>
      </c>
      <c r="E260" s="10">
        <f t="shared" si="20"/>
        <v>-3</v>
      </c>
      <c r="F260" s="11">
        <v>-3</v>
      </c>
      <c r="G260" s="9" t="s">
        <v>322</v>
      </c>
      <c r="H260" s="13">
        <v>40282.57916666667</v>
      </c>
      <c r="I260" s="14">
        <v>2.95</v>
      </c>
      <c r="J260" s="23">
        <f t="shared" si="21"/>
        <v>2.95</v>
      </c>
      <c r="K260" s="12">
        <v>40282</v>
      </c>
      <c r="L260" s="24">
        <v>7.9166666666666663E-2</v>
      </c>
      <c r="M260" t="s">
        <v>1013</v>
      </c>
      <c r="N260" s="15" t="str">
        <f t="shared" si="22"/>
        <v>1:54 PM</v>
      </c>
      <c r="O260" s="9" t="s">
        <v>9</v>
      </c>
      <c r="P260" s="20">
        <f t="shared" si="24"/>
        <v>8.8500000000000014</v>
      </c>
    </row>
    <row r="261" spans="1:16" x14ac:dyDescent="0.25">
      <c r="A261" s="9">
        <v>13590</v>
      </c>
      <c r="B261" s="9">
        <v>22663</v>
      </c>
      <c r="C261" s="9" t="s">
        <v>324</v>
      </c>
      <c r="D261" s="17">
        <f t="shared" si="23"/>
        <v>3</v>
      </c>
      <c r="E261" s="10">
        <f t="shared" si="20"/>
        <v>3</v>
      </c>
      <c r="F261" s="11">
        <v>3</v>
      </c>
      <c r="G261" s="9">
        <v>525020</v>
      </c>
      <c r="H261" s="13">
        <v>40454.495138888888</v>
      </c>
      <c r="I261" s="14">
        <v>1.95</v>
      </c>
      <c r="J261" s="23">
        <f t="shared" si="21"/>
        <v>1.95</v>
      </c>
      <c r="K261" s="12">
        <v>40454</v>
      </c>
      <c r="L261" s="24">
        <v>0.49513888888888891</v>
      </c>
      <c r="M261" t="s">
        <v>1014</v>
      </c>
      <c r="N261" s="15" t="str">
        <f t="shared" si="22"/>
        <v>11:53 AM</v>
      </c>
      <c r="O261" s="9" t="s">
        <v>9</v>
      </c>
      <c r="P261" s="20">
        <f t="shared" si="24"/>
        <v>5.85</v>
      </c>
    </row>
    <row r="262" spans="1:16" x14ac:dyDescent="0.25">
      <c r="A262" s="9">
        <v>13137</v>
      </c>
      <c r="B262" s="9">
        <v>21891</v>
      </c>
      <c r="C262" s="9" t="s">
        <v>325</v>
      </c>
      <c r="D262" s="17">
        <f t="shared" si="23"/>
        <v>2</v>
      </c>
      <c r="E262" s="10">
        <f t="shared" si="20"/>
        <v>2</v>
      </c>
      <c r="F262" s="11">
        <v>2</v>
      </c>
      <c r="G262" s="9">
        <v>528705</v>
      </c>
      <c r="H262" s="13">
        <v>40475.546527777777</v>
      </c>
      <c r="I262" s="14">
        <v>1.25</v>
      </c>
      <c r="J262" s="23">
        <f t="shared" si="21"/>
        <v>1.25</v>
      </c>
      <c r="K262" s="12">
        <v>40475</v>
      </c>
      <c r="L262" s="24">
        <v>4.6527777777777779E-2</v>
      </c>
      <c r="M262" t="s">
        <v>1013</v>
      </c>
      <c r="N262" s="15" t="str">
        <f t="shared" si="22"/>
        <v>1:07 PM</v>
      </c>
      <c r="O262" s="9" t="s">
        <v>9</v>
      </c>
      <c r="P262" s="20">
        <f t="shared" si="24"/>
        <v>2.5</v>
      </c>
    </row>
    <row r="263" spans="1:16" x14ac:dyDescent="0.25">
      <c r="A263" s="9">
        <v>17690</v>
      </c>
      <c r="B263" s="9">
        <v>22986</v>
      </c>
      <c r="C263" s="9" t="s">
        <v>326</v>
      </c>
      <c r="D263" s="17">
        <f t="shared" si="23"/>
        <v>25</v>
      </c>
      <c r="E263" s="10">
        <f t="shared" si="20"/>
        <v>25</v>
      </c>
      <c r="F263" s="11">
        <v>25</v>
      </c>
      <c r="G263" s="9">
        <v>529611</v>
      </c>
      <c r="H263" s="13">
        <v>40480.443749999999</v>
      </c>
      <c r="I263" s="14">
        <v>0.42</v>
      </c>
      <c r="J263" s="23">
        <f t="shared" si="21"/>
        <v>0.42</v>
      </c>
      <c r="K263" s="12">
        <v>40480</v>
      </c>
      <c r="L263" s="24">
        <v>0.44374999999999998</v>
      </c>
      <c r="M263" t="s">
        <v>1014</v>
      </c>
      <c r="N263" s="15" t="str">
        <f t="shared" si="22"/>
        <v>10:39 AM</v>
      </c>
      <c r="O263" s="9" t="s">
        <v>9</v>
      </c>
      <c r="P263" s="20">
        <f t="shared" si="24"/>
        <v>10.5</v>
      </c>
    </row>
    <row r="264" spans="1:16" x14ac:dyDescent="0.25">
      <c r="A264" s="9">
        <v>12369</v>
      </c>
      <c r="B264" s="9">
        <v>22334</v>
      </c>
      <c r="C264" s="9" t="s">
        <v>327</v>
      </c>
      <c r="D264" s="17">
        <f t="shared" si="23"/>
        <v>8</v>
      </c>
      <c r="E264" s="10">
        <f t="shared" si="20"/>
        <v>8</v>
      </c>
      <c r="F264" s="11">
        <v>8</v>
      </c>
      <c r="G264" s="9">
        <v>522773</v>
      </c>
      <c r="H264" s="13">
        <v>40437.606944444437</v>
      </c>
      <c r="I264" s="14">
        <v>1.65</v>
      </c>
      <c r="J264" s="23">
        <f t="shared" si="21"/>
        <v>1.65</v>
      </c>
      <c r="K264" s="12">
        <v>40437</v>
      </c>
      <c r="L264" s="24">
        <v>0.10694444444444444</v>
      </c>
      <c r="M264" t="s">
        <v>1013</v>
      </c>
      <c r="N264" s="15" t="str">
        <f t="shared" si="22"/>
        <v>2:34 PM</v>
      </c>
      <c r="O264" s="9" t="s">
        <v>328</v>
      </c>
      <c r="P264" s="20">
        <f t="shared" si="24"/>
        <v>13.2</v>
      </c>
    </row>
    <row r="265" spans="1:16" x14ac:dyDescent="0.25">
      <c r="A265" s="9">
        <v>14890</v>
      </c>
      <c r="B265" s="9">
        <v>22139</v>
      </c>
      <c r="C265" s="9" t="s">
        <v>135</v>
      </c>
      <c r="D265" s="17">
        <f t="shared" si="23"/>
        <v>3</v>
      </c>
      <c r="E265" s="10">
        <f t="shared" si="20"/>
        <v>3</v>
      </c>
      <c r="F265" s="11">
        <v>3</v>
      </c>
      <c r="G265" s="9">
        <v>503241</v>
      </c>
      <c r="H265" s="13">
        <v>40268.402777777781</v>
      </c>
      <c r="I265" s="14">
        <v>4.95</v>
      </c>
      <c r="J265" s="23">
        <f t="shared" si="21"/>
        <v>4.95</v>
      </c>
      <c r="K265" s="12">
        <v>40268</v>
      </c>
      <c r="L265" s="24">
        <v>0.40277777777777779</v>
      </c>
      <c r="M265" t="s">
        <v>1014</v>
      </c>
      <c r="N265" s="15" t="str">
        <f t="shared" si="22"/>
        <v>9:40 AM</v>
      </c>
      <c r="O265" s="9" t="s">
        <v>9</v>
      </c>
      <c r="P265" s="20">
        <f t="shared" si="24"/>
        <v>14.850000000000001</v>
      </c>
    </row>
    <row r="266" spans="1:16" x14ac:dyDescent="0.25">
      <c r="A266" s="9">
        <v>14606</v>
      </c>
      <c r="B266" s="9">
        <v>20966</v>
      </c>
      <c r="C266" s="9" t="s">
        <v>329</v>
      </c>
      <c r="D266" s="17">
        <f t="shared" si="23"/>
        <v>1</v>
      </c>
      <c r="E266" s="10">
        <f t="shared" si="20"/>
        <v>1</v>
      </c>
      <c r="F266" s="17">
        <v>1</v>
      </c>
      <c r="G266" s="9">
        <v>496944</v>
      </c>
      <c r="H266" s="13">
        <v>40213.728472222218</v>
      </c>
      <c r="I266" s="14">
        <v>1.25</v>
      </c>
      <c r="J266" s="23">
        <f t="shared" si="21"/>
        <v>1.25</v>
      </c>
      <c r="K266" s="12">
        <v>40213</v>
      </c>
      <c r="L266" s="24">
        <v>0.22847222222222222</v>
      </c>
      <c r="M266" t="s">
        <v>1013</v>
      </c>
      <c r="N266" s="15" t="str">
        <f t="shared" si="22"/>
        <v>5:29 PM</v>
      </c>
      <c r="O266" s="9" t="s">
        <v>9</v>
      </c>
      <c r="P266" s="20">
        <f t="shared" si="24"/>
        <v>1.25</v>
      </c>
    </row>
    <row r="267" spans="1:16" x14ac:dyDescent="0.25">
      <c r="A267" s="9">
        <v>17346</v>
      </c>
      <c r="B267" s="9">
        <v>21213</v>
      </c>
      <c r="C267" s="9" t="s">
        <v>243</v>
      </c>
      <c r="D267" s="17">
        <f t="shared" si="23"/>
        <v>2</v>
      </c>
      <c r="E267" s="10">
        <f t="shared" si="20"/>
        <v>2</v>
      </c>
      <c r="F267" s="11">
        <v>2</v>
      </c>
      <c r="G267" s="9">
        <v>511638</v>
      </c>
      <c r="H267" s="13">
        <v>40338.547222222223</v>
      </c>
      <c r="I267" s="14">
        <v>0.55000000000000004</v>
      </c>
      <c r="J267" s="23">
        <f t="shared" si="21"/>
        <v>0.55000000000000004</v>
      </c>
      <c r="K267" s="12">
        <v>40338</v>
      </c>
      <c r="L267" s="24">
        <v>4.7222222222222221E-2</v>
      </c>
      <c r="M267" t="s">
        <v>1013</v>
      </c>
      <c r="N267" s="15" t="str">
        <f t="shared" si="22"/>
        <v>1:08 PM</v>
      </c>
      <c r="O267" s="9" t="s">
        <v>9</v>
      </c>
      <c r="P267" s="20">
        <f t="shared" si="24"/>
        <v>1.1000000000000001</v>
      </c>
    </row>
    <row r="268" spans="1:16" x14ac:dyDescent="0.25">
      <c r="A268" s="9">
        <v>14606</v>
      </c>
      <c r="B268" s="9">
        <v>22539</v>
      </c>
      <c r="C268" s="9" t="s">
        <v>331</v>
      </c>
      <c r="D268" s="17">
        <f t="shared" si="23"/>
        <v>1</v>
      </c>
      <c r="E268" s="10">
        <f t="shared" si="20"/>
        <v>1</v>
      </c>
      <c r="F268" s="11">
        <v>1</v>
      </c>
      <c r="G268" s="9">
        <v>505725</v>
      </c>
      <c r="H268" s="13">
        <v>40293.579861111109</v>
      </c>
      <c r="I268" s="14">
        <v>0.42</v>
      </c>
      <c r="J268" s="23">
        <f t="shared" si="21"/>
        <v>0.42</v>
      </c>
      <c r="K268" s="12">
        <v>40293</v>
      </c>
      <c r="L268" s="24">
        <v>7.9861111111111105E-2</v>
      </c>
      <c r="M268" t="s">
        <v>1013</v>
      </c>
      <c r="N268" s="15" t="str">
        <f t="shared" si="22"/>
        <v>1:55 PM</v>
      </c>
      <c r="O268" s="9" t="s">
        <v>9</v>
      </c>
      <c r="P268" s="20">
        <f t="shared" si="24"/>
        <v>0.42</v>
      </c>
    </row>
    <row r="269" spans="1:16" x14ac:dyDescent="0.25">
      <c r="A269" s="9">
        <v>17975</v>
      </c>
      <c r="B269" s="9">
        <v>35400</v>
      </c>
      <c r="C269" s="9" t="s">
        <v>332</v>
      </c>
      <c r="D269" s="17">
        <f t="shared" si="23"/>
        <v>1</v>
      </c>
      <c r="E269" s="10">
        <f t="shared" si="20"/>
        <v>1</v>
      </c>
      <c r="F269" s="11">
        <v>1</v>
      </c>
      <c r="G269" s="9">
        <v>530020</v>
      </c>
      <c r="H269" s="13">
        <v>40483.452777777777</v>
      </c>
      <c r="I269" s="14">
        <v>8.9499999999999993</v>
      </c>
      <c r="J269" s="23">
        <f t="shared" si="21"/>
        <v>8.9499999999999993</v>
      </c>
      <c r="K269" s="12">
        <v>40483</v>
      </c>
      <c r="L269" s="24">
        <v>0.45277777777777778</v>
      </c>
      <c r="M269" t="s">
        <v>1014</v>
      </c>
      <c r="N269" s="15" t="str">
        <f t="shared" si="22"/>
        <v>10:52 AM</v>
      </c>
      <c r="O269" s="9" t="s">
        <v>9</v>
      </c>
      <c r="P269" s="20">
        <f t="shared" si="24"/>
        <v>8.9499999999999993</v>
      </c>
    </row>
    <row r="270" spans="1:16" x14ac:dyDescent="0.25">
      <c r="A270" s="9">
        <v>16510</v>
      </c>
      <c r="B270" s="9">
        <v>85146</v>
      </c>
      <c r="C270" s="9" t="s">
        <v>333</v>
      </c>
      <c r="D270" s="17">
        <f t="shared" si="23"/>
        <v>4</v>
      </c>
      <c r="E270" s="10">
        <f t="shared" si="20"/>
        <v>4</v>
      </c>
      <c r="F270" s="11">
        <v>4</v>
      </c>
      <c r="G270" s="9">
        <v>502795</v>
      </c>
      <c r="H270" s="13">
        <v>40263.647222222222</v>
      </c>
      <c r="I270" s="14">
        <v>5.95</v>
      </c>
      <c r="J270" s="23">
        <f t="shared" si="21"/>
        <v>5.95</v>
      </c>
      <c r="K270" s="12">
        <v>40263</v>
      </c>
      <c r="L270" s="24">
        <v>0.14722222222222223</v>
      </c>
      <c r="M270" t="s">
        <v>1013</v>
      </c>
      <c r="N270" s="15" t="str">
        <f t="shared" si="22"/>
        <v>3:32 PM</v>
      </c>
      <c r="O270" s="9" t="s">
        <v>9</v>
      </c>
      <c r="P270" s="20">
        <f t="shared" si="24"/>
        <v>23.8</v>
      </c>
    </row>
    <row r="271" spans="1:16" x14ac:dyDescent="0.25">
      <c r="A271" s="9">
        <v>14044</v>
      </c>
      <c r="B271" s="9">
        <v>22667</v>
      </c>
      <c r="C271" s="9" t="s">
        <v>334</v>
      </c>
      <c r="D271" s="17">
        <f t="shared" si="23"/>
        <v>1</v>
      </c>
      <c r="E271" s="10">
        <f t="shared" si="20"/>
        <v>1</v>
      </c>
      <c r="F271" s="17">
        <v>1</v>
      </c>
      <c r="G271" s="9">
        <v>518663</v>
      </c>
      <c r="H271" s="13">
        <v>40400.602083333331</v>
      </c>
      <c r="I271" s="14">
        <v>2.95</v>
      </c>
      <c r="J271" s="23">
        <f t="shared" si="21"/>
        <v>2.95</v>
      </c>
      <c r="K271" s="12">
        <v>40400</v>
      </c>
      <c r="L271" s="24">
        <v>0.10208333333333333</v>
      </c>
      <c r="M271" t="s">
        <v>1013</v>
      </c>
      <c r="N271" s="15" t="str">
        <f t="shared" si="22"/>
        <v>2:27 PM</v>
      </c>
      <c r="O271" s="9" t="s">
        <v>9</v>
      </c>
      <c r="P271" s="20">
        <f t="shared" si="24"/>
        <v>2.95</v>
      </c>
    </row>
    <row r="272" spans="1:16" x14ac:dyDescent="0.25">
      <c r="A272" s="9">
        <v>14644</v>
      </c>
      <c r="B272" s="9" t="s">
        <v>335</v>
      </c>
      <c r="C272" s="9" t="s">
        <v>336</v>
      </c>
      <c r="D272" s="17">
        <f t="shared" si="23"/>
        <v>6</v>
      </c>
      <c r="E272" s="10">
        <f t="shared" si="20"/>
        <v>6</v>
      </c>
      <c r="F272" s="11">
        <v>6</v>
      </c>
      <c r="G272" s="9">
        <v>490101</v>
      </c>
      <c r="H272" s="13">
        <v>40150.683333333327</v>
      </c>
      <c r="I272" s="14">
        <v>6.35</v>
      </c>
      <c r="J272" s="23">
        <f t="shared" si="21"/>
        <v>6.35</v>
      </c>
      <c r="K272" s="12">
        <v>40150</v>
      </c>
      <c r="L272" s="24">
        <v>0.18333333333333332</v>
      </c>
      <c r="M272" t="s">
        <v>1013</v>
      </c>
      <c r="N272" s="15" t="str">
        <f t="shared" si="22"/>
        <v>4:24 PM</v>
      </c>
      <c r="O272" s="9" t="s">
        <v>9</v>
      </c>
      <c r="P272" s="20">
        <f t="shared" si="24"/>
        <v>38.099999999999994</v>
      </c>
    </row>
    <row r="273" spans="1:16" x14ac:dyDescent="0.25">
      <c r="A273" s="9">
        <v>16401</v>
      </c>
      <c r="B273" s="9">
        <v>22034</v>
      </c>
      <c r="C273" s="9" t="s">
        <v>337</v>
      </c>
      <c r="D273" s="17">
        <f t="shared" si="23"/>
        <v>12</v>
      </c>
      <c r="E273" s="10">
        <f t="shared" si="20"/>
        <v>12</v>
      </c>
      <c r="F273" s="11">
        <v>12</v>
      </c>
      <c r="G273" s="9">
        <v>531271</v>
      </c>
      <c r="H273" s="13">
        <v>40489.494444444441</v>
      </c>
      <c r="I273" s="14">
        <v>0.42</v>
      </c>
      <c r="J273" s="23">
        <f t="shared" si="21"/>
        <v>0.42</v>
      </c>
      <c r="K273" s="12">
        <v>40489</v>
      </c>
      <c r="L273" s="24">
        <v>0.49444444444444446</v>
      </c>
      <c r="M273" t="s">
        <v>1014</v>
      </c>
      <c r="N273" s="15" t="str">
        <f t="shared" si="22"/>
        <v>11:52 AM</v>
      </c>
      <c r="O273" s="9" t="s">
        <v>9</v>
      </c>
      <c r="P273" s="20">
        <f t="shared" si="24"/>
        <v>5.04</v>
      </c>
    </row>
    <row r="274" spans="1:16" x14ac:dyDescent="0.25">
      <c r="A274" s="9" t="s">
        <v>1022</v>
      </c>
      <c r="B274" s="9">
        <v>22660</v>
      </c>
      <c r="C274" s="9" t="s">
        <v>338</v>
      </c>
      <c r="D274" s="17">
        <f t="shared" si="23"/>
        <v>2</v>
      </c>
      <c r="E274" s="10">
        <f t="shared" si="20"/>
        <v>2</v>
      </c>
      <c r="F274" s="11">
        <v>2</v>
      </c>
      <c r="G274" s="9">
        <v>525764</v>
      </c>
      <c r="H274" s="13">
        <v>40458.443749999999</v>
      </c>
      <c r="I274" s="14">
        <v>7.95</v>
      </c>
      <c r="J274" s="23">
        <f t="shared" si="21"/>
        <v>7.95</v>
      </c>
      <c r="K274" s="12">
        <v>40458</v>
      </c>
      <c r="L274" s="24">
        <v>0.44374999999999998</v>
      </c>
      <c r="M274" t="s">
        <v>1014</v>
      </c>
      <c r="N274" s="15" t="str">
        <f t="shared" si="22"/>
        <v>10:39 AM</v>
      </c>
      <c r="O274" s="9" t="s">
        <v>339</v>
      </c>
      <c r="P274" s="20">
        <f t="shared" si="24"/>
        <v>15.9</v>
      </c>
    </row>
    <row r="275" spans="1:16" x14ac:dyDescent="0.25">
      <c r="A275" s="9">
        <v>13110</v>
      </c>
      <c r="B275" s="9">
        <v>21314</v>
      </c>
      <c r="C275" s="9" t="s">
        <v>340</v>
      </c>
      <c r="D275" s="17">
        <f t="shared" si="23"/>
        <v>4</v>
      </c>
      <c r="E275" s="10">
        <f t="shared" si="20"/>
        <v>4</v>
      </c>
      <c r="F275" s="11">
        <v>4</v>
      </c>
      <c r="G275" s="9">
        <v>494795</v>
      </c>
      <c r="H275" s="13">
        <v>40196.593055555553</v>
      </c>
      <c r="I275" s="14">
        <v>2.1</v>
      </c>
      <c r="J275" s="23">
        <f t="shared" si="21"/>
        <v>2.1</v>
      </c>
      <c r="K275" s="12">
        <v>40196</v>
      </c>
      <c r="L275" s="24">
        <v>9.3055555555555558E-2</v>
      </c>
      <c r="M275" t="s">
        <v>1013</v>
      </c>
      <c r="N275" s="15" t="str">
        <f t="shared" si="22"/>
        <v>2:14 PM</v>
      </c>
      <c r="O275" s="9" t="s">
        <v>9</v>
      </c>
      <c r="P275" s="20">
        <f t="shared" si="24"/>
        <v>8.4</v>
      </c>
    </row>
    <row r="276" spans="1:16" x14ac:dyDescent="0.25">
      <c r="A276" s="9">
        <v>12458</v>
      </c>
      <c r="B276" s="9">
        <v>20973</v>
      </c>
      <c r="C276" s="9" t="s">
        <v>341</v>
      </c>
      <c r="D276" s="17">
        <f t="shared" si="23"/>
        <v>24</v>
      </c>
      <c r="E276" s="10">
        <f t="shared" si="20"/>
        <v>24</v>
      </c>
      <c r="F276" s="11" t="s">
        <v>342</v>
      </c>
      <c r="G276" s="9">
        <v>518428</v>
      </c>
      <c r="H276" s="13">
        <v>40399.439583333333</v>
      </c>
      <c r="I276" s="14">
        <v>0.65</v>
      </c>
      <c r="J276" s="23">
        <f t="shared" si="21"/>
        <v>0.65</v>
      </c>
      <c r="K276" s="12">
        <v>40399</v>
      </c>
      <c r="L276" s="24">
        <v>0.43958333333333333</v>
      </c>
      <c r="M276" t="s">
        <v>1014</v>
      </c>
      <c r="N276" s="15" t="str">
        <f t="shared" si="22"/>
        <v>10:33 AM</v>
      </c>
      <c r="O276" s="9" t="s">
        <v>343</v>
      </c>
      <c r="P276" s="20">
        <f t="shared" si="24"/>
        <v>15.600000000000001</v>
      </c>
    </row>
    <row r="277" spans="1:16" x14ac:dyDescent="0.25">
      <c r="A277" s="9">
        <v>14667</v>
      </c>
      <c r="B277" s="9">
        <v>21754</v>
      </c>
      <c r="C277" s="9" t="s">
        <v>344</v>
      </c>
      <c r="D277" s="17">
        <f t="shared" si="23"/>
        <v>8</v>
      </c>
      <c r="E277" s="10">
        <f t="shared" si="20"/>
        <v>8</v>
      </c>
      <c r="F277" s="11">
        <v>8</v>
      </c>
      <c r="G277" s="9">
        <v>505056</v>
      </c>
      <c r="H277" s="13">
        <v>40287.624305555553</v>
      </c>
      <c r="I277" s="14">
        <v>5.95</v>
      </c>
      <c r="J277" s="23">
        <f t="shared" si="21"/>
        <v>5.95</v>
      </c>
      <c r="K277" s="12">
        <v>40287</v>
      </c>
      <c r="L277" s="24">
        <v>0.12430555555555556</v>
      </c>
      <c r="M277" t="s">
        <v>1013</v>
      </c>
      <c r="N277" s="15" t="str">
        <f t="shared" si="22"/>
        <v>2:59 PM</v>
      </c>
      <c r="O277" s="9" t="s">
        <v>9</v>
      </c>
      <c r="P277" s="20">
        <f t="shared" si="24"/>
        <v>47.6</v>
      </c>
    </row>
    <row r="278" spans="1:16" x14ac:dyDescent="0.25">
      <c r="A278" s="9">
        <v>15754</v>
      </c>
      <c r="B278" s="9">
        <v>21590</v>
      </c>
      <c r="C278" s="9" t="s">
        <v>345</v>
      </c>
      <c r="D278" s="17">
        <f t="shared" si="23"/>
        <v>24</v>
      </c>
      <c r="E278" s="10">
        <f t="shared" si="20"/>
        <v>24</v>
      </c>
      <c r="F278" s="11">
        <v>24</v>
      </c>
      <c r="G278" s="9">
        <v>503251</v>
      </c>
      <c r="H278" s="13">
        <v>40268.438888888893</v>
      </c>
      <c r="I278" s="14">
        <v>1.25</v>
      </c>
      <c r="J278" s="23">
        <f t="shared" si="21"/>
        <v>1.25</v>
      </c>
      <c r="K278" s="12">
        <v>40268</v>
      </c>
      <c r="L278" s="24">
        <v>0.43888888888888888</v>
      </c>
      <c r="M278" t="s">
        <v>1014</v>
      </c>
      <c r="N278" s="15" t="str">
        <f t="shared" si="22"/>
        <v>10:32 AM</v>
      </c>
      <c r="O278" s="9" t="s">
        <v>9</v>
      </c>
      <c r="P278" s="20">
        <f t="shared" si="24"/>
        <v>30</v>
      </c>
    </row>
    <row r="279" spans="1:16" x14ac:dyDescent="0.25">
      <c r="A279" s="9">
        <v>12497</v>
      </c>
      <c r="B279" s="9">
        <v>21889</v>
      </c>
      <c r="C279" s="9" t="s">
        <v>346</v>
      </c>
      <c r="D279" s="17">
        <f t="shared" si="23"/>
        <v>144</v>
      </c>
      <c r="E279" s="10">
        <f t="shared" si="20"/>
        <v>144</v>
      </c>
      <c r="F279" s="11">
        <v>144</v>
      </c>
      <c r="G279" s="9">
        <v>530799</v>
      </c>
      <c r="H279" s="13">
        <v>40486.521527777782</v>
      </c>
      <c r="I279" s="14">
        <v>1.06</v>
      </c>
      <c r="J279" s="23">
        <f t="shared" si="21"/>
        <v>1.06</v>
      </c>
      <c r="K279" s="12">
        <v>40486</v>
      </c>
      <c r="L279" s="24">
        <v>0.52152777777777781</v>
      </c>
      <c r="M279" t="s">
        <v>1013</v>
      </c>
      <c r="N279" s="15" t="str">
        <f t="shared" si="22"/>
        <v>12:31 PM</v>
      </c>
      <c r="O279" s="9" t="s">
        <v>17</v>
      </c>
      <c r="P279" s="20">
        <f t="shared" si="24"/>
        <v>152.64000000000001</v>
      </c>
    </row>
    <row r="280" spans="1:16" x14ac:dyDescent="0.25">
      <c r="A280" s="9">
        <v>17442</v>
      </c>
      <c r="B280" s="9">
        <v>21915</v>
      </c>
      <c r="C280" s="9" t="s">
        <v>347</v>
      </c>
      <c r="D280" s="17">
        <f t="shared" si="23"/>
        <v>12</v>
      </c>
      <c r="E280" s="10">
        <f t="shared" si="20"/>
        <v>12</v>
      </c>
      <c r="F280" s="11">
        <v>12</v>
      </c>
      <c r="G280" s="9">
        <v>508621</v>
      </c>
      <c r="H280" s="13">
        <v>40315.572916666657</v>
      </c>
      <c r="I280" s="14">
        <v>1.25</v>
      </c>
      <c r="J280" s="23">
        <f t="shared" si="21"/>
        <v>1.25</v>
      </c>
      <c r="K280" s="12">
        <v>40315</v>
      </c>
      <c r="L280" s="24">
        <v>7.2916666666666671E-2</v>
      </c>
      <c r="M280" t="s">
        <v>1013</v>
      </c>
      <c r="N280" s="15" t="str">
        <f t="shared" si="22"/>
        <v>1:45 PM</v>
      </c>
      <c r="O280" s="9" t="s">
        <v>9</v>
      </c>
      <c r="P280" s="20">
        <f t="shared" si="24"/>
        <v>15</v>
      </c>
    </row>
    <row r="281" spans="1:16" x14ac:dyDescent="0.25">
      <c r="A281" s="9">
        <v>18247</v>
      </c>
      <c r="B281" s="9">
        <v>21754</v>
      </c>
      <c r="C281" s="9" t="s">
        <v>344</v>
      </c>
      <c r="D281" s="17">
        <f t="shared" si="23"/>
        <v>3</v>
      </c>
      <c r="E281" s="10">
        <f t="shared" si="20"/>
        <v>3</v>
      </c>
      <c r="F281" s="11">
        <v>3</v>
      </c>
      <c r="G281" s="9">
        <v>528167</v>
      </c>
      <c r="H281" s="13">
        <v>40472.40902777778</v>
      </c>
      <c r="I281" s="14">
        <v>5.95</v>
      </c>
      <c r="J281" s="23">
        <f t="shared" si="21"/>
        <v>5.95</v>
      </c>
      <c r="K281" s="12">
        <v>40472</v>
      </c>
      <c r="L281" s="24">
        <v>0.40902777777777777</v>
      </c>
      <c r="M281" t="s">
        <v>1014</v>
      </c>
      <c r="N281" s="15" t="str">
        <f t="shared" si="22"/>
        <v>9:49 AM</v>
      </c>
      <c r="O281" s="9" t="s">
        <v>9</v>
      </c>
      <c r="P281" s="20">
        <f t="shared" si="24"/>
        <v>17.850000000000001</v>
      </c>
    </row>
    <row r="282" spans="1:16" x14ac:dyDescent="0.25">
      <c r="A282" s="9">
        <v>17623</v>
      </c>
      <c r="B282" s="9" t="s">
        <v>348</v>
      </c>
      <c r="C282" s="9" t="s">
        <v>349</v>
      </c>
      <c r="D282" s="17">
        <f t="shared" si="23"/>
        <v>12</v>
      </c>
      <c r="E282" s="10">
        <f t="shared" si="20"/>
        <v>12</v>
      </c>
      <c r="F282" s="11">
        <v>12</v>
      </c>
      <c r="G282" s="9">
        <v>512943</v>
      </c>
      <c r="H282" s="13">
        <v>40349.609722222223</v>
      </c>
      <c r="I282" s="14">
        <v>0.95</v>
      </c>
      <c r="J282" s="23">
        <f t="shared" si="21"/>
        <v>0.95</v>
      </c>
      <c r="K282" s="12">
        <v>40349</v>
      </c>
      <c r="L282" s="24">
        <v>0.10972222222222222</v>
      </c>
      <c r="M282" t="s">
        <v>1013</v>
      </c>
      <c r="N282" s="15" t="str">
        <f t="shared" si="22"/>
        <v>2:38 PM</v>
      </c>
      <c r="O282" s="9" t="s">
        <v>9</v>
      </c>
      <c r="P282" s="20">
        <f t="shared" si="24"/>
        <v>11.399999999999999</v>
      </c>
    </row>
    <row r="283" spans="1:16" x14ac:dyDescent="0.25">
      <c r="A283" s="9">
        <v>15572</v>
      </c>
      <c r="B283" s="9" t="s">
        <v>277</v>
      </c>
      <c r="C283" s="9" t="s">
        <v>278</v>
      </c>
      <c r="D283" s="17">
        <f t="shared" si="23"/>
        <v>2</v>
      </c>
      <c r="E283" s="10">
        <f t="shared" si="20"/>
        <v>2</v>
      </c>
      <c r="F283" s="11">
        <v>2</v>
      </c>
      <c r="G283" s="9">
        <v>528102</v>
      </c>
      <c r="H283" s="13">
        <v>40471.569444444453</v>
      </c>
      <c r="I283" s="14">
        <v>1.95</v>
      </c>
      <c r="J283" s="23">
        <f t="shared" si="21"/>
        <v>1.95</v>
      </c>
      <c r="K283" s="12">
        <v>40471</v>
      </c>
      <c r="L283" s="24">
        <v>6.9444444444444448E-2</v>
      </c>
      <c r="M283" t="s">
        <v>1013</v>
      </c>
      <c r="N283" s="15" t="str">
        <f t="shared" si="22"/>
        <v>1:40 PM</v>
      </c>
      <c r="O283" s="9" t="s">
        <v>9</v>
      </c>
      <c r="P283" s="20">
        <f t="shared" si="24"/>
        <v>3.9</v>
      </c>
    </row>
    <row r="284" spans="1:16" x14ac:dyDescent="0.25">
      <c r="A284" s="9">
        <v>17511</v>
      </c>
      <c r="B284" s="9">
        <v>82484</v>
      </c>
      <c r="C284" s="9" t="s">
        <v>25</v>
      </c>
      <c r="D284" s="17">
        <f t="shared" si="23"/>
        <v>24</v>
      </c>
      <c r="E284" s="10">
        <f t="shared" si="20"/>
        <v>24</v>
      </c>
      <c r="F284" s="11">
        <v>24</v>
      </c>
      <c r="G284" s="9">
        <v>526845</v>
      </c>
      <c r="H284" s="13">
        <v>40464.512499999997</v>
      </c>
      <c r="I284" s="14">
        <v>5.55</v>
      </c>
      <c r="J284" s="23">
        <f t="shared" si="21"/>
        <v>5.55</v>
      </c>
      <c r="K284" s="12">
        <v>40464</v>
      </c>
      <c r="L284" s="24">
        <v>0.51249999999999996</v>
      </c>
      <c r="M284" t="s">
        <v>1013</v>
      </c>
      <c r="N284" s="15" t="str">
        <f t="shared" si="22"/>
        <v>12:18 PM</v>
      </c>
      <c r="O284" s="9" t="s">
        <v>9</v>
      </c>
      <c r="P284" s="20">
        <f t="shared" si="24"/>
        <v>133.19999999999999</v>
      </c>
    </row>
    <row r="285" spans="1:16" x14ac:dyDescent="0.25">
      <c r="A285" s="9">
        <v>16549</v>
      </c>
      <c r="B285" s="9">
        <v>21899</v>
      </c>
      <c r="C285" s="9" t="s">
        <v>350</v>
      </c>
      <c r="D285" s="17">
        <f t="shared" si="23"/>
        <v>2</v>
      </c>
      <c r="E285" s="10">
        <f t="shared" si="20"/>
        <v>2</v>
      </c>
      <c r="F285" s="11">
        <v>2</v>
      </c>
      <c r="G285" s="9">
        <v>529156</v>
      </c>
      <c r="H285" s="13">
        <v>40477.699305555558</v>
      </c>
      <c r="I285" s="14">
        <v>0.65</v>
      </c>
      <c r="J285" s="23">
        <f t="shared" si="21"/>
        <v>0.65</v>
      </c>
      <c r="K285" s="12">
        <v>40477</v>
      </c>
      <c r="L285" s="24">
        <v>0.19930555555555557</v>
      </c>
      <c r="M285" t="s">
        <v>1013</v>
      </c>
      <c r="N285" s="15" t="str">
        <f t="shared" si="22"/>
        <v>4:47 PM</v>
      </c>
      <c r="O285" s="9" t="s">
        <v>9</v>
      </c>
      <c r="P285" s="20">
        <f t="shared" si="24"/>
        <v>1.3</v>
      </c>
    </row>
    <row r="286" spans="1:16" x14ac:dyDescent="0.25">
      <c r="A286" s="9">
        <v>17012</v>
      </c>
      <c r="B286" s="9">
        <v>22162</v>
      </c>
      <c r="C286" s="9" t="s">
        <v>351</v>
      </c>
      <c r="D286" s="17">
        <f t="shared" si="23"/>
        <v>8</v>
      </c>
      <c r="E286" s="10">
        <f t="shared" si="20"/>
        <v>8</v>
      </c>
      <c r="F286" s="11">
        <v>8</v>
      </c>
      <c r="G286" s="9">
        <v>491967</v>
      </c>
      <c r="H286" s="13">
        <v>40161.731944444437</v>
      </c>
      <c r="I286" s="14">
        <v>2.95</v>
      </c>
      <c r="J286" s="23">
        <f t="shared" si="21"/>
        <v>2.95</v>
      </c>
      <c r="K286" s="12">
        <v>40161</v>
      </c>
      <c r="L286" s="24">
        <v>0.23194444444444445</v>
      </c>
      <c r="M286" t="s">
        <v>1013</v>
      </c>
      <c r="N286" s="15" t="str">
        <f t="shared" si="22"/>
        <v>5:34 PM</v>
      </c>
      <c r="O286" s="9" t="s">
        <v>9</v>
      </c>
      <c r="P286" s="20">
        <f t="shared" si="24"/>
        <v>23.6</v>
      </c>
    </row>
    <row r="287" spans="1:16" x14ac:dyDescent="0.25">
      <c r="A287" s="9">
        <v>14070</v>
      </c>
      <c r="B287" s="9">
        <v>22173</v>
      </c>
      <c r="C287" s="9" t="s">
        <v>311</v>
      </c>
      <c r="D287" s="17">
        <f t="shared" si="23"/>
        <v>3</v>
      </c>
      <c r="E287" s="10">
        <f t="shared" si="20"/>
        <v>3</v>
      </c>
      <c r="F287" s="11">
        <v>3</v>
      </c>
      <c r="G287" s="9">
        <v>495367</v>
      </c>
      <c r="H287" s="13">
        <v>40202.518750000003</v>
      </c>
      <c r="I287" s="14">
        <v>2.95</v>
      </c>
      <c r="J287" s="23">
        <f t="shared" si="21"/>
        <v>2.95</v>
      </c>
      <c r="K287" s="12">
        <v>40202</v>
      </c>
      <c r="L287" s="24">
        <v>0.51875000000000004</v>
      </c>
      <c r="M287" t="s">
        <v>1013</v>
      </c>
      <c r="N287" s="15" t="str">
        <f t="shared" si="22"/>
        <v>12:27 PM</v>
      </c>
      <c r="O287" s="9" t="s">
        <v>9</v>
      </c>
      <c r="P287" s="20">
        <f t="shared" si="24"/>
        <v>8.8500000000000014</v>
      </c>
    </row>
    <row r="288" spans="1:16" x14ac:dyDescent="0.25">
      <c r="A288" s="9">
        <v>14507</v>
      </c>
      <c r="B288" s="9">
        <v>22694</v>
      </c>
      <c r="C288" s="9" t="s">
        <v>352</v>
      </c>
      <c r="D288" s="17">
        <f t="shared" si="23"/>
        <v>6</v>
      </c>
      <c r="E288" s="10">
        <f t="shared" si="20"/>
        <v>6</v>
      </c>
      <c r="F288" s="11">
        <v>6</v>
      </c>
      <c r="G288" s="9">
        <v>535409</v>
      </c>
      <c r="H288" s="13">
        <v>40508.474999999999</v>
      </c>
      <c r="I288" s="14">
        <v>2.1</v>
      </c>
      <c r="J288" s="23">
        <f t="shared" si="21"/>
        <v>2.1</v>
      </c>
      <c r="K288" s="12">
        <v>40508</v>
      </c>
      <c r="L288" s="24">
        <v>0.47499999999999998</v>
      </c>
      <c r="M288" t="s">
        <v>1014</v>
      </c>
      <c r="N288" s="15" t="str">
        <f t="shared" si="22"/>
        <v>11:24 AM</v>
      </c>
      <c r="O288" s="9" t="s">
        <v>9</v>
      </c>
      <c r="P288" s="20">
        <f t="shared" si="24"/>
        <v>12.600000000000001</v>
      </c>
    </row>
    <row r="289" spans="1:16" x14ac:dyDescent="0.25">
      <c r="A289" s="9">
        <v>16510</v>
      </c>
      <c r="B289" s="9" t="s">
        <v>353</v>
      </c>
      <c r="C289" s="9" t="s">
        <v>354</v>
      </c>
      <c r="D289" s="17">
        <f t="shared" si="23"/>
        <v>24</v>
      </c>
      <c r="E289" s="10">
        <f t="shared" si="20"/>
        <v>24</v>
      </c>
      <c r="F289" s="11">
        <v>24</v>
      </c>
      <c r="G289" s="9">
        <v>517392</v>
      </c>
      <c r="H289" s="13">
        <v>40388.40902777778</v>
      </c>
      <c r="I289" s="14">
        <v>0.85</v>
      </c>
      <c r="J289" s="23">
        <f t="shared" si="21"/>
        <v>0.85</v>
      </c>
      <c r="K289" s="12">
        <v>40388</v>
      </c>
      <c r="L289" s="24">
        <v>0.40902777777777777</v>
      </c>
      <c r="M289" t="s">
        <v>1014</v>
      </c>
      <c r="N289" s="15" t="str">
        <f t="shared" si="22"/>
        <v>9:49 AM</v>
      </c>
      <c r="O289" s="9" t="s">
        <v>9</v>
      </c>
      <c r="P289" s="20">
        <f t="shared" si="24"/>
        <v>20.399999999999999</v>
      </c>
    </row>
    <row r="290" spans="1:16" x14ac:dyDescent="0.25">
      <c r="A290" s="9">
        <v>12784</v>
      </c>
      <c r="B290" s="9">
        <v>22524</v>
      </c>
      <c r="C290" s="9" t="s">
        <v>355</v>
      </c>
      <c r="D290" s="17">
        <f t="shared" si="23"/>
        <v>10</v>
      </c>
      <c r="E290" s="10">
        <f t="shared" si="20"/>
        <v>10</v>
      </c>
      <c r="F290" s="11">
        <v>10</v>
      </c>
      <c r="G290" s="9">
        <v>513763</v>
      </c>
      <c r="H290" s="13">
        <v>40357.54583333333</v>
      </c>
      <c r="I290" s="14">
        <v>1.25</v>
      </c>
      <c r="J290" s="23">
        <f t="shared" si="21"/>
        <v>1.25</v>
      </c>
      <c r="K290" s="12">
        <v>40357</v>
      </c>
      <c r="L290" s="24">
        <v>4.583333333333333E-2</v>
      </c>
      <c r="M290" t="s">
        <v>1013</v>
      </c>
      <c r="N290" s="15" t="str">
        <f t="shared" si="22"/>
        <v>1:06 PM</v>
      </c>
      <c r="O290" s="9" t="s">
        <v>245</v>
      </c>
      <c r="P290" s="20">
        <f t="shared" si="24"/>
        <v>12.5</v>
      </c>
    </row>
    <row r="291" spans="1:16" x14ac:dyDescent="0.25">
      <c r="A291" s="9">
        <v>15062</v>
      </c>
      <c r="B291" s="9" t="s">
        <v>356</v>
      </c>
      <c r="C291" s="9" t="s">
        <v>357</v>
      </c>
      <c r="D291" s="17">
        <f t="shared" si="23"/>
        <v>6</v>
      </c>
      <c r="E291" s="10">
        <f t="shared" si="20"/>
        <v>6</v>
      </c>
      <c r="F291" s="11">
        <v>6</v>
      </c>
      <c r="G291" s="9">
        <v>526504</v>
      </c>
      <c r="H291" s="13">
        <v>40463.443055555559</v>
      </c>
      <c r="I291" s="14">
        <v>2.95</v>
      </c>
      <c r="J291" s="23">
        <f t="shared" si="21"/>
        <v>2.95</v>
      </c>
      <c r="K291" s="12">
        <v>40463</v>
      </c>
      <c r="L291" s="24">
        <v>0.44305555555555554</v>
      </c>
      <c r="M291" t="s">
        <v>1014</v>
      </c>
      <c r="N291" s="15" t="str">
        <f t="shared" si="22"/>
        <v>10:38 AM</v>
      </c>
      <c r="O291" s="9" t="s">
        <v>9</v>
      </c>
      <c r="P291" s="20">
        <f t="shared" si="24"/>
        <v>17.700000000000003</v>
      </c>
    </row>
    <row r="292" spans="1:16" x14ac:dyDescent="0.25">
      <c r="A292" s="9">
        <v>13468</v>
      </c>
      <c r="B292" s="9" t="s">
        <v>153</v>
      </c>
      <c r="C292" s="9" t="s">
        <v>154</v>
      </c>
      <c r="D292" s="17">
        <f t="shared" si="23"/>
        <v>6</v>
      </c>
      <c r="E292" s="10">
        <f t="shared" si="20"/>
        <v>6</v>
      </c>
      <c r="F292" s="11" t="s">
        <v>358</v>
      </c>
      <c r="G292" s="9">
        <v>504373</v>
      </c>
      <c r="H292" s="13">
        <v>40281.461111111108</v>
      </c>
      <c r="I292" s="14">
        <v>2.95</v>
      </c>
      <c r="J292" s="23">
        <f t="shared" si="21"/>
        <v>2.95</v>
      </c>
      <c r="K292" s="12">
        <v>40281</v>
      </c>
      <c r="L292" s="24">
        <v>0.46111111111111114</v>
      </c>
      <c r="M292" t="s">
        <v>1014</v>
      </c>
      <c r="N292" s="15" t="str">
        <f t="shared" si="22"/>
        <v>11:04 AM</v>
      </c>
      <c r="O292" s="9" t="s">
        <v>9</v>
      </c>
      <c r="P292" s="20">
        <f t="shared" si="24"/>
        <v>17.700000000000003</v>
      </c>
    </row>
    <row r="293" spans="1:16" x14ac:dyDescent="0.25">
      <c r="A293" s="9">
        <v>14415</v>
      </c>
      <c r="B293" s="9">
        <v>22201</v>
      </c>
      <c r="C293" s="9" t="s">
        <v>359</v>
      </c>
      <c r="D293" s="17">
        <f t="shared" si="23"/>
        <v>1</v>
      </c>
      <c r="E293" s="10">
        <f t="shared" si="20"/>
        <v>1</v>
      </c>
      <c r="F293" s="11">
        <v>1</v>
      </c>
      <c r="G293" s="9">
        <v>519241</v>
      </c>
      <c r="H293" s="13">
        <v>40405.584027777782</v>
      </c>
      <c r="I293" s="14">
        <v>4.25</v>
      </c>
      <c r="J293" s="23">
        <f t="shared" si="21"/>
        <v>4.25</v>
      </c>
      <c r="K293" s="12">
        <v>40405</v>
      </c>
      <c r="L293" s="24">
        <v>8.4027777777777785E-2</v>
      </c>
      <c r="M293" t="s">
        <v>1013</v>
      </c>
      <c r="N293" s="15" t="str">
        <f t="shared" si="22"/>
        <v>2:01 PM</v>
      </c>
      <c r="O293" s="9" t="s">
        <v>9</v>
      </c>
      <c r="P293" s="20">
        <f t="shared" si="24"/>
        <v>4.25</v>
      </c>
    </row>
    <row r="294" spans="1:16" x14ac:dyDescent="0.25">
      <c r="A294" s="9">
        <v>16782</v>
      </c>
      <c r="B294" s="9">
        <v>21755</v>
      </c>
      <c r="C294" s="9" t="s">
        <v>360</v>
      </c>
      <c r="D294" s="17">
        <f t="shared" si="23"/>
        <v>1</v>
      </c>
      <c r="E294" s="10">
        <f t="shared" si="20"/>
        <v>1</v>
      </c>
      <c r="F294" s="11">
        <v>1</v>
      </c>
      <c r="G294" s="9">
        <v>513594</v>
      </c>
      <c r="H294" s="13">
        <v>40356.45416666667</v>
      </c>
      <c r="I294" s="14">
        <v>5.95</v>
      </c>
      <c r="J294" s="23">
        <f t="shared" si="21"/>
        <v>5.95</v>
      </c>
      <c r="K294" s="12">
        <v>40356</v>
      </c>
      <c r="L294" s="24">
        <v>0.45416666666666666</v>
      </c>
      <c r="M294" t="s">
        <v>1014</v>
      </c>
      <c r="N294" s="15" t="str">
        <f t="shared" si="22"/>
        <v>10:54 AM</v>
      </c>
      <c r="O294" s="9" t="s">
        <v>9</v>
      </c>
      <c r="P294" s="20">
        <f t="shared" si="24"/>
        <v>5.95</v>
      </c>
    </row>
    <row r="295" spans="1:16" x14ac:dyDescent="0.25">
      <c r="A295" s="9">
        <v>17971</v>
      </c>
      <c r="B295" s="9">
        <v>22302</v>
      </c>
      <c r="C295" s="9" t="s">
        <v>361</v>
      </c>
      <c r="D295" s="17">
        <f t="shared" si="23"/>
        <v>6</v>
      </c>
      <c r="E295" s="10">
        <f t="shared" si="20"/>
        <v>6</v>
      </c>
      <c r="F295" s="11">
        <v>6</v>
      </c>
      <c r="G295" s="9">
        <v>511654</v>
      </c>
      <c r="H295" s="13">
        <v>40338.586111111108</v>
      </c>
      <c r="I295" s="14">
        <v>2.5499999999999998</v>
      </c>
      <c r="J295" s="23">
        <f t="shared" si="21"/>
        <v>2.5499999999999998</v>
      </c>
      <c r="K295" s="12">
        <v>40338</v>
      </c>
      <c r="L295" s="24">
        <v>8.611111111111111E-2</v>
      </c>
      <c r="M295" t="s">
        <v>1013</v>
      </c>
      <c r="N295" s="15" t="str">
        <f t="shared" si="22"/>
        <v>2:04 PM</v>
      </c>
      <c r="O295" s="9" t="s">
        <v>9</v>
      </c>
      <c r="P295" s="20">
        <f t="shared" si="24"/>
        <v>15.299999999999999</v>
      </c>
    </row>
    <row r="296" spans="1:16" x14ac:dyDescent="0.25">
      <c r="A296" s="9">
        <v>16085</v>
      </c>
      <c r="B296" s="9" t="s">
        <v>45</v>
      </c>
      <c r="C296" s="9" t="s">
        <v>46</v>
      </c>
      <c r="D296" s="17">
        <f t="shared" si="23"/>
        <v>6</v>
      </c>
      <c r="E296" s="10">
        <f t="shared" si="20"/>
        <v>6</v>
      </c>
      <c r="F296" s="11">
        <v>6</v>
      </c>
      <c r="G296" s="9">
        <v>521369</v>
      </c>
      <c r="H296" s="13">
        <v>40426.468055555553</v>
      </c>
      <c r="I296" s="14">
        <v>2.12</v>
      </c>
      <c r="J296" s="23">
        <f t="shared" si="21"/>
        <v>2.12</v>
      </c>
      <c r="K296" s="12">
        <v>40426</v>
      </c>
      <c r="L296" s="24">
        <v>0.46805555555555556</v>
      </c>
      <c r="M296" t="s">
        <v>1014</v>
      </c>
      <c r="N296" s="15" t="str">
        <f t="shared" si="22"/>
        <v>11:14 AM</v>
      </c>
      <c r="O296" s="9" t="s">
        <v>9</v>
      </c>
      <c r="P296" s="20">
        <f t="shared" si="24"/>
        <v>12.72</v>
      </c>
    </row>
    <row r="297" spans="1:16" x14ac:dyDescent="0.25">
      <c r="A297" s="9">
        <v>17511</v>
      </c>
      <c r="B297" s="9">
        <v>22197</v>
      </c>
      <c r="C297" s="9" t="s">
        <v>362</v>
      </c>
      <c r="D297" s="17">
        <f t="shared" si="23"/>
        <v>0</v>
      </c>
      <c r="E297" s="10">
        <f t="shared" si="20"/>
        <v>0</v>
      </c>
      <c r="F297" s="11"/>
      <c r="G297" s="9">
        <v>491800</v>
      </c>
      <c r="H297" s="13">
        <v>40161.540277777778</v>
      </c>
      <c r="I297" s="14">
        <v>0.72</v>
      </c>
      <c r="J297" s="23">
        <f t="shared" si="21"/>
        <v>0.72</v>
      </c>
      <c r="K297" s="12">
        <v>40161</v>
      </c>
      <c r="L297" s="24">
        <v>0.54027777777777775</v>
      </c>
      <c r="M297" t="s">
        <v>1013</v>
      </c>
      <c r="N297" s="15" t="str">
        <f t="shared" si="22"/>
        <v>12:58 PM</v>
      </c>
      <c r="O297" s="9" t="s">
        <v>9</v>
      </c>
      <c r="P297" s="20">
        <f t="shared" si="24"/>
        <v>0</v>
      </c>
    </row>
    <row r="298" spans="1:16" x14ac:dyDescent="0.25">
      <c r="A298" s="9">
        <v>14898</v>
      </c>
      <c r="B298" s="9" t="s">
        <v>363</v>
      </c>
      <c r="C298" s="9" t="s">
        <v>364</v>
      </c>
      <c r="D298" s="17">
        <f t="shared" si="23"/>
        <v>2</v>
      </c>
      <c r="E298" s="10">
        <f t="shared" si="20"/>
        <v>2</v>
      </c>
      <c r="F298" s="11">
        <v>2</v>
      </c>
      <c r="G298" s="9">
        <v>490106</v>
      </c>
      <c r="H298" s="13">
        <v>40150.694444444453</v>
      </c>
      <c r="I298" s="14">
        <v>9.9499999999999993</v>
      </c>
      <c r="J298" s="23">
        <f t="shared" si="21"/>
        <v>9.9499999999999993</v>
      </c>
      <c r="K298" s="12">
        <v>40150</v>
      </c>
      <c r="L298" s="24">
        <v>0.19444444444444445</v>
      </c>
      <c r="M298" t="s">
        <v>1013</v>
      </c>
      <c r="N298" s="15" t="str">
        <f t="shared" si="22"/>
        <v>4:40 PM</v>
      </c>
      <c r="O298" s="9" t="s">
        <v>9</v>
      </c>
      <c r="P298" s="20">
        <f t="shared" si="24"/>
        <v>19.899999999999999</v>
      </c>
    </row>
    <row r="299" spans="1:16" x14ac:dyDescent="0.25">
      <c r="A299" s="9">
        <v>17283</v>
      </c>
      <c r="B299" s="9">
        <v>22600</v>
      </c>
      <c r="C299" s="9" t="s">
        <v>365</v>
      </c>
      <c r="D299" s="17">
        <f t="shared" si="23"/>
        <v>20</v>
      </c>
      <c r="E299" s="10">
        <f t="shared" si="20"/>
        <v>20</v>
      </c>
      <c r="F299" s="11">
        <v>20</v>
      </c>
      <c r="G299" s="9">
        <v>535423</v>
      </c>
      <c r="H299" s="13">
        <v>40508.495138888888</v>
      </c>
      <c r="I299" s="14">
        <v>0.85</v>
      </c>
      <c r="J299" s="23">
        <f t="shared" si="21"/>
        <v>0.85</v>
      </c>
      <c r="K299" s="12">
        <v>40508</v>
      </c>
      <c r="L299" s="24">
        <v>0.49513888888888891</v>
      </c>
      <c r="M299" t="s">
        <v>1014</v>
      </c>
      <c r="N299" s="15" t="str">
        <f t="shared" si="22"/>
        <v>11:53 AM</v>
      </c>
      <c r="O299" s="9" t="s">
        <v>9</v>
      </c>
      <c r="P299" s="20">
        <f t="shared" si="24"/>
        <v>17</v>
      </c>
    </row>
    <row r="300" spans="1:16" x14ac:dyDescent="0.25">
      <c r="A300" s="9">
        <v>12714</v>
      </c>
      <c r="B300" s="9">
        <v>22073</v>
      </c>
      <c r="C300" s="9" t="s">
        <v>366</v>
      </c>
      <c r="D300" s="17">
        <f t="shared" si="23"/>
        <v>4</v>
      </c>
      <c r="E300" s="10">
        <f t="shared" si="20"/>
        <v>4</v>
      </c>
      <c r="F300" s="11">
        <v>4</v>
      </c>
      <c r="G300" s="9">
        <v>493964</v>
      </c>
      <c r="H300" s="13">
        <v>40186.686805555553</v>
      </c>
      <c r="I300" s="14">
        <v>3.75</v>
      </c>
      <c r="J300" s="23">
        <f t="shared" si="21"/>
        <v>3.75</v>
      </c>
      <c r="K300" s="12">
        <v>40186</v>
      </c>
      <c r="L300" s="24">
        <v>0.18680555555555556</v>
      </c>
      <c r="M300" t="s">
        <v>1013</v>
      </c>
      <c r="N300" s="15" t="str">
        <f t="shared" si="22"/>
        <v>4:29 PM</v>
      </c>
      <c r="O300" s="9" t="s">
        <v>28</v>
      </c>
      <c r="P300" s="20">
        <f t="shared" si="24"/>
        <v>15</v>
      </c>
    </row>
    <row r="301" spans="1:16" x14ac:dyDescent="0.25">
      <c r="A301" s="9">
        <v>14755</v>
      </c>
      <c r="B301" s="9">
        <v>22863</v>
      </c>
      <c r="C301" s="9" t="s">
        <v>367</v>
      </c>
      <c r="D301" s="17">
        <f t="shared" si="23"/>
        <v>6</v>
      </c>
      <c r="E301" s="10">
        <f t="shared" si="20"/>
        <v>6</v>
      </c>
      <c r="F301" s="11">
        <v>6</v>
      </c>
      <c r="G301" s="9">
        <v>527423</v>
      </c>
      <c r="H301" s="13">
        <v>40468.67083333333</v>
      </c>
      <c r="I301" s="14">
        <v>2.95</v>
      </c>
      <c r="J301" s="23">
        <f t="shared" si="21"/>
        <v>2.95</v>
      </c>
      <c r="K301" s="12">
        <v>40468</v>
      </c>
      <c r="L301" s="24">
        <v>0.17083333333333334</v>
      </c>
      <c r="M301" t="s">
        <v>1013</v>
      </c>
      <c r="N301" s="15" t="str">
        <f t="shared" si="22"/>
        <v>4:06 PM</v>
      </c>
      <c r="O301" s="9" t="s">
        <v>9</v>
      </c>
      <c r="P301" s="20">
        <f t="shared" si="24"/>
        <v>17.700000000000003</v>
      </c>
    </row>
    <row r="302" spans="1:16" x14ac:dyDescent="0.25">
      <c r="A302" s="9">
        <v>15555</v>
      </c>
      <c r="B302" s="9">
        <v>22144</v>
      </c>
      <c r="C302" s="9" t="s">
        <v>368</v>
      </c>
      <c r="D302" s="17">
        <f t="shared" si="23"/>
        <v>3</v>
      </c>
      <c r="E302" s="10">
        <f t="shared" si="20"/>
        <v>3</v>
      </c>
      <c r="F302" s="11">
        <v>3</v>
      </c>
      <c r="G302" s="9">
        <v>534765</v>
      </c>
      <c r="H302" s="13">
        <v>40506.434027777781</v>
      </c>
      <c r="I302" s="14">
        <v>2.1</v>
      </c>
      <c r="J302" s="23">
        <f t="shared" si="21"/>
        <v>2.1</v>
      </c>
      <c r="K302" s="12">
        <v>40506</v>
      </c>
      <c r="L302" s="24">
        <v>0.43402777777777779</v>
      </c>
      <c r="M302" t="s">
        <v>1014</v>
      </c>
      <c r="N302" s="15" t="str">
        <f t="shared" si="22"/>
        <v>10:25 AM</v>
      </c>
      <c r="O302" s="9" t="s">
        <v>9</v>
      </c>
      <c r="P302" s="20">
        <f t="shared" si="24"/>
        <v>6.3000000000000007</v>
      </c>
    </row>
    <row r="303" spans="1:16" x14ac:dyDescent="0.25">
      <c r="A303" s="9">
        <v>15329</v>
      </c>
      <c r="B303" s="9">
        <v>22111</v>
      </c>
      <c r="C303" s="9" t="s">
        <v>178</v>
      </c>
      <c r="D303" s="17">
        <f t="shared" si="23"/>
        <v>3</v>
      </c>
      <c r="E303" s="10">
        <f t="shared" si="20"/>
        <v>3</v>
      </c>
      <c r="F303" s="11">
        <v>3</v>
      </c>
      <c r="G303" s="9">
        <v>501793</v>
      </c>
      <c r="H303" s="13">
        <v>40256.563888888893</v>
      </c>
      <c r="I303" s="14">
        <v>4.95</v>
      </c>
      <c r="J303" s="23">
        <f t="shared" si="21"/>
        <v>4.95</v>
      </c>
      <c r="K303" s="12">
        <v>40256</v>
      </c>
      <c r="L303" s="24">
        <v>6.3888888888888884E-2</v>
      </c>
      <c r="M303" t="s">
        <v>1013</v>
      </c>
      <c r="N303" s="15" t="str">
        <f t="shared" si="22"/>
        <v>1:32 PM</v>
      </c>
      <c r="O303" s="9" t="s">
        <v>9</v>
      </c>
      <c r="P303" s="20">
        <f t="shared" si="24"/>
        <v>14.850000000000001</v>
      </c>
    </row>
    <row r="304" spans="1:16" x14ac:dyDescent="0.25">
      <c r="A304" s="9">
        <v>14607</v>
      </c>
      <c r="B304" s="9">
        <v>22411</v>
      </c>
      <c r="C304" s="9" t="s">
        <v>369</v>
      </c>
      <c r="D304" s="17">
        <f t="shared" si="23"/>
        <v>100</v>
      </c>
      <c r="E304" s="10">
        <f t="shared" si="20"/>
        <v>100</v>
      </c>
      <c r="F304" s="11">
        <v>100</v>
      </c>
      <c r="G304" s="9">
        <v>496990</v>
      </c>
      <c r="H304" s="13">
        <v>40214.473611111112</v>
      </c>
      <c r="I304" s="14">
        <v>1.65</v>
      </c>
      <c r="J304" s="23">
        <f t="shared" si="21"/>
        <v>1.65</v>
      </c>
      <c r="K304" s="12">
        <v>40214</v>
      </c>
      <c r="L304" s="24">
        <v>0.47361111111111109</v>
      </c>
      <c r="M304" t="s">
        <v>1014</v>
      </c>
      <c r="N304" s="15" t="str">
        <f t="shared" si="22"/>
        <v>11:22 AM</v>
      </c>
      <c r="O304" s="9" t="s">
        <v>9</v>
      </c>
      <c r="P304" s="20">
        <f t="shared" si="24"/>
        <v>165</v>
      </c>
    </row>
    <row r="305" spans="1:16" x14ac:dyDescent="0.25">
      <c r="A305" s="9">
        <v>14527</v>
      </c>
      <c r="B305" s="9" t="s">
        <v>370</v>
      </c>
      <c r="C305" s="9" t="s">
        <v>371</v>
      </c>
      <c r="D305" s="17">
        <f t="shared" si="23"/>
        <v>1</v>
      </c>
      <c r="E305" s="10">
        <f t="shared" si="20"/>
        <v>1</v>
      </c>
      <c r="F305" s="11">
        <v>1</v>
      </c>
      <c r="G305" s="9">
        <v>500030</v>
      </c>
      <c r="H305" s="13">
        <v>40241.478472222218</v>
      </c>
      <c r="I305" s="14">
        <v>10.65</v>
      </c>
      <c r="J305" s="23">
        <f t="shared" si="21"/>
        <v>10.65</v>
      </c>
      <c r="K305" s="12">
        <v>40241</v>
      </c>
      <c r="L305" s="24">
        <v>0.47847222222222224</v>
      </c>
      <c r="M305" t="s">
        <v>1014</v>
      </c>
      <c r="N305" s="15" t="str">
        <f t="shared" si="22"/>
        <v>11:29 AM</v>
      </c>
      <c r="O305" s="9" t="s">
        <v>9</v>
      </c>
      <c r="P305" s="20">
        <f t="shared" si="24"/>
        <v>10.65</v>
      </c>
    </row>
    <row r="306" spans="1:16" x14ac:dyDescent="0.25">
      <c r="A306" s="9">
        <v>17243</v>
      </c>
      <c r="B306" s="9">
        <v>21346</v>
      </c>
      <c r="C306" s="9" t="s">
        <v>373</v>
      </c>
      <c r="D306" s="17">
        <f t="shared" si="23"/>
        <v>1</v>
      </c>
      <c r="E306" s="10">
        <f t="shared" si="20"/>
        <v>-1</v>
      </c>
      <c r="F306" s="11">
        <v>-1</v>
      </c>
      <c r="G306" s="9" t="s">
        <v>372</v>
      </c>
      <c r="H306" s="13">
        <v>40200.594444444447</v>
      </c>
      <c r="I306" s="14">
        <v>5.95</v>
      </c>
      <c r="J306" s="23">
        <f t="shared" si="21"/>
        <v>5.95</v>
      </c>
      <c r="K306" s="12">
        <v>40200</v>
      </c>
      <c r="L306" s="24">
        <v>9.4444444444444442E-2</v>
      </c>
      <c r="M306" t="s">
        <v>1013</v>
      </c>
      <c r="N306" s="15" t="str">
        <f t="shared" si="22"/>
        <v>2:16 PM</v>
      </c>
      <c r="O306" s="9" t="s">
        <v>9</v>
      </c>
      <c r="P306" s="20">
        <f t="shared" si="24"/>
        <v>5.95</v>
      </c>
    </row>
    <row r="307" spans="1:16" x14ac:dyDescent="0.25">
      <c r="A307" s="9">
        <v>14911</v>
      </c>
      <c r="B307" s="9">
        <v>82484</v>
      </c>
      <c r="C307" s="9" t="s">
        <v>25</v>
      </c>
      <c r="D307" s="17">
        <f t="shared" si="23"/>
        <v>6</v>
      </c>
      <c r="E307" s="10">
        <f t="shared" si="20"/>
        <v>6</v>
      </c>
      <c r="F307" s="11">
        <v>6</v>
      </c>
      <c r="G307" s="9">
        <v>529093</v>
      </c>
      <c r="H307" s="13">
        <v>40477.568749999999</v>
      </c>
      <c r="I307" s="14">
        <v>6.45</v>
      </c>
      <c r="J307" s="23">
        <f t="shared" si="21"/>
        <v>6.45</v>
      </c>
      <c r="K307" s="12">
        <v>40477</v>
      </c>
      <c r="L307" s="24">
        <v>6.8750000000000006E-2</v>
      </c>
      <c r="M307" t="s">
        <v>1013</v>
      </c>
      <c r="N307" s="15" t="str">
        <f t="shared" si="22"/>
        <v>1:39 PM</v>
      </c>
      <c r="O307" s="9" t="s">
        <v>11</v>
      </c>
      <c r="P307" s="20">
        <f t="shared" si="24"/>
        <v>38.700000000000003</v>
      </c>
    </row>
    <row r="308" spans="1:16" x14ac:dyDescent="0.25">
      <c r="A308" s="9">
        <v>15736</v>
      </c>
      <c r="B308" s="9">
        <v>85047</v>
      </c>
      <c r="C308" s="9" t="s">
        <v>374</v>
      </c>
      <c r="D308" s="17">
        <f t="shared" si="23"/>
        <v>3</v>
      </c>
      <c r="E308" s="10">
        <f t="shared" si="20"/>
        <v>3</v>
      </c>
      <c r="F308" s="11">
        <v>3</v>
      </c>
      <c r="G308" s="9">
        <v>524726</v>
      </c>
      <c r="H308" s="13">
        <v>40451.59652777778</v>
      </c>
      <c r="I308" s="14">
        <v>6.35</v>
      </c>
      <c r="J308" s="23">
        <f t="shared" si="21"/>
        <v>6.35</v>
      </c>
      <c r="K308" s="12">
        <v>40451</v>
      </c>
      <c r="L308" s="24">
        <v>9.6527777777777782E-2</v>
      </c>
      <c r="M308" t="s">
        <v>1013</v>
      </c>
      <c r="N308" s="15" t="str">
        <f t="shared" si="22"/>
        <v>2:19 PM</v>
      </c>
      <c r="O308" s="9" t="s">
        <v>9</v>
      </c>
      <c r="P308" s="20">
        <f t="shared" si="24"/>
        <v>19.049999999999997</v>
      </c>
    </row>
    <row r="309" spans="1:16" x14ac:dyDescent="0.25">
      <c r="A309" s="9">
        <v>15911</v>
      </c>
      <c r="B309" s="9">
        <v>21552</v>
      </c>
      <c r="C309" s="9" t="s">
        <v>375</v>
      </c>
      <c r="D309" s="17">
        <f t="shared" si="23"/>
        <v>1</v>
      </c>
      <c r="E309" s="10">
        <f t="shared" si="20"/>
        <v>1</v>
      </c>
      <c r="F309" s="11">
        <v>1</v>
      </c>
      <c r="G309" s="9">
        <v>492729</v>
      </c>
      <c r="H309" s="13">
        <v>40165.480555555558</v>
      </c>
      <c r="I309" s="14">
        <v>5.95</v>
      </c>
      <c r="J309" s="23">
        <f t="shared" si="21"/>
        <v>5.95</v>
      </c>
      <c r="K309" s="12">
        <v>40165</v>
      </c>
      <c r="L309" s="24">
        <v>0.48055555555555557</v>
      </c>
      <c r="M309" t="s">
        <v>1014</v>
      </c>
      <c r="N309" s="15" t="str">
        <f t="shared" si="22"/>
        <v>11:32 AM</v>
      </c>
      <c r="O309" s="9" t="s">
        <v>9</v>
      </c>
      <c r="P309" s="20">
        <f t="shared" si="24"/>
        <v>5.95</v>
      </c>
    </row>
    <row r="310" spans="1:16" x14ac:dyDescent="0.25">
      <c r="A310" s="9">
        <v>16325</v>
      </c>
      <c r="B310" s="9">
        <v>22145</v>
      </c>
      <c r="C310" s="9" t="s">
        <v>376</v>
      </c>
      <c r="D310" s="17">
        <f t="shared" si="23"/>
        <v>12</v>
      </c>
      <c r="E310" s="10">
        <f t="shared" si="20"/>
        <v>12</v>
      </c>
      <c r="F310" s="11">
        <v>12</v>
      </c>
      <c r="G310" s="9">
        <v>525761</v>
      </c>
      <c r="H310" s="13">
        <v>40458.442361111112</v>
      </c>
      <c r="I310" s="14">
        <v>2.1</v>
      </c>
      <c r="J310" s="23">
        <f t="shared" si="21"/>
        <v>2.1</v>
      </c>
      <c r="K310" s="12">
        <v>40458</v>
      </c>
      <c r="L310" s="24">
        <v>0.44236111111111109</v>
      </c>
      <c r="M310" t="s">
        <v>1014</v>
      </c>
      <c r="N310" s="15" t="str">
        <f t="shared" si="22"/>
        <v>10:37 AM</v>
      </c>
      <c r="O310" s="9" t="s">
        <v>9</v>
      </c>
      <c r="P310" s="20">
        <f t="shared" si="24"/>
        <v>25.200000000000003</v>
      </c>
    </row>
    <row r="311" spans="1:16" x14ac:dyDescent="0.25">
      <c r="A311" s="9">
        <v>17858</v>
      </c>
      <c r="B311" s="9">
        <v>82483</v>
      </c>
      <c r="C311" s="9" t="s">
        <v>377</v>
      </c>
      <c r="D311" s="17">
        <f t="shared" si="23"/>
        <v>4</v>
      </c>
      <c r="E311" s="10">
        <f t="shared" si="20"/>
        <v>4</v>
      </c>
      <c r="F311" s="11">
        <v>4</v>
      </c>
      <c r="G311" s="9">
        <v>528743</v>
      </c>
      <c r="H311" s="13">
        <v>40475.594444444447</v>
      </c>
      <c r="I311" s="14">
        <v>5.95</v>
      </c>
      <c r="J311" s="23">
        <f t="shared" si="21"/>
        <v>5.95</v>
      </c>
      <c r="K311" s="12">
        <v>40475</v>
      </c>
      <c r="L311" s="24">
        <v>9.4444444444444442E-2</v>
      </c>
      <c r="M311" t="s">
        <v>1013</v>
      </c>
      <c r="N311" s="15" t="str">
        <f t="shared" si="22"/>
        <v>2:16 PM</v>
      </c>
      <c r="O311" s="9" t="s">
        <v>9</v>
      </c>
      <c r="P311" s="20">
        <f t="shared" si="24"/>
        <v>23.8</v>
      </c>
    </row>
    <row r="312" spans="1:16" x14ac:dyDescent="0.25">
      <c r="A312" s="9">
        <v>12932</v>
      </c>
      <c r="B312" s="9">
        <v>20685</v>
      </c>
      <c r="C312" s="9" t="s">
        <v>280</v>
      </c>
      <c r="D312" s="17">
        <f t="shared" si="23"/>
        <v>2</v>
      </c>
      <c r="E312" s="10">
        <f t="shared" si="20"/>
        <v>2</v>
      </c>
      <c r="F312" s="11">
        <v>2</v>
      </c>
      <c r="G312" s="9">
        <v>511041</v>
      </c>
      <c r="H312" s="13">
        <v>40335.472916666673</v>
      </c>
      <c r="I312" s="14">
        <v>7.49</v>
      </c>
      <c r="J312" s="23">
        <f t="shared" si="21"/>
        <v>7.49</v>
      </c>
      <c r="K312" s="12">
        <v>40335</v>
      </c>
      <c r="L312" s="24">
        <v>0.47291666666666665</v>
      </c>
      <c r="M312" t="s">
        <v>1014</v>
      </c>
      <c r="N312" s="15" t="str">
        <f t="shared" si="22"/>
        <v>11:21 AM</v>
      </c>
      <c r="O312" s="9" t="s">
        <v>9</v>
      </c>
      <c r="P312" s="20">
        <f t="shared" si="24"/>
        <v>14.98</v>
      </c>
    </row>
    <row r="313" spans="1:16" x14ac:dyDescent="0.25">
      <c r="A313" s="9">
        <v>14498</v>
      </c>
      <c r="B313" s="9" t="s">
        <v>378</v>
      </c>
      <c r="C313" s="9" t="s">
        <v>379</v>
      </c>
      <c r="D313" s="17">
        <f t="shared" si="23"/>
        <v>16</v>
      </c>
      <c r="E313" s="10">
        <f t="shared" si="20"/>
        <v>16</v>
      </c>
      <c r="F313" s="11">
        <v>16</v>
      </c>
      <c r="G313" s="9">
        <v>518509</v>
      </c>
      <c r="H313" s="13">
        <v>40399.61041666667</v>
      </c>
      <c r="I313" s="14">
        <v>0.42</v>
      </c>
      <c r="J313" s="23">
        <f t="shared" si="21"/>
        <v>0.42</v>
      </c>
      <c r="K313" s="12">
        <v>40399</v>
      </c>
      <c r="L313" s="24">
        <v>0.11041666666666666</v>
      </c>
      <c r="M313" t="s">
        <v>1013</v>
      </c>
      <c r="N313" s="15" t="str">
        <f t="shared" si="22"/>
        <v>2:39 PM</v>
      </c>
      <c r="O313" s="9" t="s">
        <v>9</v>
      </c>
      <c r="P313" s="20">
        <f t="shared" si="24"/>
        <v>6.72</v>
      </c>
    </row>
    <row r="314" spans="1:16" x14ac:dyDescent="0.25">
      <c r="A314" s="9">
        <v>16200</v>
      </c>
      <c r="B314" s="9" t="s">
        <v>380</v>
      </c>
      <c r="C314" s="9" t="s">
        <v>381</v>
      </c>
      <c r="D314" s="17">
        <f t="shared" si="23"/>
        <v>12</v>
      </c>
      <c r="E314" s="10">
        <f t="shared" si="20"/>
        <v>12</v>
      </c>
      <c r="F314" s="11" t="s">
        <v>120</v>
      </c>
      <c r="G314" s="9">
        <v>489866</v>
      </c>
      <c r="H314" s="13">
        <v>40149.62777777778</v>
      </c>
      <c r="I314" s="14">
        <v>1.95</v>
      </c>
      <c r="J314" s="23">
        <f t="shared" si="21"/>
        <v>1.95</v>
      </c>
      <c r="K314" s="12">
        <v>40149</v>
      </c>
      <c r="L314" s="24">
        <v>0.12777777777777777</v>
      </c>
      <c r="M314" t="s">
        <v>1013</v>
      </c>
      <c r="N314" s="15" t="str">
        <f t="shared" si="22"/>
        <v>3:04 PM</v>
      </c>
      <c r="O314" s="9" t="s">
        <v>9</v>
      </c>
      <c r="P314" s="20">
        <f t="shared" si="24"/>
        <v>23.4</v>
      </c>
    </row>
    <row r="315" spans="1:16" x14ac:dyDescent="0.25">
      <c r="A315" s="9">
        <v>13668</v>
      </c>
      <c r="B315" s="9">
        <v>22582</v>
      </c>
      <c r="C315" s="9" t="s">
        <v>382</v>
      </c>
      <c r="D315" s="17">
        <f t="shared" si="23"/>
        <v>4</v>
      </c>
      <c r="E315" s="10">
        <f t="shared" si="20"/>
        <v>4</v>
      </c>
      <c r="F315" s="11">
        <v>4</v>
      </c>
      <c r="G315" s="9">
        <v>534083</v>
      </c>
      <c r="H315" s="13">
        <v>40503.494444444441</v>
      </c>
      <c r="I315" s="14">
        <v>2.5499999999999998</v>
      </c>
      <c r="J315" s="23">
        <f t="shared" si="21"/>
        <v>2.5499999999999998</v>
      </c>
      <c r="K315" s="12">
        <v>40503</v>
      </c>
      <c r="L315" s="24">
        <v>0.49444444444444446</v>
      </c>
      <c r="M315" t="s">
        <v>1014</v>
      </c>
      <c r="N315" s="15" t="str">
        <f t="shared" si="22"/>
        <v>11:52 AM</v>
      </c>
      <c r="O315" s="9" t="s">
        <v>9</v>
      </c>
      <c r="P315" s="20">
        <f t="shared" si="24"/>
        <v>10.199999999999999</v>
      </c>
    </row>
    <row r="316" spans="1:16" x14ac:dyDescent="0.25">
      <c r="A316" s="9">
        <v>13569</v>
      </c>
      <c r="B316" s="9">
        <v>22726</v>
      </c>
      <c r="C316" s="9" t="s">
        <v>383</v>
      </c>
      <c r="D316" s="17">
        <f t="shared" si="23"/>
        <v>1</v>
      </c>
      <c r="E316" s="10">
        <f t="shared" si="20"/>
        <v>1</v>
      </c>
      <c r="F316" s="11">
        <v>1</v>
      </c>
      <c r="G316" s="9">
        <v>525856</v>
      </c>
      <c r="H316" s="13">
        <v>40458.545138888891</v>
      </c>
      <c r="I316" s="14">
        <v>3.75</v>
      </c>
      <c r="J316" s="23">
        <f t="shared" si="21"/>
        <v>3.75</v>
      </c>
      <c r="K316" s="12">
        <v>40458</v>
      </c>
      <c r="L316" s="24">
        <v>4.5138888888888888E-2</v>
      </c>
      <c r="M316" t="s">
        <v>1013</v>
      </c>
      <c r="N316" s="15" t="str">
        <f t="shared" si="22"/>
        <v>1:05 PM</v>
      </c>
      <c r="O316" s="9" t="s">
        <v>9</v>
      </c>
      <c r="P316" s="20">
        <f t="shared" si="24"/>
        <v>3.75</v>
      </c>
    </row>
    <row r="317" spans="1:16" x14ac:dyDescent="0.25">
      <c r="A317" s="9">
        <v>15150</v>
      </c>
      <c r="B317" s="9">
        <v>22492</v>
      </c>
      <c r="C317" s="9" t="s">
        <v>384</v>
      </c>
      <c r="D317" s="17">
        <f t="shared" si="23"/>
        <v>36</v>
      </c>
      <c r="E317" s="10">
        <f t="shared" si="20"/>
        <v>36</v>
      </c>
      <c r="F317" s="11">
        <v>36</v>
      </c>
      <c r="G317" s="9">
        <v>512177</v>
      </c>
      <c r="H317" s="13">
        <v>40343.500694444447</v>
      </c>
      <c r="I317" s="14">
        <v>0.65</v>
      </c>
      <c r="J317" s="23">
        <f t="shared" si="21"/>
        <v>0.65</v>
      </c>
      <c r="K317" s="12">
        <v>40343</v>
      </c>
      <c r="L317" s="24">
        <v>0.50069444444444444</v>
      </c>
      <c r="M317" t="s">
        <v>1013</v>
      </c>
      <c r="N317" s="15" t="str">
        <f t="shared" si="22"/>
        <v>12:01 PM</v>
      </c>
      <c r="O317" s="9" t="s">
        <v>9</v>
      </c>
      <c r="P317" s="20">
        <f t="shared" si="24"/>
        <v>23.400000000000002</v>
      </c>
    </row>
    <row r="318" spans="1:16" x14ac:dyDescent="0.25">
      <c r="A318" s="9">
        <v>13564</v>
      </c>
      <c r="B318" s="9">
        <v>22217</v>
      </c>
      <c r="C318" s="9" t="s">
        <v>385</v>
      </c>
      <c r="D318" s="17">
        <f t="shared" si="23"/>
        <v>12</v>
      </c>
      <c r="E318" s="10">
        <f t="shared" si="20"/>
        <v>12</v>
      </c>
      <c r="F318" s="11">
        <v>12</v>
      </c>
      <c r="G318" s="9">
        <v>504340</v>
      </c>
      <c r="H318" s="13">
        <v>40280.701388888891</v>
      </c>
      <c r="I318" s="14">
        <v>1.25</v>
      </c>
      <c r="J318" s="23">
        <f t="shared" si="21"/>
        <v>1.25</v>
      </c>
      <c r="K318" s="12">
        <v>40280</v>
      </c>
      <c r="L318" s="24">
        <v>0.2013888888888889</v>
      </c>
      <c r="M318" t="s">
        <v>1013</v>
      </c>
      <c r="N318" s="15" t="str">
        <f t="shared" si="22"/>
        <v>4:50 PM</v>
      </c>
      <c r="O318" s="9" t="s">
        <v>9</v>
      </c>
      <c r="P318" s="20">
        <f t="shared" si="24"/>
        <v>15</v>
      </c>
    </row>
    <row r="319" spans="1:16" x14ac:dyDescent="0.25">
      <c r="A319" s="9">
        <v>15498</v>
      </c>
      <c r="B319" s="9">
        <v>22358</v>
      </c>
      <c r="C319" s="9" t="s">
        <v>386</v>
      </c>
      <c r="D319" s="17">
        <f t="shared" si="23"/>
        <v>6</v>
      </c>
      <c r="E319" s="10">
        <f t="shared" si="20"/>
        <v>6</v>
      </c>
      <c r="F319" s="11">
        <v>6</v>
      </c>
      <c r="G319" s="9">
        <v>507390</v>
      </c>
      <c r="H319" s="13">
        <v>40307.512499999997</v>
      </c>
      <c r="I319" s="14">
        <v>2.95</v>
      </c>
      <c r="J319" s="23">
        <f t="shared" si="21"/>
        <v>2.95</v>
      </c>
      <c r="K319" s="12">
        <v>40307</v>
      </c>
      <c r="L319" s="24">
        <v>0.51249999999999996</v>
      </c>
      <c r="M319" t="s">
        <v>1013</v>
      </c>
      <c r="N319" s="15" t="str">
        <f t="shared" si="22"/>
        <v>12:18 PM</v>
      </c>
      <c r="O319" s="9" t="s">
        <v>9</v>
      </c>
      <c r="P319" s="20">
        <f t="shared" si="24"/>
        <v>17.700000000000003</v>
      </c>
    </row>
    <row r="320" spans="1:16" x14ac:dyDescent="0.25">
      <c r="A320" s="9">
        <v>14680</v>
      </c>
      <c r="B320" s="9">
        <v>21843</v>
      </c>
      <c r="C320" s="9" t="s">
        <v>253</v>
      </c>
      <c r="D320" s="17">
        <f t="shared" si="23"/>
        <v>4</v>
      </c>
      <c r="E320" s="10">
        <f t="shared" si="20"/>
        <v>4</v>
      </c>
      <c r="F320" s="11">
        <v>4</v>
      </c>
      <c r="G320" s="9">
        <v>498705</v>
      </c>
      <c r="H320" s="13">
        <v>40231.530555555553</v>
      </c>
      <c r="I320" s="14">
        <v>10.95</v>
      </c>
      <c r="J320" s="23">
        <f t="shared" si="21"/>
        <v>10.95</v>
      </c>
      <c r="K320" s="12">
        <v>40231</v>
      </c>
      <c r="L320" s="24">
        <v>0.53055555555555556</v>
      </c>
      <c r="M320" t="s">
        <v>1013</v>
      </c>
      <c r="N320" s="15" t="str">
        <f t="shared" si="22"/>
        <v>12:44 PM</v>
      </c>
      <c r="O320" s="9" t="s">
        <v>9</v>
      </c>
      <c r="P320" s="20">
        <f t="shared" si="24"/>
        <v>43.8</v>
      </c>
    </row>
    <row r="321" spans="1:16" x14ac:dyDescent="0.25">
      <c r="A321" s="9">
        <v>17993</v>
      </c>
      <c r="B321" s="9">
        <v>22147</v>
      </c>
      <c r="C321" s="9" t="s">
        <v>387</v>
      </c>
      <c r="D321" s="17">
        <f t="shared" si="23"/>
        <v>1</v>
      </c>
      <c r="E321" s="10">
        <f t="shared" si="20"/>
        <v>1</v>
      </c>
      <c r="F321" s="11">
        <v>1</v>
      </c>
      <c r="G321" s="9">
        <v>503543</v>
      </c>
      <c r="H321" s="13">
        <v>40269.599305555559</v>
      </c>
      <c r="I321" s="14">
        <v>1.45</v>
      </c>
      <c r="J321" s="23">
        <f t="shared" si="21"/>
        <v>1.45</v>
      </c>
      <c r="K321" s="12">
        <v>40269</v>
      </c>
      <c r="L321" s="24">
        <v>9.930555555555555E-2</v>
      </c>
      <c r="M321" t="s">
        <v>1013</v>
      </c>
      <c r="N321" s="15" t="str">
        <f t="shared" si="22"/>
        <v>2:23 PM</v>
      </c>
      <c r="O321" s="9" t="s">
        <v>9</v>
      </c>
      <c r="P321" s="20">
        <f t="shared" si="24"/>
        <v>1.45</v>
      </c>
    </row>
    <row r="322" spans="1:16" x14ac:dyDescent="0.25">
      <c r="A322" s="9">
        <v>16782</v>
      </c>
      <c r="B322" s="9">
        <v>22602</v>
      </c>
      <c r="C322" s="9" t="s">
        <v>388</v>
      </c>
      <c r="D322" s="17">
        <f t="shared" si="23"/>
        <v>9</v>
      </c>
      <c r="E322" s="10">
        <f t="shared" ref="E322:E385" si="25">VALUE(F322)</f>
        <v>9</v>
      </c>
      <c r="F322" s="11">
        <v>9</v>
      </c>
      <c r="G322" s="9">
        <v>536088</v>
      </c>
      <c r="H322" s="17" t="s">
        <v>389</v>
      </c>
      <c r="I322" s="14">
        <v>0.85</v>
      </c>
      <c r="J322" s="23">
        <f t="shared" ref="J322:J385" si="26">VALUE(I322)</f>
        <v>0.85</v>
      </c>
      <c r="K322" s="12">
        <v>40512</v>
      </c>
      <c r="L322" s="25">
        <v>0.47916666666666669</v>
      </c>
      <c r="N322" s="15" t="str">
        <f t="shared" ref="N322:N385" si="27">TEXT(L322,"h:mm")&amp;" "&amp;M322</f>
        <v xml:space="preserve">11:30 </v>
      </c>
      <c r="O322" s="9" t="s">
        <v>9</v>
      </c>
      <c r="P322" s="20">
        <f t="shared" si="24"/>
        <v>7.6499999999999995</v>
      </c>
    </row>
    <row r="323" spans="1:16" x14ac:dyDescent="0.25">
      <c r="A323" s="9">
        <v>16612</v>
      </c>
      <c r="B323" s="9">
        <v>21790</v>
      </c>
      <c r="C323" s="9" t="s">
        <v>257</v>
      </c>
      <c r="D323" s="17">
        <f t="shared" ref="D323:D386" si="28">ABS(E323)</f>
        <v>12</v>
      </c>
      <c r="E323" s="10">
        <f t="shared" si="25"/>
        <v>12</v>
      </c>
      <c r="F323" s="11">
        <v>12</v>
      </c>
      <c r="G323" s="9">
        <v>530165</v>
      </c>
      <c r="H323" s="13">
        <v>40484.367361111108</v>
      </c>
      <c r="I323" s="14">
        <v>0.85</v>
      </c>
      <c r="J323" s="23">
        <f t="shared" si="26"/>
        <v>0.85</v>
      </c>
      <c r="K323" s="12">
        <v>40484</v>
      </c>
      <c r="L323" s="24">
        <v>0.36736111111111114</v>
      </c>
      <c r="M323" t="s">
        <v>1014</v>
      </c>
      <c r="N323" s="15" t="str">
        <f t="shared" si="27"/>
        <v>8:49 AM</v>
      </c>
      <c r="O323" s="9" t="s">
        <v>9</v>
      </c>
      <c r="P323" s="20">
        <f t="shared" ref="P323:P386" si="29">PRODUCT(D323,(J323))</f>
        <v>10.199999999999999</v>
      </c>
    </row>
    <row r="324" spans="1:16" x14ac:dyDescent="0.25">
      <c r="A324" s="9">
        <v>13564</v>
      </c>
      <c r="B324" s="9">
        <v>22457</v>
      </c>
      <c r="C324" s="9" t="s">
        <v>390</v>
      </c>
      <c r="D324" s="17">
        <f t="shared" si="28"/>
        <v>6</v>
      </c>
      <c r="E324" s="10">
        <f t="shared" si="25"/>
        <v>6</v>
      </c>
      <c r="F324" s="11">
        <v>6</v>
      </c>
      <c r="G324" s="9">
        <v>522826</v>
      </c>
      <c r="H324" s="13">
        <v>40438.427777777782</v>
      </c>
      <c r="I324" s="14">
        <v>2.95</v>
      </c>
      <c r="J324" s="23">
        <f t="shared" si="26"/>
        <v>2.95</v>
      </c>
      <c r="K324" s="12">
        <v>40438</v>
      </c>
      <c r="L324" s="24">
        <v>0.42777777777777776</v>
      </c>
      <c r="M324" t="s">
        <v>1014</v>
      </c>
      <c r="N324" s="15" t="str">
        <f t="shared" si="27"/>
        <v>10:16 AM</v>
      </c>
      <c r="O324" s="9" t="s">
        <v>9</v>
      </c>
      <c r="P324" s="20">
        <f t="shared" si="29"/>
        <v>17.700000000000003</v>
      </c>
    </row>
    <row r="325" spans="1:16" x14ac:dyDescent="0.25">
      <c r="A325" s="9">
        <v>13152</v>
      </c>
      <c r="B325" s="9">
        <v>22080</v>
      </c>
      <c r="C325" s="9" t="s">
        <v>391</v>
      </c>
      <c r="D325" s="17">
        <f t="shared" si="28"/>
        <v>10</v>
      </c>
      <c r="E325" s="10">
        <f t="shared" si="25"/>
        <v>10</v>
      </c>
      <c r="F325" s="11">
        <v>10</v>
      </c>
      <c r="G325" s="9">
        <v>498596</v>
      </c>
      <c r="H325" s="13">
        <v>40230.665277777778</v>
      </c>
      <c r="I325" s="14">
        <v>1.65</v>
      </c>
      <c r="J325" s="23">
        <f t="shared" si="26"/>
        <v>1.65</v>
      </c>
      <c r="K325" s="12">
        <v>40230</v>
      </c>
      <c r="L325" s="24">
        <v>0.16527777777777777</v>
      </c>
      <c r="M325" t="s">
        <v>1013</v>
      </c>
      <c r="N325" s="15" t="str">
        <f t="shared" si="27"/>
        <v>3:58 PM</v>
      </c>
      <c r="O325" s="9" t="s">
        <v>9</v>
      </c>
      <c r="P325" s="20">
        <f t="shared" si="29"/>
        <v>16.5</v>
      </c>
    </row>
    <row r="326" spans="1:16" x14ac:dyDescent="0.25">
      <c r="A326" s="9">
        <v>16279</v>
      </c>
      <c r="B326" s="9">
        <v>22150</v>
      </c>
      <c r="C326" s="9" t="s">
        <v>392</v>
      </c>
      <c r="D326" s="17">
        <f t="shared" si="28"/>
        <v>6</v>
      </c>
      <c r="E326" s="10">
        <f t="shared" si="25"/>
        <v>6</v>
      </c>
      <c r="F326" s="11">
        <v>6</v>
      </c>
      <c r="G326" s="9">
        <v>510737</v>
      </c>
      <c r="H326" s="13">
        <v>40332.488888888889</v>
      </c>
      <c r="I326" s="14">
        <v>1.95</v>
      </c>
      <c r="J326" s="23">
        <f t="shared" si="26"/>
        <v>1.95</v>
      </c>
      <c r="K326" s="12">
        <v>40332</v>
      </c>
      <c r="L326" s="24">
        <v>0.48888888888888887</v>
      </c>
      <c r="M326" t="s">
        <v>1014</v>
      </c>
      <c r="N326" s="15" t="str">
        <f t="shared" si="27"/>
        <v>11:44 AM</v>
      </c>
      <c r="O326" s="9" t="s">
        <v>9</v>
      </c>
      <c r="P326" s="20">
        <f t="shared" si="29"/>
        <v>11.7</v>
      </c>
    </row>
    <row r="327" spans="1:16" x14ac:dyDescent="0.25">
      <c r="A327" s="9">
        <v>15023</v>
      </c>
      <c r="B327" s="9" t="s">
        <v>393</v>
      </c>
      <c r="C327" s="9" t="s">
        <v>394</v>
      </c>
      <c r="D327" s="17">
        <f t="shared" si="28"/>
        <v>2</v>
      </c>
      <c r="E327" s="10">
        <f t="shared" si="25"/>
        <v>2</v>
      </c>
      <c r="F327" s="11">
        <v>2</v>
      </c>
      <c r="G327" s="9">
        <v>496773</v>
      </c>
      <c r="H327" s="13">
        <v>40212.65625</v>
      </c>
      <c r="I327" s="14">
        <v>1.65</v>
      </c>
      <c r="J327" s="23">
        <f t="shared" si="26"/>
        <v>1.65</v>
      </c>
      <c r="K327" s="12">
        <v>40212</v>
      </c>
      <c r="L327" s="24">
        <v>0.15625</v>
      </c>
      <c r="M327" t="s">
        <v>1013</v>
      </c>
      <c r="N327" s="15" t="str">
        <f t="shared" si="27"/>
        <v>3:45 PM</v>
      </c>
      <c r="O327" s="9" t="s">
        <v>9</v>
      </c>
      <c r="P327" s="20">
        <f t="shared" si="29"/>
        <v>3.3</v>
      </c>
    </row>
    <row r="328" spans="1:16" x14ac:dyDescent="0.25">
      <c r="A328" s="9">
        <v>14415</v>
      </c>
      <c r="B328" s="9">
        <v>22576</v>
      </c>
      <c r="C328" s="9" t="s">
        <v>258</v>
      </c>
      <c r="D328" s="17">
        <f t="shared" si="28"/>
        <v>14</v>
      </c>
      <c r="E328" s="10">
        <f t="shared" si="25"/>
        <v>14</v>
      </c>
      <c r="F328" s="11">
        <v>14</v>
      </c>
      <c r="G328" s="9">
        <v>535274</v>
      </c>
      <c r="H328" s="13">
        <v>40507.57708333333</v>
      </c>
      <c r="I328" s="14">
        <v>0.85</v>
      </c>
      <c r="J328" s="23">
        <f t="shared" si="26"/>
        <v>0.85</v>
      </c>
      <c r="K328" s="12">
        <v>40507</v>
      </c>
      <c r="L328" s="24">
        <v>7.7083333333333337E-2</v>
      </c>
      <c r="M328" t="s">
        <v>1013</v>
      </c>
      <c r="N328" s="15" t="str">
        <f t="shared" si="27"/>
        <v>1:51 PM</v>
      </c>
      <c r="O328" s="9" t="s">
        <v>9</v>
      </c>
      <c r="P328" s="20">
        <f t="shared" si="29"/>
        <v>11.9</v>
      </c>
    </row>
    <row r="329" spans="1:16" x14ac:dyDescent="0.25">
      <c r="A329" s="9">
        <v>14177</v>
      </c>
      <c r="B329" s="9" t="s">
        <v>395</v>
      </c>
      <c r="C329" s="9" t="s">
        <v>396</v>
      </c>
      <c r="D329" s="17">
        <f t="shared" si="28"/>
        <v>2</v>
      </c>
      <c r="E329" s="10">
        <f t="shared" si="25"/>
        <v>2</v>
      </c>
      <c r="F329" s="11">
        <v>2</v>
      </c>
      <c r="G329" s="9">
        <v>532004</v>
      </c>
      <c r="H329" s="13">
        <v>40492.526388888888</v>
      </c>
      <c r="I329" s="14">
        <v>3.75</v>
      </c>
      <c r="J329" s="23">
        <f t="shared" si="26"/>
        <v>3.75</v>
      </c>
      <c r="K329" s="12">
        <v>40492</v>
      </c>
      <c r="L329" s="24">
        <v>0.52638888888888891</v>
      </c>
      <c r="M329" t="s">
        <v>1013</v>
      </c>
      <c r="N329" s="15" t="str">
        <f t="shared" si="27"/>
        <v>12:38 PM</v>
      </c>
      <c r="O329" s="9" t="s">
        <v>9</v>
      </c>
      <c r="P329" s="20">
        <f t="shared" si="29"/>
        <v>7.5</v>
      </c>
    </row>
    <row r="330" spans="1:16" x14ac:dyDescent="0.25">
      <c r="A330" s="9">
        <v>16549</v>
      </c>
      <c r="B330" s="9">
        <v>22575</v>
      </c>
      <c r="C330" s="9" t="s">
        <v>19</v>
      </c>
      <c r="D330" s="17">
        <f t="shared" si="28"/>
        <v>1</v>
      </c>
      <c r="E330" s="10">
        <f t="shared" si="25"/>
        <v>1</v>
      </c>
      <c r="F330" s="11">
        <v>1</v>
      </c>
      <c r="G330" s="9">
        <v>529156</v>
      </c>
      <c r="H330" s="13">
        <v>40477.699305555558</v>
      </c>
      <c r="I330" s="14">
        <v>1.95</v>
      </c>
      <c r="J330" s="23">
        <f t="shared" si="26"/>
        <v>1.95</v>
      </c>
      <c r="K330" s="12">
        <v>40477</v>
      </c>
      <c r="L330" s="24">
        <v>0.19930555555555557</v>
      </c>
      <c r="M330" t="s">
        <v>1013</v>
      </c>
      <c r="N330" s="15" t="str">
        <f t="shared" si="27"/>
        <v>4:47 PM</v>
      </c>
      <c r="O330" s="9" t="s">
        <v>9</v>
      </c>
      <c r="P330" s="20">
        <f t="shared" si="29"/>
        <v>1.95</v>
      </c>
    </row>
    <row r="331" spans="1:16" x14ac:dyDescent="0.25">
      <c r="A331" s="9">
        <v>15198</v>
      </c>
      <c r="B331" s="9">
        <v>72741</v>
      </c>
      <c r="C331" s="9" t="s">
        <v>397</v>
      </c>
      <c r="D331" s="17">
        <f t="shared" si="28"/>
        <v>9</v>
      </c>
      <c r="E331" s="10">
        <f t="shared" si="25"/>
        <v>9</v>
      </c>
      <c r="F331" s="11">
        <v>9</v>
      </c>
      <c r="G331" s="9">
        <v>529213</v>
      </c>
      <c r="H331" s="13">
        <v>40478.438888888893</v>
      </c>
      <c r="I331" s="14">
        <v>1.45</v>
      </c>
      <c r="J331" s="23">
        <f t="shared" si="26"/>
        <v>1.45</v>
      </c>
      <c r="K331" s="12">
        <v>40478</v>
      </c>
      <c r="L331" s="24">
        <v>0.43888888888888888</v>
      </c>
      <c r="M331" t="s">
        <v>1014</v>
      </c>
      <c r="N331" s="15" t="str">
        <f t="shared" si="27"/>
        <v>10:32 AM</v>
      </c>
      <c r="O331" s="9" t="s">
        <v>9</v>
      </c>
      <c r="P331" s="20">
        <f t="shared" si="29"/>
        <v>13.049999999999999</v>
      </c>
    </row>
    <row r="332" spans="1:16" x14ac:dyDescent="0.25">
      <c r="A332" s="9">
        <v>13240</v>
      </c>
      <c r="B332" s="9">
        <v>21742</v>
      </c>
      <c r="C332" s="9" t="s">
        <v>398</v>
      </c>
      <c r="D332" s="17">
        <f t="shared" si="28"/>
        <v>1</v>
      </c>
      <c r="E332" s="10">
        <f t="shared" si="25"/>
        <v>1</v>
      </c>
      <c r="F332" s="11">
        <v>1</v>
      </c>
      <c r="G332" s="9">
        <v>499236</v>
      </c>
      <c r="H332" s="13">
        <v>40234.553472222222</v>
      </c>
      <c r="I332" s="14">
        <v>5.95</v>
      </c>
      <c r="J332" s="23">
        <f t="shared" si="26"/>
        <v>5.95</v>
      </c>
      <c r="K332" s="12">
        <v>40234</v>
      </c>
      <c r="L332" s="24">
        <v>5.347222222222222E-2</v>
      </c>
      <c r="M332" t="s">
        <v>1013</v>
      </c>
      <c r="N332" s="15" t="str">
        <f t="shared" si="27"/>
        <v>1:17 PM</v>
      </c>
      <c r="O332" s="9" t="s">
        <v>9</v>
      </c>
      <c r="P332" s="20">
        <f t="shared" si="29"/>
        <v>5.95</v>
      </c>
    </row>
    <row r="333" spans="1:16" x14ac:dyDescent="0.25">
      <c r="A333" s="9">
        <v>13085</v>
      </c>
      <c r="B333" s="9">
        <v>84992</v>
      </c>
      <c r="C333" s="9" t="s">
        <v>400</v>
      </c>
      <c r="D333" s="17">
        <f t="shared" si="28"/>
        <v>24</v>
      </c>
      <c r="E333" s="10">
        <f t="shared" si="25"/>
        <v>24</v>
      </c>
      <c r="F333" s="11">
        <v>24</v>
      </c>
      <c r="G333" s="9" t="s">
        <v>399</v>
      </c>
      <c r="H333" s="13">
        <v>40207.42083333333</v>
      </c>
      <c r="I333" s="14">
        <v>0.55000000000000004</v>
      </c>
      <c r="J333" s="23">
        <f t="shared" si="26"/>
        <v>0.55000000000000004</v>
      </c>
      <c r="K333" s="12">
        <v>40207</v>
      </c>
      <c r="L333" s="24">
        <v>0.42083333333333334</v>
      </c>
      <c r="M333" t="s">
        <v>1014</v>
      </c>
      <c r="N333" s="15" t="str">
        <f t="shared" si="27"/>
        <v>10:06 AM</v>
      </c>
      <c r="O333" s="9" t="s">
        <v>9</v>
      </c>
      <c r="P333" s="20">
        <f t="shared" si="29"/>
        <v>13.200000000000001</v>
      </c>
    </row>
    <row r="334" spans="1:16" x14ac:dyDescent="0.25">
      <c r="A334" s="9">
        <v>17228</v>
      </c>
      <c r="B334" s="9" t="s">
        <v>395</v>
      </c>
      <c r="C334" s="9" t="s">
        <v>401</v>
      </c>
      <c r="D334" s="17">
        <f t="shared" si="28"/>
        <v>4</v>
      </c>
      <c r="E334" s="10">
        <f t="shared" si="25"/>
        <v>4</v>
      </c>
      <c r="F334" s="11">
        <v>4</v>
      </c>
      <c r="G334" s="9">
        <v>508653</v>
      </c>
      <c r="H334" s="13">
        <v>40315.662499999999</v>
      </c>
      <c r="I334" s="14">
        <v>3.75</v>
      </c>
      <c r="J334" s="23">
        <f t="shared" si="26"/>
        <v>3.75</v>
      </c>
      <c r="K334" s="12">
        <v>40315</v>
      </c>
      <c r="L334" s="24">
        <v>0.16250000000000001</v>
      </c>
      <c r="M334" t="s">
        <v>1013</v>
      </c>
      <c r="N334" s="15" t="str">
        <f t="shared" si="27"/>
        <v>3:54 PM</v>
      </c>
      <c r="O334" s="9" t="s">
        <v>9</v>
      </c>
      <c r="P334" s="20">
        <f t="shared" si="29"/>
        <v>15</v>
      </c>
    </row>
    <row r="335" spans="1:16" x14ac:dyDescent="0.25">
      <c r="A335" s="9">
        <v>14277</v>
      </c>
      <c r="B335" s="9">
        <v>22352</v>
      </c>
      <c r="C335" s="9" t="s">
        <v>403</v>
      </c>
      <c r="D335" s="17">
        <f t="shared" si="28"/>
        <v>12</v>
      </c>
      <c r="E335" s="10">
        <f t="shared" si="25"/>
        <v>-12</v>
      </c>
      <c r="F335" s="11">
        <v>-12</v>
      </c>
      <c r="G335" s="9" t="s">
        <v>402</v>
      </c>
      <c r="H335" s="13">
        <v>40155.493750000001</v>
      </c>
      <c r="I335" s="14">
        <v>2.5499999999999998</v>
      </c>
      <c r="J335" s="23">
        <f t="shared" si="26"/>
        <v>2.5499999999999998</v>
      </c>
      <c r="K335" s="12">
        <v>40155</v>
      </c>
      <c r="L335" s="24">
        <v>0.49375000000000002</v>
      </c>
      <c r="M335" t="s">
        <v>1014</v>
      </c>
      <c r="N335" s="15" t="str">
        <f t="shared" si="27"/>
        <v>11:51 AM</v>
      </c>
      <c r="O335" s="9" t="s">
        <v>404</v>
      </c>
      <c r="P335" s="20">
        <f t="shared" si="29"/>
        <v>30.599999999999998</v>
      </c>
    </row>
    <row r="336" spans="1:16" x14ac:dyDescent="0.25">
      <c r="A336" s="9">
        <v>13564</v>
      </c>
      <c r="B336" s="9">
        <v>82585</v>
      </c>
      <c r="C336" s="9" t="s">
        <v>405</v>
      </c>
      <c r="D336" s="17">
        <f t="shared" si="28"/>
        <v>4</v>
      </c>
      <c r="E336" s="10">
        <f t="shared" si="25"/>
        <v>4</v>
      </c>
      <c r="F336" s="11">
        <v>4</v>
      </c>
      <c r="G336" s="9">
        <v>490636</v>
      </c>
      <c r="H336" s="13">
        <v>40154.505555555559</v>
      </c>
      <c r="I336" s="14">
        <v>1.25</v>
      </c>
      <c r="J336" s="23">
        <f t="shared" si="26"/>
        <v>1.25</v>
      </c>
      <c r="K336" s="12">
        <v>40154</v>
      </c>
      <c r="L336" s="24">
        <v>0.50555555555555554</v>
      </c>
      <c r="M336" t="s">
        <v>1013</v>
      </c>
      <c r="N336" s="15" t="str">
        <f t="shared" si="27"/>
        <v>12:08 PM</v>
      </c>
      <c r="O336" s="9" t="s">
        <v>9</v>
      </c>
      <c r="P336" s="20">
        <f t="shared" si="29"/>
        <v>5</v>
      </c>
    </row>
    <row r="337" spans="1:16" x14ac:dyDescent="0.25">
      <c r="A337" s="9">
        <v>16892</v>
      </c>
      <c r="B337" s="9">
        <v>21796</v>
      </c>
      <c r="C337" s="9" t="s">
        <v>406</v>
      </c>
      <c r="D337" s="17">
        <f t="shared" si="28"/>
        <v>1</v>
      </c>
      <c r="E337" s="10">
        <f t="shared" si="25"/>
        <v>1</v>
      </c>
      <c r="F337" s="11">
        <v>1</v>
      </c>
      <c r="G337" s="9">
        <v>510781</v>
      </c>
      <c r="H337" s="13">
        <v>40332.636805555558</v>
      </c>
      <c r="I337" s="14">
        <v>12.75</v>
      </c>
      <c r="J337" s="23">
        <f t="shared" si="26"/>
        <v>12.75</v>
      </c>
      <c r="K337" s="12">
        <v>40332</v>
      </c>
      <c r="L337" s="24">
        <v>0.13680555555555557</v>
      </c>
      <c r="M337" t="s">
        <v>1013</v>
      </c>
      <c r="N337" s="15" t="str">
        <f t="shared" si="27"/>
        <v>3:17 PM</v>
      </c>
      <c r="O337" s="9" t="s">
        <v>9</v>
      </c>
      <c r="P337" s="20">
        <f t="shared" si="29"/>
        <v>12.75</v>
      </c>
    </row>
    <row r="338" spans="1:16" x14ac:dyDescent="0.25">
      <c r="A338" s="9">
        <v>15061</v>
      </c>
      <c r="B338" s="9">
        <v>20825</v>
      </c>
      <c r="C338" s="9" t="s">
        <v>163</v>
      </c>
      <c r="D338" s="17">
        <f t="shared" si="28"/>
        <v>288</v>
      </c>
      <c r="E338" s="10">
        <f t="shared" si="25"/>
        <v>288</v>
      </c>
      <c r="F338" s="11">
        <v>288</v>
      </c>
      <c r="G338" s="9">
        <v>525286</v>
      </c>
      <c r="H338" s="13">
        <v>40456.356944444437</v>
      </c>
      <c r="I338" s="14">
        <v>3.39</v>
      </c>
      <c r="J338" s="23">
        <f t="shared" si="26"/>
        <v>3.39</v>
      </c>
      <c r="K338" s="12">
        <v>40456</v>
      </c>
      <c r="L338" s="24">
        <v>0.35694444444444445</v>
      </c>
      <c r="M338" t="s">
        <v>1014</v>
      </c>
      <c r="N338" s="15" t="str">
        <f t="shared" si="27"/>
        <v>8:34 AM</v>
      </c>
      <c r="O338" s="9" t="s">
        <v>9</v>
      </c>
      <c r="P338" s="20">
        <f t="shared" si="29"/>
        <v>976.32</v>
      </c>
    </row>
    <row r="339" spans="1:16" x14ac:dyDescent="0.25">
      <c r="A339" s="9">
        <v>17454</v>
      </c>
      <c r="B339" s="9">
        <v>22411</v>
      </c>
      <c r="C339" s="9" t="s">
        <v>206</v>
      </c>
      <c r="D339" s="17">
        <f t="shared" si="28"/>
        <v>10</v>
      </c>
      <c r="E339" s="10">
        <f t="shared" si="25"/>
        <v>10</v>
      </c>
      <c r="F339" s="11">
        <v>10</v>
      </c>
      <c r="G339" s="9">
        <v>521223</v>
      </c>
      <c r="H339" s="13">
        <v>40424.446527777778</v>
      </c>
      <c r="I339" s="14">
        <v>1.95</v>
      </c>
      <c r="J339" s="23">
        <f t="shared" si="26"/>
        <v>1.95</v>
      </c>
      <c r="K339" s="12">
        <v>40424</v>
      </c>
      <c r="L339" s="24">
        <v>0.4465277777777778</v>
      </c>
      <c r="M339" t="s">
        <v>1014</v>
      </c>
      <c r="N339" s="15" t="str">
        <f t="shared" si="27"/>
        <v>10:43 AM</v>
      </c>
      <c r="O339" s="9" t="s">
        <v>9</v>
      </c>
      <c r="P339" s="20">
        <f t="shared" si="29"/>
        <v>19.5</v>
      </c>
    </row>
    <row r="340" spans="1:16" x14ac:dyDescent="0.25">
      <c r="A340" s="9">
        <v>13625</v>
      </c>
      <c r="B340" s="9">
        <v>21313</v>
      </c>
      <c r="C340" s="9" t="s">
        <v>407</v>
      </c>
      <c r="D340" s="17">
        <f t="shared" si="28"/>
        <v>12</v>
      </c>
      <c r="E340" s="10">
        <f t="shared" si="25"/>
        <v>12</v>
      </c>
      <c r="F340" s="11">
        <v>12</v>
      </c>
      <c r="G340" s="9">
        <v>505443</v>
      </c>
      <c r="H340" s="13">
        <v>40290.451388888891</v>
      </c>
      <c r="I340" s="14">
        <v>0.85</v>
      </c>
      <c r="J340" s="23">
        <f t="shared" si="26"/>
        <v>0.85</v>
      </c>
      <c r="K340" s="12">
        <v>40290</v>
      </c>
      <c r="L340" s="24">
        <v>0.4513888888888889</v>
      </c>
      <c r="M340" t="s">
        <v>1014</v>
      </c>
      <c r="N340" s="15" t="str">
        <f t="shared" si="27"/>
        <v>10:50 AM</v>
      </c>
      <c r="O340" s="9" t="s">
        <v>9</v>
      </c>
      <c r="P340" s="20">
        <f t="shared" si="29"/>
        <v>10.199999999999999</v>
      </c>
    </row>
    <row r="341" spans="1:16" x14ac:dyDescent="0.25">
      <c r="A341" s="9">
        <v>14329</v>
      </c>
      <c r="B341" s="9">
        <v>22520</v>
      </c>
      <c r="C341" s="9" t="s">
        <v>408</v>
      </c>
      <c r="D341" s="17">
        <f t="shared" si="28"/>
        <v>12</v>
      </c>
      <c r="E341" s="10">
        <f t="shared" si="25"/>
        <v>12</v>
      </c>
      <c r="F341" s="11">
        <v>12</v>
      </c>
      <c r="G341" s="9">
        <v>507445</v>
      </c>
      <c r="H341" s="13">
        <v>40308.401388888888</v>
      </c>
      <c r="I341" s="14">
        <v>0.85</v>
      </c>
      <c r="J341" s="23">
        <f t="shared" si="26"/>
        <v>0.85</v>
      </c>
      <c r="K341" s="12">
        <v>40308</v>
      </c>
      <c r="L341" s="24">
        <v>0.40138888888888891</v>
      </c>
      <c r="M341" t="s">
        <v>1014</v>
      </c>
      <c r="N341" s="15" t="str">
        <f t="shared" si="27"/>
        <v>9:38 AM</v>
      </c>
      <c r="O341" s="9" t="s">
        <v>9</v>
      </c>
      <c r="P341" s="20">
        <f t="shared" si="29"/>
        <v>10.199999999999999</v>
      </c>
    </row>
    <row r="342" spans="1:16" x14ac:dyDescent="0.25">
      <c r="A342" s="9">
        <v>14157</v>
      </c>
      <c r="B342" s="9">
        <v>22444</v>
      </c>
      <c r="C342" s="9" t="s">
        <v>409</v>
      </c>
      <c r="D342" s="17">
        <f t="shared" si="28"/>
        <v>24</v>
      </c>
      <c r="E342" s="10">
        <f t="shared" si="25"/>
        <v>24</v>
      </c>
      <c r="F342" s="11">
        <v>24</v>
      </c>
      <c r="G342" s="9">
        <v>527740</v>
      </c>
      <c r="H342" s="13">
        <v>40469.658333333333</v>
      </c>
      <c r="I342" s="14">
        <v>1.25</v>
      </c>
      <c r="J342" s="23">
        <f t="shared" si="26"/>
        <v>1.25</v>
      </c>
      <c r="K342" s="12">
        <v>40469</v>
      </c>
      <c r="L342" s="24">
        <v>0.15833333333333333</v>
      </c>
      <c r="M342" t="s">
        <v>1013</v>
      </c>
      <c r="N342" s="15" t="str">
        <f t="shared" si="27"/>
        <v>3:48 PM</v>
      </c>
      <c r="O342" s="9" t="s">
        <v>9</v>
      </c>
      <c r="P342" s="20">
        <f t="shared" si="29"/>
        <v>30</v>
      </c>
    </row>
    <row r="343" spans="1:16" x14ac:dyDescent="0.25">
      <c r="A343" s="9" t="s">
        <v>411</v>
      </c>
      <c r="B343" s="9">
        <v>22523</v>
      </c>
      <c r="C343" s="9" t="s">
        <v>410</v>
      </c>
      <c r="D343" s="17">
        <f t="shared" si="28"/>
        <v>1</v>
      </c>
      <c r="E343" s="10">
        <f t="shared" si="25"/>
        <v>1</v>
      </c>
      <c r="F343" s="11" t="s">
        <v>330</v>
      </c>
      <c r="G343" s="9">
        <v>527819</v>
      </c>
      <c r="H343" s="13">
        <v>40470.473611111112</v>
      </c>
      <c r="I343" s="14">
        <v>0.85</v>
      </c>
      <c r="J343" s="23">
        <f t="shared" si="26"/>
        <v>0.85</v>
      </c>
      <c r="K343" s="12">
        <v>40470</v>
      </c>
      <c r="L343" s="24">
        <v>0.47361111111111109</v>
      </c>
      <c r="M343" t="s">
        <v>1014</v>
      </c>
      <c r="N343" s="15" t="str">
        <f t="shared" si="27"/>
        <v>11:22 AM</v>
      </c>
      <c r="O343" s="9" t="s">
        <v>9</v>
      </c>
      <c r="P343" s="20">
        <f t="shared" si="29"/>
        <v>0.85</v>
      </c>
    </row>
    <row r="344" spans="1:16" x14ac:dyDescent="0.25">
      <c r="A344" s="9" t="s">
        <v>412</v>
      </c>
      <c r="B344" s="9">
        <v>22118</v>
      </c>
      <c r="C344" s="9" t="s">
        <v>101</v>
      </c>
      <c r="D344" s="17">
        <f t="shared" si="28"/>
        <v>2</v>
      </c>
      <c r="E344" s="10">
        <f t="shared" si="25"/>
        <v>2</v>
      </c>
      <c r="F344" s="11">
        <v>2</v>
      </c>
      <c r="G344" s="9">
        <v>524524</v>
      </c>
      <c r="H344" s="13">
        <v>40450.551388888889</v>
      </c>
      <c r="I344" s="14">
        <v>4.95</v>
      </c>
      <c r="J344" s="23">
        <f t="shared" si="26"/>
        <v>4.95</v>
      </c>
      <c r="K344" s="12">
        <v>40450</v>
      </c>
      <c r="L344" s="24">
        <v>5.1388888888888887E-2</v>
      </c>
      <c r="M344" t="s">
        <v>1013</v>
      </c>
      <c r="N344" s="15" t="str">
        <f t="shared" si="27"/>
        <v>1:14 PM</v>
      </c>
      <c r="O344" s="9" t="s">
        <v>9</v>
      </c>
      <c r="P344" s="20">
        <f t="shared" si="29"/>
        <v>9.9</v>
      </c>
    </row>
    <row r="345" spans="1:16" x14ac:dyDescent="0.25">
      <c r="A345" s="9">
        <v>14478</v>
      </c>
      <c r="B345" s="9">
        <v>84950</v>
      </c>
      <c r="C345" s="9" t="s">
        <v>413</v>
      </c>
      <c r="D345" s="17">
        <f t="shared" si="28"/>
        <v>24</v>
      </c>
      <c r="E345" s="10">
        <f t="shared" si="25"/>
        <v>24</v>
      </c>
      <c r="F345" s="11">
        <v>24</v>
      </c>
      <c r="G345" s="9">
        <v>518665</v>
      </c>
      <c r="H345" s="13">
        <v>40400.613194444442</v>
      </c>
      <c r="I345" s="14">
        <v>0.85</v>
      </c>
      <c r="J345" s="23">
        <f t="shared" si="26"/>
        <v>0.85</v>
      </c>
      <c r="K345" s="12">
        <v>40400</v>
      </c>
      <c r="L345" s="24">
        <v>0.11319444444444444</v>
      </c>
      <c r="M345" t="s">
        <v>1013</v>
      </c>
      <c r="N345" s="15" t="str">
        <f t="shared" si="27"/>
        <v>2:43 PM</v>
      </c>
      <c r="O345" s="9" t="s">
        <v>9</v>
      </c>
      <c r="P345" s="20">
        <f t="shared" si="29"/>
        <v>20.399999999999999</v>
      </c>
    </row>
    <row r="346" spans="1:16" x14ac:dyDescent="0.25">
      <c r="A346" s="9">
        <v>15860</v>
      </c>
      <c r="B346" s="9">
        <v>21034</v>
      </c>
      <c r="C346" s="9" t="s">
        <v>414</v>
      </c>
      <c r="D346" s="17">
        <f t="shared" si="28"/>
        <v>1</v>
      </c>
      <c r="E346" s="10">
        <f t="shared" si="25"/>
        <v>1</v>
      </c>
      <c r="F346" s="11">
        <v>1</v>
      </c>
      <c r="G346" s="9">
        <v>507129</v>
      </c>
      <c r="H346" s="13">
        <v>40304.510416666657</v>
      </c>
      <c r="I346" s="14">
        <v>0.95</v>
      </c>
      <c r="J346" s="23">
        <f t="shared" si="26"/>
        <v>0.95</v>
      </c>
      <c r="K346" s="12">
        <v>40304</v>
      </c>
      <c r="L346" s="24">
        <v>0.51041666666666663</v>
      </c>
      <c r="M346" t="s">
        <v>1013</v>
      </c>
      <c r="N346" s="15" t="str">
        <f t="shared" si="27"/>
        <v>12:15 PM</v>
      </c>
      <c r="O346" s="9" t="s">
        <v>9</v>
      </c>
      <c r="P346" s="20">
        <f t="shared" si="29"/>
        <v>0.95</v>
      </c>
    </row>
    <row r="347" spans="1:16" x14ac:dyDescent="0.25">
      <c r="A347" s="9">
        <v>13178</v>
      </c>
      <c r="B347" s="9">
        <v>21559</v>
      </c>
      <c r="C347" s="9" t="s">
        <v>415</v>
      </c>
      <c r="D347" s="17">
        <f t="shared" si="28"/>
        <v>6</v>
      </c>
      <c r="E347" s="10">
        <f t="shared" si="25"/>
        <v>6</v>
      </c>
      <c r="F347" s="11">
        <v>6</v>
      </c>
      <c r="G347" s="9">
        <v>531374</v>
      </c>
      <c r="H347" s="13">
        <v>40489.659722222219</v>
      </c>
      <c r="I347" s="14">
        <v>2.5499999999999998</v>
      </c>
      <c r="J347" s="23">
        <f t="shared" si="26"/>
        <v>2.5499999999999998</v>
      </c>
      <c r="K347" s="12">
        <v>40489</v>
      </c>
      <c r="L347" s="24">
        <v>0.15972222222222221</v>
      </c>
      <c r="M347" t="s">
        <v>1013</v>
      </c>
      <c r="N347" s="15" t="str">
        <f t="shared" si="27"/>
        <v>3:50 PM</v>
      </c>
      <c r="O347" s="9" t="s">
        <v>9</v>
      </c>
      <c r="P347" s="20">
        <f t="shared" si="29"/>
        <v>15.299999999999999</v>
      </c>
    </row>
    <row r="348" spans="1:16" x14ac:dyDescent="0.25">
      <c r="A348" s="9">
        <v>13263</v>
      </c>
      <c r="B348" s="9" t="s">
        <v>153</v>
      </c>
      <c r="C348" s="9" t="s">
        <v>154</v>
      </c>
      <c r="D348" s="17">
        <f t="shared" si="28"/>
        <v>2</v>
      </c>
      <c r="E348" s="10">
        <f t="shared" si="25"/>
        <v>2</v>
      </c>
      <c r="F348" s="11">
        <v>2</v>
      </c>
      <c r="G348" s="9">
        <v>532337</v>
      </c>
      <c r="H348" s="13">
        <v>40493.65902777778</v>
      </c>
      <c r="I348" s="14">
        <v>2.95</v>
      </c>
      <c r="J348" s="23">
        <f t="shared" si="26"/>
        <v>2.95</v>
      </c>
      <c r="K348" s="12">
        <v>40493</v>
      </c>
      <c r="L348" s="24">
        <v>0.15902777777777777</v>
      </c>
      <c r="M348" t="s">
        <v>1013</v>
      </c>
      <c r="N348" s="15" t="str">
        <f t="shared" si="27"/>
        <v>3:49 PM</v>
      </c>
      <c r="O348" s="9" t="s">
        <v>9</v>
      </c>
      <c r="P348" s="20">
        <f t="shared" si="29"/>
        <v>5.9</v>
      </c>
    </row>
    <row r="349" spans="1:16" x14ac:dyDescent="0.25">
      <c r="A349" s="9" t="s">
        <v>417</v>
      </c>
      <c r="B349" s="9">
        <v>84975</v>
      </c>
      <c r="C349" s="9" t="s">
        <v>416</v>
      </c>
      <c r="D349" s="17">
        <f t="shared" si="28"/>
        <v>36</v>
      </c>
      <c r="E349" s="10">
        <f t="shared" si="25"/>
        <v>36</v>
      </c>
      <c r="F349" s="11">
        <v>36</v>
      </c>
      <c r="G349" s="9">
        <v>522334</v>
      </c>
      <c r="H349" s="13">
        <v>40435.404861111107</v>
      </c>
      <c r="I349" s="14">
        <v>1.69</v>
      </c>
      <c r="J349" s="23">
        <f t="shared" si="26"/>
        <v>1.69</v>
      </c>
      <c r="K349" s="12">
        <v>40435</v>
      </c>
      <c r="L349" s="24">
        <v>0.40486111111111112</v>
      </c>
      <c r="M349" t="s">
        <v>1014</v>
      </c>
      <c r="N349" s="15" t="str">
        <f t="shared" si="27"/>
        <v>9:43 AM</v>
      </c>
      <c r="O349" s="9" t="s">
        <v>9</v>
      </c>
      <c r="P349" s="20">
        <f t="shared" si="29"/>
        <v>60.839999999999996</v>
      </c>
    </row>
    <row r="350" spans="1:16" x14ac:dyDescent="0.25">
      <c r="A350" s="9">
        <v>17115</v>
      </c>
      <c r="B350" s="9">
        <v>90029</v>
      </c>
      <c r="C350" s="9" t="s">
        <v>418</v>
      </c>
      <c r="D350" s="17">
        <f t="shared" si="28"/>
        <v>5</v>
      </c>
      <c r="E350" s="10">
        <f t="shared" si="25"/>
        <v>5</v>
      </c>
      <c r="F350" s="11">
        <v>5</v>
      </c>
      <c r="G350" s="9">
        <v>496058</v>
      </c>
      <c r="H350" s="13">
        <v>40206.636805555558</v>
      </c>
      <c r="I350" s="14">
        <v>8.5</v>
      </c>
      <c r="J350" s="23">
        <f t="shared" si="26"/>
        <v>8.5</v>
      </c>
      <c r="K350" s="12">
        <v>40206</v>
      </c>
      <c r="L350" s="24">
        <v>0.13680555555555557</v>
      </c>
      <c r="M350" t="s">
        <v>1013</v>
      </c>
      <c r="N350" s="15" t="str">
        <f t="shared" si="27"/>
        <v>3:17 PM</v>
      </c>
      <c r="O350" s="9" t="s">
        <v>9</v>
      </c>
      <c r="P350" s="20">
        <f t="shared" si="29"/>
        <v>42.5</v>
      </c>
    </row>
    <row r="351" spans="1:16" x14ac:dyDescent="0.25">
      <c r="A351" s="9">
        <v>13299</v>
      </c>
      <c r="B351" s="9">
        <v>21056</v>
      </c>
      <c r="C351" s="9" t="s">
        <v>419</v>
      </c>
      <c r="D351" s="17">
        <f t="shared" si="28"/>
        <v>4</v>
      </c>
      <c r="E351" s="10">
        <f t="shared" si="25"/>
        <v>4</v>
      </c>
      <c r="F351" s="11">
        <v>4</v>
      </c>
      <c r="G351" s="9">
        <v>526510</v>
      </c>
      <c r="H351" s="13">
        <v>40463.453472222223</v>
      </c>
      <c r="I351" s="14">
        <v>8.9499999999999993</v>
      </c>
      <c r="J351" s="23">
        <f t="shared" si="26"/>
        <v>8.9499999999999993</v>
      </c>
      <c r="K351" s="12">
        <v>40463</v>
      </c>
      <c r="L351" s="24">
        <v>0.45347222222222222</v>
      </c>
      <c r="M351" t="s">
        <v>1014</v>
      </c>
      <c r="N351" s="15" t="str">
        <f t="shared" si="27"/>
        <v>10:53 AM</v>
      </c>
      <c r="O351" s="9" t="s">
        <v>9</v>
      </c>
      <c r="P351" s="20">
        <f t="shared" si="29"/>
        <v>35.799999999999997</v>
      </c>
    </row>
    <row r="352" spans="1:16" x14ac:dyDescent="0.25">
      <c r="A352" s="9">
        <v>15768</v>
      </c>
      <c r="B352" s="9">
        <v>21755</v>
      </c>
      <c r="C352" s="9" t="s">
        <v>360</v>
      </c>
      <c r="D352" s="17">
        <f t="shared" si="28"/>
        <v>4</v>
      </c>
      <c r="E352" s="10">
        <f t="shared" si="25"/>
        <v>4</v>
      </c>
      <c r="F352" s="11">
        <v>4</v>
      </c>
      <c r="G352" s="9">
        <v>491068</v>
      </c>
      <c r="H352" s="13">
        <v>40156.512499999997</v>
      </c>
      <c r="I352" s="14">
        <v>5.95</v>
      </c>
      <c r="J352" s="23">
        <f t="shared" si="26"/>
        <v>5.95</v>
      </c>
      <c r="K352" s="12">
        <v>40156</v>
      </c>
      <c r="L352" s="24">
        <v>0.51249999999999996</v>
      </c>
      <c r="M352" t="s">
        <v>1013</v>
      </c>
      <c r="N352" s="15" t="str">
        <f t="shared" si="27"/>
        <v>12:18 PM</v>
      </c>
      <c r="O352" s="9" t="s">
        <v>9</v>
      </c>
      <c r="P352" s="20">
        <f t="shared" si="29"/>
        <v>23.8</v>
      </c>
    </row>
    <row r="353" spans="1:16" x14ac:dyDescent="0.25">
      <c r="A353" s="9">
        <v>14723</v>
      </c>
      <c r="B353" s="9">
        <v>22068</v>
      </c>
      <c r="C353" s="9" t="s">
        <v>420</v>
      </c>
      <c r="D353" s="17">
        <f t="shared" si="28"/>
        <v>2</v>
      </c>
      <c r="E353" s="10">
        <f t="shared" si="25"/>
        <v>2</v>
      </c>
      <c r="F353" s="11">
        <v>2</v>
      </c>
      <c r="G353" s="9">
        <v>526236</v>
      </c>
      <c r="H353" s="13">
        <v>40461.672222222223</v>
      </c>
      <c r="I353" s="14">
        <v>1.65</v>
      </c>
      <c r="J353" s="23">
        <f t="shared" si="26"/>
        <v>1.65</v>
      </c>
      <c r="K353" s="12">
        <v>40461</v>
      </c>
      <c r="L353" s="24">
        <v>0.17222222222222222</v>
      </c>
      <c r="M353" t="s">
        <v>1013</v>
      </c>
      <c r="N353" s="15" t="str">
        <f t="shared" si="27"/>
        <v>4:08 PM</v>
      </c>
      <c r="O353" s="9" t="s">
        <v>9</v>
      </c>
      <c r="P353" s="20">
        <f t="shared" si="29"/>
        <v>3.3</v>
      </c>
    </row>
    <row r="354" spans="1:16" x14ac:dyDescent="0.25">
      <c r="A354" s="9">
        <v>17345</v>
      </c>
      <c r="B354" s="9">
        <v>21484</v>
      </c>
      <c r="C354" s="9" t="s">
        <v>421</v>
      </c>
      <c r="D354" s="17">
        <f t="shared" si="28"/>
        <v>2</v>
      </c>
      <c r="E354" s="10">
        <f t="shared" si="25"/>
        <v>2</v>
      </c>
      <c r="F354" s="11">
        <v>2</v>
      </c>
      <c r="G354" s="9">
        <v>535946</v>
      </c>
      <c r="H354" s="13">
        <v>40511.495833333327</v>
      </c>
      <c r="I354" s="14">
        <v>3.45</v>
      </c>
      <c r="J354" s="23">
        <f t="shared" si="26"/>
        <v>3.45</v>
      </c>
      <c r="K354" s="12">
        <v>40511</v>
      </c>
      <c r="L354" s="24">
        <v>0.49583333333333335</v>
      </c>
      <c r="M354" t="s">
        <v>1014</v>
      </c>
      <c r="N354" s="15" t="str">
        <f t="shared" si="27"/>
        <v>11:54 AM</v>
      </c>
      <c r="O354" s="9" t="s">
        <v>9</v>
      </c>
      <c r="P354" s="20">
        <f t="shared" si="29"/>
        <v>6.9</v>
      </c>
    </row>
    <row r="355" spans="1:16" x14ac:dyDescent="0.25">
      <c r="A355" s="9">
        <v>14037</v>
      </c>
      <c r="B355" s="9">
        <v>21479</v>
      </c>
      <c r="C355" s="9" t="s">
        <v>422</v>
      </c>
      <c r="D355" s="17">
        <f t="shared" si="28"/>
        <v>3</v>
      </c>
      <c r="E355" s="10">
        <f t="shared" si="25"/>
        <v>3</v>
      </c>
      <c r="F355" s="11">
        <v>3</v>
      </c>
      <c r="G355" s="9">
        <v>490609</v>
      </c>
      <c r="H355" s="13">
        <v>40154.48541666667</v>
      </c>
      <c r="I355" s="14">
        <v>3.75</v>
      </c>
      <c r="J355" s="23">
        <f t="shared" si="26"/>
        <v>3.75</v>
      </c>
      <c r="K355" s="12">
        <v>40154</v>
      </c>
      <c r="L355" s="24">
        <v>0.48541666666666666</v>
      </c>
      <c r="M355" t="s">
        <v>1014</v>
      </c>
      <c r="N355" s="15" t="str">
        <f t="shared" si="27"/>
        <v>11:39 AM</v>
      </c>
      <c r="O355" s="9" t="s">
        <v>9</v>
      </c>
      <c r="P355" s="20">
        <f t="shared" si="29"/>
        <v>11.25</v>
      </c>
    </row>
    <row r="356" spans="1:16" x14ac:dyDescent="0.25">
      <c r="A356" s="9">
        <v>14769</v>
      </c>
      <c r="B356" s="9">
        <v>22625</v>
      </c>
      <c r="C356" s="9" t="s">
        <v>423</v>
      </c>
      <c r="D356" s="17">
        <f t="shared" si="28"/>
        <v>2</v>
      </c>
      <c r="E356" s="10">
        <f t="shared" si="25"/>
        <v>2</v>
      </c>
      <c r="F356" s="11">
        <v>2</v>
      </c>
      <c r="G356" s="9">
        <v>520561</v>
      </c>
      <c r="H356" s="13">
        <v>40416.698611111111</v>
      </c>
      <c r="I356" s="14">
        <v>8.5</v>
      </c>
      <c r="J356" s="23">
        <f t="shared" si="26"/>
        <v>8.5</v>
      </c>
      <c r="K356" s="12">
        <v>40416</v>
      </c>
      <c r="L356" s="24">
        <v>0.1986111111111111</v>
      </c>
      <c r="M356" t="s">
        <v>1013</v>
      </c>
      <c r="N356" s="15" t="str">
        <f t="shared" si="27"/>
        <v>4:46 PM</v>
      </c>
      <c r="O356" s="9" t="s">
        <v>9</v>
      </c>
      <c r="P356" s="20">
        <f t="shared" si="29"/>
        <v>17</v>
      </c>
    </row>
    <row r="357" spans="1:16" x14ac:dyDescent="0.25">
      <c r="A357" s="9">
        <v>18279</v>
      </c>
      <c r="B357" s="9" t="s">
        <v>424</v>
      </c>
      <c r="C357" s="9" t="s">
        <v>425</v>
      </c>
      <c r="D357" s="17">
        <f t="shared" si="28"/>
        <v>24</v>
      </c>
      <c r="E357" s="10">
        <f t="shared" si="25"/>
        <v>24</v>
      </c>
      <c r="F357" s="11">
        <v>24</v>
      </c>
      <c r="G357" s="9">
        <v>515150</v>
      </c>
      <c r="H357" s="13">
        <v>40367.616666666669</v>
      </c>
      <c r="I357" s="14">
        <v>0.85</v>
      </c>
      <c r="J357" s="23">
        <f t="shared" si="26"/>
        <v>0.85</v>
      </c>
      <c r="K357" s="12">
        <v>40367</v>
      </c>
      <c r="L357" s="24">
        <v>0.11666666666666667</v>
      </c>
      <c r="M357" t="s">
        <v>1013</v>
      </c>
      <c r="N357" s="15" t="str">
        <f t="shared" si="27"/>
        <v>2:48 PM</v>
      </c>
      <c r="O357" s="9" t="s">
        <v>9</v>
      </c>
      <c r="P357" s="20">
        <f t="shared" si="29"/>
        <v>20.399999999999999</v>
      </c>
    </row>
    <row r="358" spans="1:16" x14ac:dyDescent="0.25">
      <c r="A358" s="9">
        <v>15527</v>
      </c>
      <c r="B358" s="9">
        <v>22867</v>
      </c>
      <c r="C358" s="9" t="s">
        <v>426</v>
      </c>
      <c r="D358" s="17">
        <f t="shared" si="28"/>
        <v>24</v>
      </c>
      <c r="E358" s="10">
        <f t="shared" si="25"/>
        <v>24</v>
      </c>
      <c r="F358" s="11">
        <v>24</v>
      </c>
      <c r="G358" s="9">
        <v>531935</v>
      </c>
      <c r="H358" s="17" t="s">
        <v>427</v>
      </c>
      <c r="I358" s="14">
        <v>2.1</v>
      </c>
      <c r="J358" s="23">
        <f t="shared" si="26"/>
        <v>2.1</v>
      </c>
      <c r="K358" s="12">
        <v>40492</v>
      </c>
      <c r="L358" s="25">
        <v>0.50902777777777775</v>
      </c>
      <c r="N358" s="15" t="str">
        <f t="shared" si="27"/>
        <v xml:space="preserve">12:13 </v>
      </c>
      <c r="O358" s="9" t="s">
        <v>9</v>
      </c>
      <c r="P358" s="20">
        <f t="shared" si="29"/>
        <v>50.400000000000006</v>
      </c>
    </row>
    <row r="359" spans="1:16" x14ac:dyDescent="0.25">
      <c r="A359" s="9">
        <v>14410</v>
      </c>
      <c r="B359" s="9">
        <v>22865</v>
      </c>
      <c r="C359" s="9" t="s">
        <v>428</v>
      </c>
      <c r="D359" s="17">
        <f t="shared" si="28"/>
        <v>2</v>
      </c>
      <c r="E359" s="10">
        <f t="shared" si="25"/>
        <v>2</v>
      </c>
      <c r="F359" s="11">
        <v>2</v>
      </c>
      <c r="G359" s="9">
        <v>535803</v>
      </c>
      <c r="H359" s="13">
        <v>40510.622916666667</v>
      </c>
      <c r="I359" s="14">
        <v>2.1</v>
      </c>
      <c r="J359" s="23">
        <f t="shared" si="26"/>
        <v>2.1</v>
      </c>
      <c r="K359" s="12">
        <v>40510</v>
      </c>
      <c r="L359" s="24">
        <v>0.12291666666666666</v>
      </c>
      <c r="M359" t="s">
        <v>1013</v>
      </c>
      <c r="N359" s="15" t="str">
        <f t="shared" si="27"/>
        <v>2:57 PM</v>
      </c>
      <c r="O359" s="9" t="s">
        <v>9</v>
      </c>
      <c r="P359" s="20">
        <f t="shared" si="29"/>
        <v>4.2</v>
      </c>
    </row>
    <row r="360" spans="1:16" x14ac:dyDescent="0.25">
      <c r="A360" s="9">
        <v>13680</v>
      </c>
      <c r="B360" s="9">
        <v>21181</v>
      </c>
      <c r="C360" s="9" t="s">
        <v>429</v>
      </c>
      <c r="D360" s="17">
        <f t="shared" si="28"/>
        <v>12</v>
      </c>
      <c r="E360" s="10">
        <f t="shared" si="25"/>
        <v>12</v>
      </c>
      <c r="F360" s="11">
        <v>12</v>
      </c>
      <c r="G360" s="9">
        <v>494471</v>
      </c>
      <c r="H360" s="13">
        <v>40192.616666666669</v>
      </c>
      <c r="I360" s="14">
        <v>2.1</v>
      </c>
      <c r="J360" s="23">
        <f t="shared" si="26"/>
        <v>2.1</v>
      </c>
      <c r="K360" s="12">
        <v>40192</v>
      </c>
      <c r="L360" s="24">
        <v>0.11666666666666667</v>
      </c>
      <c r="M360" t="s">
        <v>1013</v>
      </c>
      <c r="N360" s="15" t="str">
        <f t="shared" si="27"/>
        <v>2:48 PM</v>
      </c>
      <c r="O360" s="9" t="s">
        <v>9</v>
      </c>
      <c r="P360" s="20">
        <f t="shared" si="29"/>
        <v>25.200000000000003</v>
      </c>
    </row>
    <row r="361" spans="1:16" x14ac:dyDescent="0.25">
      <c r="A361" s="9">
        <v>16784</v>
      </c>
      <c r="B361" s="9">
        <v>22599</v>
      </c>
      <c r="C361" s="9" t="s">
        <v>430</v>
      </c>
      <c r="D361" s="17">
        <f t="shared" si="28"/>
        <v>6</v>
      </c>
      <c r="E361" s="10">
        <f t="shared" si="25"/>
        <v>6</v>
      </c>
      <c r="F361" s="11">
        <v>6</v>
      </c>
      <c r="G361" s="9">
        <v>529837</v>
      </c>
      <c r="H361" s="17" t="s">
        <v>431</v>
      </c>
      <c r="I361" s="14">
        <v>0.85</v>
      </c>
      <c r="J361" s="23">
        <f t="shared" si="26"/>
        <v>0.85</v>
      </c>
      <c r="K361" s="12">
        <v>40482</v>
      </c>
      <c r="L361" s="25">
        <v>0.52361111111111114</v>
      </c>
      <c r="N361" s="15" t="str">
        <f t="shared" si="27"/>
        <v xml:space="preserve">12:34 </v>
      </c>
      <c r="O361" s="9" t="s">
        <v>9</v>
      </c>
      <c r="P361" s="20">
        <f t="shared" si="29"/>
        <v>5.0999999999999996</v>
      </c>
    </row>
    <row r="362" spans="1:16" x14ac:dyDescent="0.25">
      <c r="A362" s="9">
        <v>16960</v>
      </c>
      <c r="B362" s="9">
        <v>84754</v>
      </c>
      <c r="C362" s="9" t="s">
        <v>432</v>
      </c>
      <c r="D362" s="17">
        <f t="shared" si="28"/>
        <v>2</v>
      </c>
      <c r="E362" s="10">
        <f t="shared" si="25"/>
        <v>2</v>
      </c>
      <c r="F362" s="11">
        <v>2</v>
      </c>
      <c r="G362" s="9">
        <v>532679</v>
      </c>
      <c r="H362" s="13">
        <v>40496.511805555558</v>
      </c>
      <c r="I362" s="14">
        <v>1.25</v>
      </c>
      <c r="J362" s="23">
        <f t="shared" si="26"/>
        <v>1.25</v>
      </c>
      <c r="K362" s="12">
        <v>40496</v>
      </c>
      <c r="L362" s="24">
        <v>0.51180555555555551</v>
      </c>
      <c r="M362" t="s">
        <v>1013</v>
      </c>
      <c r="N362" s="15" t="str">
        <f t="shared" si="27"/>
        <v>12:17 PM</v>
      </c>
      <c r="O362" s="9" t="s">
        <v>9</v>
      </c>
      <c r="P362" s="20">
        <f t="shared" si="29"/>
        <v>2.5</v>
      </c>
    </row>
    <row r="363" spans="1:16" x14ac:dyDescent="0.25">
      <c r="A363" s="9">
        <v>14897</v>
      </c>
      <c r="B363" s="9">
        <v>22773</v>
      </c>
      <c r="C363" s="9" t="s">
        <v>433</v>
      </c>
      <c r="D363" s="17">
        <f t="shared" si="28"/>
        <v>12</v>
      </c>
      <c r="E363" s="10">
        <f t="shared" si="25"/>
        <v>12</v>
      </c>
      <c r="F363" s="11">
        <v>12</v>
      </c>
      <c r="G363" s="9">
        <v>528989</v>
      </c>
      <c r="H363" s="13">
        <v>40477.470138888893</v>
      </c>
      <c r="I363" s="14">
        <v>1.25</v>
      </c>
      <c r="J363" s="23">
        <f t="shared" si="26"/>
        <v>1.25</v>
      </c>
      <c r="K363" s="12">
        <v>40477</v>
      </c>
      <c r="L363" s="24">
        <v>0.47013888888888888</v>
      </c>
      <c r="M363" t="s">
        <v>1014</v>
      </c>
      <c r="N363" s="15" t="str">
        <f t="shared" si="27"/>
        <v>11:17 AM</v>
      </c>
      <c r="O363" s="9" t="s">
        <v>9</v>
      </c>
      <c r="P363" s="20">
        <f t="shared" si="29"/>
        <v>15</v>
      </c>
    </row>
    <row r="364" spans="1:16" x14ac:dyDescent="0.25">
      <c r="A364" s="9">
        <v>15640</v>
      </c>
      <c r="B364" s="9">
        <v>21931</v>
      </c>
      <c r="C364" s="9" t="s">
        <v>434</v>
      </c>
      <c r="D364" s="17">
        <f t="shared" si="28"/>
        <v>10</v>
      </c>
      <c r="E364" s="10">
        <f t="shared" si="25"/>
        <v>10</v>
      </c>
      <c r="F364" s="11">
        <v>10</v>
      </c>
      <c r="G364" s="9">
        <v>498303</v>
      </c>
      <c r="H364" s="13">
        <v>40227.396527777782</v>
      </c>
      <c r="I364" s="14">
        <v>1.95</v>
      </c>
      <c r="J364" s="23">
        <f t="shared" si="26"/>
        <v>1.95</v>
      </c>
      <c r="K364" s="12">
        <v>40227</v>
      </c>
      <c r="L364" s="24">
        <v>0.39652777777777776</v>
      </c>
      <c r="M364" t="s">
        <v>1014</v>
      </c>
      <c r="N364" s="15" t="str">
        <f t="shared" si="27"/>
        <v>9:31 AM</v>
      </c>
      <c r="O364" s="9" t="s">
        <v>9</v>
      </c>
      <c r="P364" s="20">
        <f t="shared" si="29"/>
        <v>19.5</v>
      </c>
    </row>
    <row r="365" spans="1:16" x14ac:dyDescent="0.25">
      <c r="A365" s="9">
        <v>15639</v>
      </c>
      <c r="B365" s="9">
        <v>21519</v>
      </c>
      <c r="C365" s="9" t="s">
        <v>435</v>
      </c>
      <c r="D365" s="17">
        <f t="shared" si="28"/>
        <v>12</v>
      </c>
      <c r="E365" s="10">
        <f t="shared" si="25"/>
        <v>12</v>
      </c>
      <c r="F365" s="11">
        <v>12</v>
      </c>
      <c r="G365" s="9">
        <v>522331</v>
      </c>
      <c r="H365" s="13">
        <v>40435.378472222219</v>
      </c>
      <c r="I365" s="14">
        <v>0.42</v>
      </c>
      <c r="J365" s="23">
        <f t="shared" si="26"/>
        <v>0.42</v>
      </c>
      <c r="K365" s="12">
        <v>40435</v>
      </c>
      <c r="L365" s="24">
        <v>0.37847222222222221</v>
      </c>
      <c r="M365" t="s">
        <v>1014</v>
      </c>
      <c r="N365" s="15" t="str">
        <f t="shared" si="27"/>
        <v>9:05 AM</v>
      </c>
      <c r="O365" s="9" t="s">
        <v>9</v>
      </c>
      <c r="P365" s="20">
        <f t="shared" si="29"/>
        <v>5.04</v>
      </c>
    </row>
    <row r="366" spans="1:16" x14ac:dyDescent="0.25">
      <c r="A366" s="9">
        <v>13564</v>
      </c>
      <c r="B366" s="9" t="s">
        <v>436</v>
      </c>
      <c r="C366" s="9" t="s">
        <v>437</v>
      </c>
      <c r="D366" s="17">
        <f t="shared" si="28"/>
        <v>6</v>
      </c>
      <c r="E366" s="10">
        <f t="shared" si="25"/>
        <v>6</v>
      </c>
      <c r="F366" s="11">
        <v>6</v>
      </c>
      <c r="G366" s="9">
        <v>517712</v>
      </c>
      <c r="H366" s="13">
        <v>40391.470138888893</v>
      </c>
      <c r="I366" s="14">
        <v>4.95</v>
      </c>
      <c r="J366" s="23">
        <f t="shared" si="26"/>
        <v>4.95</v>
      </c>
      <c r="K366" s="12">
        <v>40391</v>
      </c>
      <c r="L366" s="24">
        <v>0.47013888888888888</v>
      </c>
      <c r="M366" t="s">
        <v>1014</v>
      </c>
      <c r="N366" s="15" t="str">
        <f t="shared" si="27"/>
        <v>11:17 AM</v>
      </c>
      <c r="O366" s="9" t="s">
        <v>9</v>
      </c>
      <c r="P366" s="20">
        <f t="shared" si="29"/>
        <v>29.700000000000003</v>
      </c>
    </row>
    <row r="367" spans="1:16" x14ac:dyDescent="0.25">
      <c r="A367" s="9">
        <v>17686</v>
      </c>
      <c r="B367" s="9" t="s">
        <v>438</v>
      </c>
      <c r="C367" s="9" t="s">
        <v>439</v>
      </c>
      <c r="D367" s="17">
        <f t="shared" si="28"/>
        <v>2</v>
      </c>
      <c r="E367" s="10">
        <f t="shared" si="25"/>
        <v>2</v>
      </c>
      <c r="F367" s="11">
        <v>2</v>
      </c>
      <c r="G367" s="9">
        <v>513335</v>
      </c>
      <c r="H367" s="13">
        <v>40353.40902777778</v>
      </c>
      <c r="I367" s="14">
        <v>7.49</v>
      </c>
      <c r="J367" s="23">
        <f t="shared" si="26"/>
        <v>7.49</v>
      </c>
      <c r="K367" s="12">
        <v>40353</v>
      </c>
      <c r="L367" s="24">
        <v>0.40902777777777777</v>
      </c>
      <c r="M367" t="s">
        <v>1014</v>
      </c>
      <c r="N367" s="15" t="str">
        <f t="shared" si="27"/>
        <v>9:49 AM</v>
      </c>
      <c r="O367" s="9" t="s">
        <v>9</v>
      </c>
      <c r="P367" s="20">
        <f t="shared" si="29"/>
        <v>14.98</v>
      </c>
    </row>
    <row r="368" spans="1:16" x14ac:dyDescent="0.25">
      <c r="A368" s="9">
        <v>14298</v>
      </c>
      <c r="B368" s="9">
        <v>22703</v>
      </c>
      <c r="C368" s="9" t="s">
        <v>236</v>
      </c>
      <c r="D368" s="17">
        <f t="shared" si="28"/>
        <v>6</v>
      </c>
      <c r="E368" s="10">
        <f t="shared" si="25"/>
        <v>6</v>
      </c>
      <c r="F368" s="11">
        <v>6</v>
      </c>
      <c r="G368" s="9">
        <v>515910</v>
      </c>
      <c r="H368" s="13">
        <v>40374.553472222222</v>
      </c>
      <c r="I368" s="14">
        <v>1.85</v>
      </c>
      <c r="J368" s="23">
        <f t="shared" si="26"/>
        <v>1.85</v>
      </c>
      <c r="K368" s="12">
        <v>40374</v>
      </c>
      <c r="L368" s="24">
        <v>5.347222222222222E-2</v>
      </c>
      <c r="M368" t="s">
        <v>1013</v>
      </c>
      <c r="N368" s="15" t="str">
        <f t="shared" si="27"/>
        <v>1:17 PM</v>
      </c>
      <c r="O368" s="9" t="s">
        <v>9</v>
      </c>
      <c r="P368" s="20">
        <f t="shared" si="29"/>
        <v>11.100000000000001</v>
      </c>
    </row>
    <row r="369" spans="1:16" x14ac:dyDescent="0.25">
      <c r="A369" s="9">
        <v>16984</v>
      </c>
      <c r="B369" s="9" t="s">
        <v>440</v>
      </c>
      <c r="C369" s="9" t="s">
        <v>441</v>
      </c>
      <c r="D369" s="17">
        <f t="shared" si="28"/>
        <v>24</v>
      </c>
      <c r="E369" s="10">
        <f t="shared" si="25"/>
        <v>24</v>
      </c>
      <c r="F369" s="11">
        <v>24</v>
      </c>
      <c r="G369" s="9">
        <v>529994</v>
      </c>
      <c r="H369" s="13">
        <v>40482.68472222222</v>
      </c>
      <c r="I369" s="14">
        <v>1.25</v>
      </c>
      <c r="J369" s="23">
        <f t="shared" si="26"/>
        <v>1.25</v>
      </c>
      <c r="K369" s="12">
        <v>40482</v>
      </c>
      <c r="L369" s="24">
        <v>0.18472222222222223</v>
      </c>
      <c r="M369" t="s">
        <v>1013</v>
      </c>
      <c r="N369" s="15" t="str">
        <f t="shared" si="27"/>
        <v>4:26 PM</v>
      </c>
      <c r="O369" s="9" t="s">
        <v>9</v>
      </c>
      <c r="P369" s="20">
        <f t="shared" si="29"/>
        <v>30</v>
      </c>
    </row>
    <row r="370" spans="1:16" x14ac:dyDescent="0.25">
      <c r="A370" s="9">
        <v>17230</v>
      </c>
      <c r="B370" s="9" t="s">
        <v>153</v>
      </c>
      <c r="C370" s="9" t="s">
        <v>154</v>
      </c>
      <c r="D370" s="17">
        <f t="shared" si="28"/>
        <v>32</v>
      </c>
      <c r="E370" s="10">
        <f t="shared" si="25"/>
        <v>32</v>
      </c>
      <c r="F370" s="11">
        <v>32</v>
      </c>
      <c r="G370" s="9">
        <v>492445</v>
      </c>
      <c r="H370" s="13">
        <v>40164.463194444441</v>
      </c>
      <c r="I370" s="14">
        <v>2.5499999999999998</v>
      </c>
      <c r="J370" s="23">
        <f t="shared" si="26"/>
        <v>2.5499999999999998</v>
      </c>
      <c r="K370" s="12">
        <v>40164</v>
      </c>
      <c r="L370" s="24">
        <v>0.46319444444444446</v>
      </c>
      <c r="M370" t="s">
        <v>1014</v>
      </c>
      <c r="N370" s="15" t="str">
        <f t="shared" si="27"/>
        <v>11:07 AM</v>
      </c>
      <c r="O370" s="9" t="s">
        <v>9</v>
      </c>
      <c r="P370" s="20">
        <f t="shared" si="29"/>
        <v>81.599999999999994</v>
      </c>
    </row>
    <row r="371" spans="1:16" x14ac:dyDescent="0.25">
      <c r="A371" s="9">
        <v>12921</v>
      </c>
      <c r="B371" s="9">
        <v>21928</v>
      </c>
      <c r="C371" s="9" t="s">
        <v>442</v>
      </c>
      <c r="D371" s="17">
        <f t="shared" si="28"/>
        <v>20</v>
      </c>
      <c r="E371" s="10">
        <f t="shared" si="25"/>
        <v>20</v>
      </c>
      <c r="F371" s="11">
        <v>20</v>
      </c>
      <c r="G371" s="9">
        <v>513568</v>
      </c>
      <c r="H371" s="13">
        <v>40354.599305555559</v>
      </c>
      <c r="I371" s="14">
        <v>1.95</v>
      </c>
      <c r="J371" s="23">
        <f t="shared" si="26"/>
        <v>1.95</v>
      </c>
      <c r="K371" s="12">
        <v>40354</v>
      </c>
      <c r="L371" s="24">
        <v>9.930555555555555E-2</v>
      </c>
      <c r="M371" t="s">
        <v>1013</v>
      </c>
      <c r="N371" s="15" t="str">
        <f t="shared" si="27"/>
        <v>2:23 PM</v>
      </c>
      <c r="O371" s="9" t="s">
        <v>9</v>
      </c>
      <c r="P371" s="20">
        <f t="shared" si="29"/>
        <v>39</v>
      </c>
    </row>
    <row r="372" spans="1:16" x14ac:dyDescent="0.25">
      <c r="A372" s="9">
        <v>17730</v>
      </c>
      <c r="B372" s="9">
        <v>22154</v>
      </c>
      <c r="C372" s="9" t="s">
        <v>443</v>
      </c>
      <c r="D372" s="17">
        <f t="shared" si="28"/>
        <v>48</v>
      </c>
      <c r="E372" s="10">
        <f t="shared" si="25"/>
        <v>48</v>
      </c>
      <c r="F372" s="11">
        <v>48</v>
      </c>
      <c r="G372" s="9">
        <v>534238</v>
      </c>
      <c r="H372" s="13">
        <v>40504.445138888892</v>
      </c>
      <c r="I372" s="14">
        <v>0.42</v>
      </c>
      <c r="J372" s="23">
        <f t="shared" si="26"/>
        <v>0.42</v>
      </c>
      <c r="K372" s="12">
        <v>40504</v>
      </c>
      <c r="L372" s="24">
        <v>0.44513888888888886</v>
      </c>
      <c r="M372" t="s">
        <v>1014</v>
      </c>
      <c r="N372" s="15" t="str">
        <f t="shared" si="27"/>
        <v>10:41 AM</v>
      </c>
      <c r="O372" s="9" t="s">
        <v>9</v>
      </c>
      <c r="P372" s="20">
        <f t="shared" si="29"/>
        <v>20.16</v>
      </c>
    </row>
    <row r="373" spans="1:16" x14ac:dyDescent="0.25">
      <c r="A373" s="9">
        <v>17975</v>
      </c>
      <c r="B373" s="9">
        <v>21754</v>
      </c>
      <c r="C373" s="9" t="s">
        <v>344</v>
      </c>
      <c r="D373" s="17">
        <f t="shared" si="28"/>
        <v>9</v>
      </c>
      <c r="E373" s="10">
        <f t="shared" si="25"/>
        <v>9</v>
      </c>
      <c r="F373" s="11">
        <v>9</v>
      </c>
      <c r="G373" s="9">
        <v>524268</v>
      </c>
      <c r="H373" s="13">
        <v>40449.490972222222</v>
      </c>
      <c r="I373" s="14">
        <v>5.95</v>
      </c>
      <c r="J373" s="23">
        <f t="shared" si="26"/>
        <v>5.95</v>
      </c>
      <c r="K373" s="12">
        <v>40449</v>
      </c>
      <c r="L373" s="24">
        <v>0.4909722222222222</v>
      </c>
      <c r="M373" t="s">
        <v>1014</v>
      </c>
      <c r="N373" s="15" t="str">
        <f t="shared" si="27"/>
        <v>11:47 AM</v>
      </c>
      <c r="O373" s="9" t="s">
        <v>9</v>
      </c>
      <c r="P373" s="20">
        <f t="shared" si="29"/>
        <v>53.550000000000004</v>
      </c>
    </row>
    <row r="374" spans="1:16" x14ac:dyDescent="0.25">
      <c r="A374" s="9">
        <v>13662</v>
      </c>
      <c r="B374" s="9">
        <v>22739</v>
      </c>
      <c r="C374" s="9" t="s">
        <v>444</v>
      </c>
      <c r="D374" s="17">
        <f t="shared" si="28"/>
        <v>10</v>
      </c>
      <c r="E374" s="10">
        <f t="shared" si="25"/>
        <v>10</v>
      </c>
      <c r="F374" s="11">
        <v>10</v>
      </c>
      <c r="G374" s="9">
        <v>533838</v>
      </c>
      <c r="H374" s="13">
        <v>40501.456250000003</v>
      </c>
      <c r="I374" s="14">
        <v>1.65</v>
      </c>
      <c r="J374" s="23">
        <f t="shared" si="26"/>
        <v>1.65</v>
      </c>
      <c r="K374" s="12">
        <v>40501</v>
      </c>
      <c r="L374" s="24">
        <v>0.45624999999999999</v>
      </c>
      <c r="M374" t="s">
        <v>1014</v>
      </c>
      <c r="N374" s="15" t="str">
        <f t="shared" si="27"/>
        <v>10:57 AM</v>
      </c>
      <c r="O374" s="9" t="s">
        <v>9</v>
      </c>
      <c r="P374" s="20">
        <f t="shared" si="29"/>
        <v>16.5</v>
      </c>
    </row>
    <row r="375" spans="1:16" x14ac:dyDescent="0.25">
      <c r="A375" s="9">
        <v>17365</v>
      </c>
      <c r="B375" s="9" t="s">
        <v>445</v>
      </c>
      <c r="C375" s="9" t="s">
        <v>446</v>
      </c>
      <c r="D375" s="17">
        <f t="shared" si="28"/>
        <v>3</v>
      </c>
      <c r="E375" s="10">
        <f t="shared" si="25"/>
        <v>3</v>
      </c>
      <c r="F375" s="11">
        <v>3</v>
      </c>
      <c r="G375" s="9">
        <v>515420</v>
      </c>
      <c r="H375" s="13">
        <v>40371.552083333343</v>
      </c>
      <c r="I375" s="14">
        <v>0.65</v>
      </c>
      <c r="J375" s="23">
        <f t="shared" si="26"/>
        <v>0.65</v>
      </c>
      <c r="K375" s="12">
        <v>40371</v>
      </c>
      <c r="L375" s="24">
        <v>5.2083333333333336E-2</v>
      </c>
      <c r="M375" t="s">
        <v>1013</v>
      </c>
      <c r="N375" s="15" t="str">
        <f t="shared" si="27"/>
        <v>1:15 PM</v>
      </c>
      <c r="O375" s="9" t="s">
        <v>9</v>
      </c>
      <c r="P375" s="20">
        <f t="shared" si="29"/>
        <v>1.9500000000000002</v>
      </c>
    </row>
    <row r="376" spans="1:16" x14ac:dyDescent="0.25">
      <c r="A376" s="9">
        <v>12406</v>
      </c>
      <c r="B376" s="9">
        <v>21282</v>
      </c>
      <c r="C376" s="9" t="s">
        <v>447</v>
      </c>
      <c r="D376" s="17">
        <f t="shared" si="28"/>
        <v>24</v>
      </c>
      <c r="E376" s="10">
        <f t="shared" si="25"/>
        <v>24</v>
      </c>
      <c r="F376" s="11">
        <v>24</v>
      </c>
      <c r="G376" s="9">
        <v>531010</v>
      </c>
      <c r="H376" s="13">
        <v>40487.487500000003</v>
      </c>
      <c r="I376" s="14">
        <v>3.75</v>
      </c>
      <c r="J376" s="23">
        <f t="shared" si="26"/>
        <v>3.75</v>
      </c>
      <c r="K376" s="12">
        <v>40487</v>
      </c>
      <c r="L376" s="24">
        <v>0.48749999999999999</v>
      </c>
      <c r="M376" t="s">
        <v>1014</v>
      </c>
      <c r="N376" s="15" t="str">
        <f t="shared" si="27"/>
        <v>11:42 AM</v>
      </c>
      <c r="O376" s="9" t="s">
        <v>114</v>
      </c>
      <c r="P376" s="20">
        <f t="shared" si="29"/>
        <v>90</v>
      </c>
    </row>
    <row r="377" spans="1:16" x14ac:dyDescent="0.25">
      <c r="A377" s="9">
        <v>18245</v>
      </c>
      <c r="B377" s="9">
        <v>22030</v>
      </c>
      <c r="C377" s="9" t="s">
        <v>448</v>
      </c>
      <c r="D377" s="17">
        <f t="shared" si="28"/>
        <v>12</v>
      </c>
      <c r="E377" s="10">
        <f t="shared" si="25"/>
        <v>12</v>
      </c>
      <c r="F377" s="11">
        <v>12</v>
      </c>
      <c r="G377" s="9">
        <v>535349</v>
      </c>
      <c r="H377" s="13">
        <v>40507.702777777777</v>
      </c>
      <c r="I377" s="14">
        <v>0.42</v>
      </c>
      <c r="J377" s="23">
        <f t="shared" si="26"/>
        <v>0.42</v>
      </c>
      <c r="K377" s="12">
        <v>40507</v>
      </c>
      <c r="L377" s="24">
        <v>0.20277777777777778</v>
      </c>
      <c r="M377" t="s">
        <v>1013</v>
      </c>
      <c r="N377" s="15" t="str">
        <f t="shared" si="27"/>
        <v>4:52 PM</v>
      </c>
      <c r="O377" s="9" t="s">
        <v>9</v>
      </c>
      <c r="P377" s="20">
        <f t="shared" si="29"/>
        <v>5.04</v>
      </c>
    </row>
    <row r="378" spans="1:16" x14ac:dyDescent="0.25">
      <c r="A378" s="9">
        <v>17324</v>
      </c>
      <c r="B378" s="9">
        <v>21988</v>
      </c>
      <c r="C378" s="9" t="s">
        <v>449</v>
      </c>
      <c r="D378" s="17">
        <f t="shared" si="28"/>
        <v>1</v>
      </c>
      <c r="E378" s="10">
        <f t="shared" si="25"/>
        <v>1</v>
      </c>
      <c r="F378" s="11">
        <v>1</v>
      </c>
      <c r="G378" s="9">
        <v>521205</v>
      </c>
      <c r="H378" s="13">
        <v>40423.765277777777</v>
      </c>
      <c r="I378" s="14">
        <v>0.85</v>
      </c>
      <c r="J378" s="23">
        <f t="shared" si="26"/>
        <v>0.85</v>
      </c>
      <c r="K378" s="12">
        <v>40423</v>
      </c>
      <c r="L378" s="24">
        <v>0.26527777777777778</v>
      </c>
      <c r="M378" t="s">
        <v>1013</v>
      </c>
      <c r="N378" s="15" t="str">
        <f t="shared" si="27"/>
        <v>6:22 PM</v>
      </c>
      <c r="O378" s="9" t="s">
        <v>9</v>
      </c>
      <c r="P378" s="20">
        <f t="shared" si="29"/>
        <v>0.85</v>
      </c>
    </row>
    <row r="379" spans="1:16" x14ac:dyDescent="0.25">
      <c r="A379" s="9">
        <v>13276</v>
      </c>
      <c r="B379" s="9">
        <v>22149</v>
      </c>
      <c r="C379" s="9" t="s">
        <v>450</v>
      </c>
      <c r="D379" s="17">
        <f t="shared" si="28"/>
        <v>2</v>
      </c>
      <c r="E379" s="10">
        <f t="shared" si="25"/>
        <v>2</v>
      </c>
      <c r="F379" s="11">
        <v>2</v>
      </c>
      <c r="G379" s="9">
        <v>516950</v>
      </c>
      <c r="H379" s="13">
        <v>40384.651388888888</v>
      </c>
      <c r="I379" s="14">
        <v>2.1</v>
      </c>
      <c r="J379" s="23">
        <f t="shared" si="26"/>
        <v>2.1</v>
      </c>
      <c r="K379" s="12">
        <v>40384</v>
      </c>
      <c r="L379" s="24">
        <v>0.15138888888888888</v>
      </c>
      <c r="M379" t="s">
        <v>1013</v>
      </c>
      <c r="N379" s="15" t="str">
        <f t="shared" si="27"/>
        <v>3:38 PM</v>
      </c>
      <c r="O379" s="9" t="s">
        <v>9</v>
      </c>
      <c r="P379" s="20">
        <f t="shared" si="29"/>
        <v>4.2</v>
      </c>
    </row>
    <row r="380" spans="1:16" x14ac:dyDescent="0.25">
      <c r="A380" s="9">
        <v>16445</v>
      </c>
      <c r="B380" s="9">
        <v>22417</v>
      </c>
      <c r="C380" s="9" t="s">
        <v>451</v>
      </c>
      <c r="D380" s="17">
        <f t="shared" si="28"/>
        <v>1</v>
      </c>
      <c r="E380" s="10">
        <f t="shared" si="25"/>
        <v>1</v>
      </c>
      <c r="F380" s="11">
        <v>1</v>
      </c>
      <c r="G380" s="9">
        <v>528648</v>
      </c>
      <c r="H380" s="13">
        <v>40475.527083333327</v>
      </c>
      <c r="I380" s="14">
        <v>0.55000000000000004</v>
      </c>
      <c r="J380" s="23">
        <f t="shared" si="26"/>
        <v>0.55000000000000004</v>
      </c>
      <c r="K380" s="12">
        <v>40475</v>
      </c>
      <c r="L380" s="24">
        <v>0.52708333333333335</v>
      </c>
      <c r="M380" t="s">
        <v>1013</v>
      </c>
      <c r="N380" s="15" t="str">
        <f t="shared" si="27"/>
        <v>12:39 PM</v>
      </c>
      <c r="O380" s="9" t="s">
        <v>9</v>
      </c>
      <c r="P380" s="20">
        <f t="shared" si="29"/>
        <v>0.55000000000000004</v>
      </c>
    </row>
    <row r="381" spans="1:16" x14ac:dyDescent="0.25">
      <c r="A381" s="9">
        <v>14646</v>
      </c>
      <c r="B381" s="9">
        <v>22328</v>
      </c>
      <c r="C381" s="9" t="s">
        <v>452</v>
      </c>
      <c r="D381" s="17">
        <f t="shared" si="28"/>
        <v>96</v>
      </c>
      <c r="E381" s="10">
        <f t="shared" si="25"/>
        <v>96</v>
      </c>
      <c r="F381" s="11">
        <v>96</v>
      </c>
      <c r="G381" s="9">
        <v>507179</v>
      </c>
      <c r="H381" s="13">
        <v>40304.64166666667</v>
      </c>
      <c r="I381" s="14">
        <v>2.5499999999999998</v>
      </c>
      <c r="J381" s="23">
        <f t="shared" si="26"/>
        <v>2.5499999999999998</v>
      </c>
      <c r="K381" s="12">
        <v>40304</v>
      </c>
      <c r="L381" s="24">
        <v>0.14166666666666666</v>
      </c>
      <c r="M381" t="s">
        <v>1013</v>
      </c>
      <c r="N381" s="15" t="str">
        <f t="shared" si="27"/>
        <v>3:24 PM</v>
      </c>
      <c r="O381" s="9" t="s">
        <v>116</v>
      </c>
      <c r="P381" s="20">
        <f t="shared" si="29"/>
        <v>244.79999999999998</v>
      </c>
    </row>
    <row r="382" spans="1:16" x14ac:dyDescent="0.25">
      <c r="A382" s="9">
        <v>15722</v>
      </c>
      <c r="B382" s="9">
        <v>21737</v>
      </c>
      <c r="C382" s="9" t="s">
        <v>453</v>
      </c>
      <c r="D382" s="17">
        <f t="shared" si="28"/>
        <v>1</v>
      </c>
      <c r="E382" s="10">
        <f t="shared" si="25"/>
        <v>1</v>
      </c>
      <c r="F382" s="11">
        <v>1</v>
      </c>
      <c r="G382" s="9">
        <v>520716</v>
      </c>
      <c r="H382" s="13">
        <v>40419.585416666669</v>
      </c>
      <c r="I382" s="14">
        <v>19.95</v>
      </c>
      <c r="J382" s="23">
        <f t="shared" si="26"/>
        <v>19.95</v>
      </c>
      <c r="K382" s="12">
        <v>40419</v>
      </c>
      <c r="L382" s="24">
        <v>8.5416666666666669E-2</v>
      </c>
      <c r="M382" t="s">
        <v>1013</v>
      </c>
      <c r="N382" s="15" t="str">
        <f t="shared" si="27"/>
        <v>2:03 PM</v>
      </c>
      <c r="O382" s="9" t="s">
        <v>9</v>
      </c>
      <c r="P382" s="20">
        <f t="shared" si="29"/>
        <v>19.95</v>
      </c>
    </row>
    <row r="383" spans="1:16" x14ac:dyDescent="0.25">
      <c r="A383" s="9">
        <v>16756</v>
      </c>
      <c r="B383" s="9">
        <v>22072</v>
      </c>
      <c r="C383" s="9" t="s">
        <v>454</v>
      </c>
      <c r="D383" s="17">
        <f t="shared" si="28"/>
        <v>4</v>
      </c>
      <c r="E383" s="10">
        <f t="shared" si="25"/>
        <v>4</v>
      </c>
      <c r="F383" s="11">
        <v>4</v>
      </c>
      <c r="G383" s="9">
        <v>505845</v>
      </c>
      <c r="H383" s="13">
        <v>40294.501388888893</v>
      </c>
      <c r="I383" s="14">
        <v>3.75</v>
      </c>
      <c r="J383" s="23">
        <f t="shared" si="26"/>
        <v>3.75</v>
      </c>
      <c r="K383" s="12">
        <v>40294</v>
      </c>
      <c r="L383" s="24">
        <v>0.50138888888888888</v>
      </c>
      <c r="M383" t="s">
        <v>1013</v>
      </c>
      <c r="N383" s="15" t="str">
        <f t="shared" si="27"/>
        <v>12:02 PM</v>
      </c>
      <c r="O383" s="9" t="s">
        <v>9</v>
      </c>
      <c r="P383" s="20">
        <f t="shared" si="29"/>
        <v>15</v>
      </c>
    </row>
    <row r="384" spans="1:16" x14ac:dyDescent="0.25">
      <c r="A384" s="9">
        <v>16072</v>
      </c>
      <c r="B384" s="9">
        <v>21155</v>
      </c>
      <c r="C384" s="9" t="s">
        <v>455</v>
      </c>
      <c r="D384" s="17">
        <f t="shared" si="28"/>
        <v>4</v>
      </c>
      <c r="E384" s="10">
        <f t="shared" si="25"/>
        <v>4</v>
      </c>
      <c r="F384" s="11">
        <v>4</v>
      </c>
      <c r="G384" s="9">
        <v>511522</v>
      </c>
      <c r="H384" s="13">
        <v>40337.699305555558</v>
      </c>
      <c r="I384" s="14">
        <v>2.1</v>
      </c>
      <c r="J384" s="23">
        <f t="shared" si="26"/>
        <v>2.1</v>
      </c>
      <c r="K384" s="12">
        <v>40337</v>
      </c>
      <c r="L384" s="24">
        <v>0.19930555555555557</v>
      </c>
      <c r="M384" t="s">
        <v>1013</v>
      </c>
      <c r="N384" s="15" t="str">
        <f t="shared" si="27"/>
        <v>4:47 PM</v>
      </c>
      <c r="O384" s="9" t="s">
        <v>9</v>
      </c>
      <c r="P384" s="20">
        <f t="shared" si="29"/>
        <v>8.4</v>
      </c>
    </row>
    <row r="385" spans="1:16" x14ac:dyDescent="0.25">
      <c r="A385" s="9" t="s">
        <v>456</v>
      </c>
      <c r="B385" s="9">
        <v>22112</v>
      </c>
      <c r="C385" s="9" t="s">
        <v>199</v>
      </c>
      <c r="D385" s="17">
        <f t="shared" si="28"/>
        <v>1</v>
      </c>
      <c r="E385" s="10">
        <f t="shared" si="25"/>
        <v>1</v>
      </c>
      <c r="F385" s="11">
        <v>1</v>
      </c>
      <c r="G385" s="9">
        <v>532016</v>
      </c>
      <c r="H385" s="13">
        <v>40492.537499999999</v>
      </c>
      <c r="I385" s="14">
        <v>4.95</v>
      </c>
      <c r="J385" s="23">
        <f t="shared" si="26"/>
        <v>4.95</v>
      </c>
      <c r="K385" s="12">
        <v>40492</v>
      </c>
      <c r="L385" s="24">
        <v>0.53749999999999998</v>
      </c>
      <c r="M385" t="s">
        <v>1013</v>
      </c>
      <c r="N385" s="15" t="str">
        <f t="shared" si="27"/>
        <v>12:54 PM</v>
      </c>
      <c r="O385" s="9" t="s">
        <v>9</v>
      </c>
      <c r="P385" s="20">
        <f t="shared" si="29"/>
        <v>4.95</v>
      </c>
    </row>
    <row r="386" spans="1:16" x14ac:dyDescent="0.25">
      <c r="A386" s="9">
        <v>12748</v>
      </c>
      <c r="B386" s="9">
        <v>21016</v>
      </c>
      <c r="C386" s="9" t="s">
        <v>457</v>
      </c>
      <c r="D386" s="17">
        <f t="shared" si="28"/>
        <v>3</v>
      </c>
      <c r="E386" s="10">
        <f t="shared" ref="E386:E449" si="30">VALUE(F386)</f>
        <v>3</v>
      </c>
      <c r="F386" s="11">
        <v>3</v>
      </c>
      <c r="G386" s="9">
        <v>515906</v>
      </c>
      <c r="H386" s="13">
        <v>40374.540972222218</v>
      </c>
      <c r="I386" s="14">
        <v>0.85</v>
      </c>
      <c r="J386" s="23">
        <f t="shared" ref="J386:J449" si="31">VALUE(I386)</f>
        <v>0.85</v>
      </c>
      <c r="K386" s="12">
        <v>40374</v>
      </c>
      <c r="L386" s="24">
        <v>0.54097222222222219</v>
      </c>
      <c r="M386" t="s">
        <v>1013</v>
      </c>
      <c r="N386" s="15" t="str">
        <f t="shared" ref="N386:N449" si="32">TEXT(L386,"h:mm")&amp;" "&amp;M386</f>
        <v>12:59 PM</v>
      </c>
      <c r="O386" s="9" t="s">
        <v>9</v>
      </c>
      <c r="P386" s="20">
        <f t="shared" si="29"/>
        <v>2.5499999999999998</v>
      </c>
    </row>
    <row r="387" spans="1:16" x14ac:dyDescent="0.25">
      <c r="A387" s="9">
        <v>14648</v>
      </c>
      <c r="B387" s="9">
        <v>21929</v>
      </c>
      <c r="C387" s="9" t="s">
        <v>458</v>
      </c>
      <c r="D387" s="17">
        <f t="shared" ref="D387:D450" si="33">ABS(E387)</f>
        <v>10</v>
      </c>
      <c r="E387" s="10">
        <f t="shared" si="30"/>
        <v>10</v>
      </c>
      <c r="F387" s="11">
        <v>10</v>
      </c>
      <c r="G387" s="9">
        <v>513543</v>
      </c>
      <c r="H387" s="13">
        <v>40354.503472222219</v>
      </c>
      <c r="I387" s="14">
        <v>1.95</v>
      </c>
      <c r="J387" s="23">
        <f t="shared" si="31"/>
        <v>1.95</v>
      </c>
      <c r="K387" s="12">
        <v>40354</v>
      </c>
      <c r="L387" s="24">
        <v>0.50347222222222221</v>
      </c>
      <c r="M387" t="s">
        <v>1013</v>
      </c>
      <c r="N387" s="15" t="str">
        <f t="shared" si="32"/>
        <v>12:05 PM</v>
      </c>
      <c r="O387" s="9" t="s">
        <v>9</v>
      </c>
      <c r="P387" s="20">
        <f t="shared" ref="P387:P450" si="34">PRODUCT(D387,(J387))</f>
        <v>19.5</v>
      </c>
    </row>
    <row r="388" spans="1:16" x14ac:dyDescent="0.25">
      <c r="A388" s="9">
        <v>14156</v>
      </c>
      <c r="B388" s="9" t="s">
        <v>459</v>
      </c>
      <c r="C388" s="9" t="s">
        <v>460</v>
      </c>
      <c r="D388" s="17">
        <f t="shared" si="33"/>
        <v>12</v>
      </c>
      <c r="E388" s="10">
        <f t="shared" si="30"/>
        <v>12</v>
      </c>
      <c r="F388" s="11">
        <v>12</v>
      </c>
      <c r="G388" s="9">
        <v>502280</v>
      </c>
      <c r="H388" s="13">
        <v>40260.697916666657</v>
      </c>
      <c r="I388" s="14">
        <v>1.55</v>
      </c>
      <c r="J388" s="23">
        <f t="shared" si="31"/>
        <v>1.55</v>
      </c>
      <c r="K388" s="12">
        <v>40260</v>
      </c>
      <c r="L388" s="24">
        <v>0.19791666666666666</v>
      </c>
      <c r="M388" t="s">
        <v>1013</v>
      </c>
      <c r="N388" s="15" t="str">
        <f t="shared" si="32"/>
        <v>4:45 PM</v>
      </c>
      <c r="O388" s="9" t="s">
        <v>11</v>
      </c>
      <c r="P388" s="20">
        <f t="shared" si="34"/>
        <v>18.600000000000001</v>
      </c>
    </row>
    <row r="389" spans="1:16" x14ac:dyDescent="0.25">
      <c r="A389" s="9">
        <v>12915</v>
      </c>
      <c r="B389" s="9">
        <v>22644</v>
      </c>
      <c r="C389" s="9" t="s">
        <v>461</v>
      </c>
      <c r="D389" s="17">
        <f t="shared" si="33"/>
        <v>12</v>
      </c>
      <c r="E389" s="10">
        <f t="shared" si="30"/>
        <v>12</v>
      </c>
      <c r="F389" s="11">
        <v>12</v>
      </c>
      <c r="G389" s="9">
        <v>520084</v>
      </c>
      <c r="H389" s="13">
        <v>40414.447916666657</v>
      </c>
      <c r="I389" s="14">
        <v>1.45</v>
      </c>
      <c r="J389" s="23">
        <f t="shared" si="31"/>
        <v>1.45</v>
      </c>
      <c r="K389" s="12">
        <v>40414</v>
      </c>
      <c r="L389" s="24">
        <v>0.44791666666666669</v>
      </c>
      <c r="M389" t="s">
        <v>1014</v>
      </c>
      <c r="N389" s="15" t="str">
        <f t="shared" si="32"/>
        <v>10:45 AM</v>
      </c>
      <c r="O389" s="9" t="s">
        <v>9</v>
      </c>
      <c r="P389" s="20">
        <f t="shared" si="34"/>
        <v>17.399999999999999</v>
      </c>
    </row>
    <row r="390" spans="1:16" x14ac:dyDescent="0.25">
      <c r="A390" s="9">
        <v>16595</v>
      </c>
      <c r="B390" s="9">
        <v>21381</v>
      </c>
      <c r="C390" s="9" t="s">
        <v>462</v>
      </c>
      <c r="D390" s="17">
        <f t="shared" si="33"/>
        <v>2</v>
      </c>
      <c r="E390" s="10">
        <f t="shared" si="30"/>
        <v>2</v>
      </c>
      <c r="F390" s="11">
        <v>2</v>
      </c>
      <c r="G390" s="9">
        <v>494644</v>
      </c>
      <c r="H390" s="13">
        <v>40195.508333333331</v>
      </c>
      <c r="I390" s="14">
        <v>1.69</v>
      </c>
      <c r="J390" s="23">
        <f t="shared" si="31"/>
        <v>1.69</v>
      </c>
      <c r="K390" s="12">
        <v>40195</v>
      </c>
      <c r="L390" s="24">
        <v>0.5083333333333333</v>
      </c>
      <c r="M390" t="s">
        <v>1013</v>
      </c>
      <c r="N390" s="15" t="str">
        <f t="shared" si="32"/>
        <v>12:12 PM</v>
      </c>
      <c r="O390" s="9" t="s">
        <v>9</v>
      </c>
      <c r="P390" s="20">
        <f t="shared" si="34"/>
        <v>3.38</v>
      </c>
    </row>
    <row r="391" spans="1:16" x14ac:dyDescent="0.25">
      <c r="A391" s="9">
        <v>15768</v>
      </c>
      <c r="B391" s="9">
        <v>21232</v>
      </c>
      <c r="C391" s="9" t="s">
        <v>463</v>
      </c>
      <c r="D391" s="17">
        <f t="shared" si="33"/>
        <v>4</v>
      </c>
      <c r="E391" s="10">
        <f t="shared" si="30"/>
        <v>4</v>
      </c>
      <c r="F391" s="11">
        <v>4</v>
      </c>
      <c r="G391" s="9">
        <v>498238</v>
      </c>
      <c r="H391" s="13">
        <v>40226.607638888891</v>
      </c>
      <c r="I391" s="14" t="s">
        <v>42</v>
      </c>
      <c r="J391" s="23">
        <f t="shared" si="31"/>
        <v>1.25</v>
      </c>
      <c r="K391" s="12">
        <v>40226</v>
      </c>
      <c r="L391" s="24">
        <v>0.1076388888888889</v>
      </c>
      <c r="M391" t="s">
        <v>1013</v>
      </c>
      <c r="N391" s="15" t="str">
        <f t="shared" si="32"/>
        <v>2:35 PM</v>
      </c>
      <c r="O391" s="9" t="s">
        <v>9</v>
      </c>
      <c r="P391" s="20">
        <f t="shared" si="34"/>
        <v>5</v>
      </c>
    </row>
    <row r="392" spans="1:16" x14ac:dyDescent="0.25">
      <c r="A392" s="9">
        <v>15325</v>
      </c>
      <c r="B392" s="9">
        <v>22224</v>
      </c>
      <c r="C392" s="9" t="s">
        <v>464</v>
      </c>
      <c r="D392" s="17">
        <f t="shared" si="33"/>
        <v>6</v>
      </c>
      <c r="E392" s="10">
        <f t="shared" si="30"/>
        <v>6</v>
      </c>
      <c r="F392" s="11">
        <v>6</v>
      </c>
      <c r="G392" s="9">
        <v>501718</v>
      </c>
      <c r="H392" s="13">
        <v>40256.444444444453</v>
      </c>
      <c r="I392" s="14">
        <v>2.95</v>
      </c>
      <c r="J392" s="23">
        <f t="shared" si="31"/>
        <v>2.95</v>
      </c>
      <c r="K392" s="12">
        <v>40256</v>
      </c>
      <c r="L392" s="24">
        <v>0.44444444444444442</v>
      </c>
      <c r="M392" t="s">
        <v>1014</v>
      </c>
      <c r="N392" s="15" t="str">
        <f t="shared" si="32"/>
        <v>10:40 AM</v>
      </c>
      <c r="O392" s="9" t="s">
        <v>9</v>
      </c>
      <c r="P392" s="20">
        <f t="shared" si="34"/>
        <v>17.700000000000003</v>
      </c>
    </row>
    <row r="393" spans="1:16" x14ac:dyDescent="0.25">
      <c r="A393" s="9">
        <v>14646</v>
      </c>
      <c r="B393" s="9">
        <v>21928</v>
      </c>
      <c r="C393" s="9" t="s">
        <v>442</v>
      </c>
      <c r="D393" s="17">
        <f t="shared" si="33"/>
        <v>100</v>
      </c>
      <c r="E393" s="10">
        <f t="shared" si="30"/>
        <v>100</v>
      </c>
      <c r="F393" s="11">
        <v>100</v>
      </c>
      <c r="G393" s="9">
        <v>502758</v>
      </c>
      <c r="H393" s="13">
        <v>40263.572916666657</v>
      </c>
      <c r="I393" s="14">
        <v>1.65</v>
      </c>
      <c r="J393" s="23">
        <f t="shared" si="31"/>
        <v>1.65</v>
      </c>
      <c r="K393" s="12">
        <v>40263</v>
      </c>
      <c r="L393" s="24">
        <v>7.2916666666666671E-2</v>
      </c>
      <c r="M393" t="s">
        <v>1013</v>
      </c>
      <c r="N393" s="15" t="str">
        <f t="shared" si="32"/>
        <v>1:45 PM</v>
      </c>
      <c r="O393" s="9" t="s">
        <v>116</v>
      </c>
      <c r="P393" s="20">
        <f t="shared" si="34"/>
        <v>165</v>
      </c>
    </row>
    <row r="394" spans="1:16" x14ac:dyDescent="0.25">
      <c r="A394" s="9">
        <v>12970</v>
      </c>
      <c r="B394" s="9">
        <v>21591</v>
      </c>
      <c r="C394" s="9" t="s">
        <v>465</v>
      </c>
      <c r="D394" s="17">
        <f t="shared" si="33"/>
        <v>2</v>
      </c>
      <c r="E394" s="10">
        <f t="shared" si="30"/>
        <v>2</v>
      </c>
      <c r="F394" s="11">
        <v>2</v>
      </c>
      <c r="G394" s="9">
        <v>534822</v>
      </c>
      <c r="H394" s="13">
        <v>40506.537499999999</v>
      </c>
      <c r="I394" s="14">
        <v>1.25</v>
      </c>
      <c r="J394" s="23">
        <f t="shared" si="31"/>
        <v>1.25</v>
      </c>
      <c r="K394" s="12">
        <v>40506</v>
      </c>
      <c r="L394" s="24">
        <v>0.53749999999999998</v>
      </c>
      <c r="M394" t="s">
        <v>1013</v>
      </c>
      <c r="N394" s="15" t="str">
        <f t="shared" si="32"/>
        <v>12:54 PM</v>
      </c>
      <c r="O394" s="9" t="s">
        <v>9</v>
      </c>
      <c r="P394" s="20">
        <f t="shared" si="34"/>
        <v>2.5</v>
      </c>
    </row>
    <row r="395" spans="1:16" x14ac:dyDescent="0.25">
      <c r="A395" s="9">
        <v>16016</v>
      </c>
      <c r="B395" s="9">
        <v>20764</v>
      </c>
      <c r="C395" s="9" t="s">
        <v>466</v>
      </c>
      <c r="D395" s="17">
        <f t="shared" si="33"/>
        <v>1</v>
      </c>
      <c r="E395" s="10">
        <f t="shared" si="30"/>
        <v>1</v>
      </c>
      <c r="F395" s="11">
        <v>1</v>
      </c>
      <c r="G395" s="9">
        <v>537773</v>
      </c>
      <c r="H395" s="13">
        <v>40520.525000000001</v>
      </c>
      <c r="I395" s="14">
        <v>3.75</v>
      </c>
      <c r="J395" s="23">
        <f t="shared" si="31"/>
        <v>3.75</v>
      </c>
      <c r="K395" s="12">
        <v>40520</v>
      </c>
      <c r="L395" s="24">
        <v>0.52500000000000002</v>
      </c>
      <c r="M395" t="s">
        <v>1013</v>
      </c>
      <c r="N395" s="15" t="str">
        <f t="shared" si="32"/>
        <v>12:36 PM</v>
      </c>
      <c r="O395" s="9" t="s">
        <v>9</v>
      </c>
      <c r="P395" s="20">
        <f t="shared" si="34"/>
        <v>3.75</v>
      </c>
    </row>
    <row r="396" spans="1:16" x14ac:dyDescent="0.25">
      <c r="A396" s="9">
        <v>14505</v>
      </c>
      <c r="B396" s="9">
        <v>21068</v>
      </c>
      <c r="C396" s="9" t="s">
        <v>467</v>
      </c>
      <c r="D396" s="17">
        <f t="shared" si="33"/>
        <v>2</v>
      </c>
      <c r="E396" s="10">
        <f t="shared" si="30"/>
        <v>2</v>
      </c>
      <c r="F396" s="11">
        <v>2</v>
      </c>
      <c r="G396" s="9">
        <v>491113</v>
      </c>
      <c r="H396" s="13">
        <v>40156.616666666669</v>
      </c>
      <c r="I396" s="14">
        <v>1.25</v>
      </c>
      <c r="J396" s="23">
        <f t="shared" si="31"/>
        <v>1.25</v>
      </c>
      <c r="K396" s="12">
        <v>40156</v>
      </c>
      <c r="L396" s="24">
        <v>0.11666666666666667</v>
      </c>
      <c r="M396" t="s">
        <v>1013</v>
      </c>
      <c r="N396" s="15" t="str">
        <f t="shared" si="32"/>
        <v>2:48 PM</v>
      </c>
      <c r="O396" s="9" t="s">
        <v>9</v>
      </c>
      <c r="P396" s="20">
        <f t="shared" si="34"/>
        <v>2.5</v>
      </c>
    </row>
    <row r="397" spans="1:16" x14ac:dyDescent="0.25">
      <c r="A397" s="9">
        <v>17769</v>
      </c>
      <c r="B397" s="9">
        <v>21976</v>
      </c>
      <c r="C397" s="9" t="s">
        <v>279</v>
      </c>
      <c r="D397" s="17">
        <f t="shared" si="33"/>
        <v>3</v>
      </c>
      <c r="E397" s="10">
        <f t="shared" si="30"/>
        <v>3</v>
      </c>
      <c r="F397" s="11">
        <v>3</v>
      </c>
      <c r="G397" s="9">
        <v>504139</v>
      </c>
      <c r="H397" s="13">
        <v>40279.525694444441</v>
      </c>
      <c r="I397" s="14">
        <v>0.55000000000000004</v>
      </c>
      <c r="J397" s="23">
        <f t="shared" si="31"/>
        <v>0.55000000000000004</v>
      </c>
      <c r="K397" s="12">
        <v>40279</v>
      </c>
      <c r="L397" s="24">
        <v>0.52569444444444446</v>
      </c>
      <c r="M397" t="s">
        <v>1013</v>
      </c>
      <c r="N397" s="15" t="str">
        <f t="shared" si="32"/>
        <v>12:37 PM</v>
      </c>
      <c r="O397" s="9" t="s">
        <v>9</v>
      </c>
      <c r="P397" s="20">
        <f t="shared" si="34"/>
        <v>1.6500000000000001</v>
      </c>
    </row>
    <row r="398" spans="1:16" x14ac:dyDescent="0.25">
      <c r="A398" s="9">
        <v>17508</v>
      </c>
      <c r="B398" s="9">
        <v>21697</v>
      </c>
      <c r="C398" s="9" t="s">
        <v>468</v>
      </c>
      <c r="D398" s="17">
        <f t="shared" si="33"/>
        <v>12</v>
      </c>
      <c r="E398" s="10">
        <f t="shared" si="30"/>
        <v>12</v>
      </c>
      <c r="F398" s="11">
        <v>12</v>
      </c>
      <c r="G398" s="9">
        <v>494473</v>
      </c>
      <c r="H398" s="13">
        <v>40192.620138888888</v>
      </c>
      <c r="I398" s="14">
        <v>1.69</v>
      </c>
      <c r="J398" s="23">
        <f t="shared" si="31"/>
        <v>1.69</v>
      </c>
      <c r="K398" s="12">
        <v>40192</v>
      </c>
      <c r="L398" s="24">
        <v>0.12013888888888889</v>
      </c>
      <c r="M398" t="s">
        <v>1013</v>
      </c>
      <c r="N398" s="15" t="str">
        <f t="shared" si="32"/>
        <v>2:53 PM</v>
      </c>
      <c r="O398" s="9" t="s">
        <v>339</v>
      </c>
      <c r="P398" s="20">
        <f t="shared" si="34"/>
        <v>20.28</v>
      </c>
    </row>
    <row r="399" spans="1:16" x14ac:dyDescent="0.25">
      <c r="A399" s="9">
        <v>16254</v>
      </c>
      <c r="B399" s="9">
        <v>22866</v>
      </c>
      <c r="C399" s="9" t="s">
        <v>469</v>
      </c>
      <c r="D399" s="17">
        <f t="shared" si="33"/>
        <v>1</v>
      </c>
      <c r="E399" s="10">
        <f t="shared" si="30"/>
        <v>1</v>
      </c>
      <c r="F399" s="11">
        <v>1</v>
      </c>
      <c r="G399" s="9">
        <v>535465</v>
      </c>
      <c r="H399" s="13">
        <v>40508.556944444441</v>
      </c>
      <c r="I399" s="14">
        <v>2.1</v>
      </c>
      <c r="J399" s="23">
        <f t="shared" si="31"/>
        <v>2.1</v>
      </c>
      <c r="K399" s="12">
        <v>40508</v>
      </c>
      <c r="L399" s="24">
        <v>5.6944444444444443E-2</v>
      </c>
      <c r="M399" t="s">
        <v>1013</v>
      </c>
      <c r="N399" s="15" t="str">
        <f t="shared" si="32"/>
        <v>1:22 PM</v>
      </c>
      <c r="O399" s="9" t="s">
        <v>9</v>
      </c>
      <c r="P399" s="20">
        <f t="shared" si="34"/>
        <v>2.1</v>
      </c>
    </row>
    <row r="400" spans="1:16" x14ac:dyDescent="0.25">
      <c r="A400" s="9">
        <v>16374</v>
      </c>
      <c r="B400" s="9" t="s">
        <v>353</v>
      </c>
      <c r="C400" s="9" t="s">
        <v>354</v>
      </c>
      <c r="D400" s="17">
        <f t="shared" si="33"/>
        <v>4</v>
      </c>
      <c r="E400" s="10">
        <f t="shared" si="30"/>
        <v>4</v>
      </c>
      <c r="F400" s="11">
        <v>4</v>
      </c>
      <c r="G400" s="9">
        <v>506572</v>
      </c>
      <c r="H400" s="13">
        <v>40298.548611111109</v>
      </c>
      <c r="I400" s="14">
        <v>0.85</v>
      </c>
      <c r="J400" s="23">
        <f t="shared" si="31"/>
        <v>0.85</v>
      </c>
      <c r="K400" s="12">
        <v>40298</v>
      </c>
      <c r="L400" s="24">
        <v>4.8611111111111112E-2</v>
      </c>
      <c r="M400" t="s">
        <v>1013</v>
      </c>
      <c r="N400" s="15" t="str">
        <f t="shared" si="32"/>
        <v>1:10 PM</v>
      </c>
      <c r="O400" s="9" t="s">
        <v>9</v>
      </c>
      <c r="P400" s="20">
        <f t="shared" si="34"/>
        <v>3.4</v>
      </c>
    </row>
    <row r="401" spans="1:16" x14ac:dyDescent="0.25">
      <c r="A401" s="9">
        <v>14508</v>
      </c>
      <c r="B401" s="9">
        <v>90096</v>
      </c>
      <c r="C401" s="9" t="s">
        <v>470</v>
      </c>
      <c r="D401" s="17">
        <f t="shared" si="33"/>
        <v>1</v>
      </c>
      <c r="E401" s="10">
        <f t="shared" si="30"/>
        <v>1</v>
      </c>
      <c r="F401" s="11">
        <v>1</v>
      </c>
      <c r="G401" s="9">
        <v>535748</v>
      </c>
      <c r="H401" s="13">
        <v>40510.556250000001</v>
      </c>
      <c r="I401" s="14">
        <v>2.5499999999999998</v>
      </c>
      <c r="J401" s="23">
        <f t="shared" si="31"/>
        <v>2.5499999999999998</v>
      </c>
      <c r="K401" s="12">
        <v>40510</v>
      </c>
      <c r="L401" s="24">
        <v>5.6250000000000001E-2</v>
      </c>
      <c r="M401" t="s">
        <v>1013</v>
      </c>
      <c r="N401" s="15" t="str">
        <f t="shared" si="32"/>
        <v>1:21 PM</v>
      </c>
      <c r="O401" s="9" t="s">
        <v>9</v>
      </c>
      <c r="P401" s="20">
        <f t="shared" si="34"/>
        <v>2.5499999999999998</v>
      </c>
    </row>
    <row r="402" spans="1:16" x14ac:dyDescent="0.25">
      <c r="A402" s="9">
        <v>12839</v>
      </c>
      <c r="B402" s="9">
        <v>22444</v>
      </c>
      <c r="C402" s="16" t="s">
        <v>979</v>
      </c>
      <c r="D402" s="17">
        <f t="shared" si="33"/>
        <v>24</v>
      </c>
      <c r="E402" s="10">
        <f t="shared" si="30"/>
        <v>24</v>
      </c>
      <c r="F402" s="11">
        <v>24</v>
      </c>
      <c r="G402" s="9">
        <v>506262</v>
      </c>
      <c r="H402" s="13">
        <v>40296.614583333343</v>
      </c>
      <c r="I402" s="14">
        <v>1.25</v>
      </c>
      <c r="J402" s="23">
        <f t="shared" si="31"/>
        <v>1.25</v>
      </c>
      <c r="K402" s="12">
        <v>40296</v>
      </c>
      <c r="L402" s="24">
        <v>0.11458333333333333</v>
      </c>
      <c r="M402" t="s">
        <v>1013</v>
      </c>
      <c r="N402" s="15" t="str">
        <f t="shared" si="32"/>
        <v>2:45 PM</v>
      </c>
      <c r="O402" s="9" t="s">
        <v>9</v>
      </c>
      <c r="P402" s="20">
        <f t="shared" si="34"/>
        <v>30</v>
      </c>
    </row>
    <row r="403" spans="1:16" x14ac:dyDescent="0.25">
      <c r="A403" s="9">
        <v>17226</v>
      </c>
      <c r="B403" s="9">
        <v>84212</v>
      </c>
      <c r="C403" s="9" t="s">
        <v>471</v>
      </c>
      <c r="D403" s="17">
        <f t="shared" si="33"/>
        <v>60</v>
      </c>
      <c r="E403" s="10">
        <f t="shared" si="30"/>
        <v>60</v>
      </c>
      <c r="F403" s="11">
        <v>60</v>
      </c>
      <c r="G403" s="9">
        <v>497808</v>
      </c>
      <c r="H403" s="13">
        <v>40221.604861111111</v>
      </c>
      <c r="I403" s="14">
        <v>0.65</v>
      </c>
      <c r="J403" s="23">
        <f t="shared" si="31"/>
        <v>0.65</v>
      </c>
      <c r="K403" s="12">
        <v>40221</v>
      </c>
      <c r="L403" s="24">
        <v>0.10486111111111111</v>
      </c>
      <c r="M403" t="s">
        <v>1013</v>
      </c>
      <c r="N403" s="15" t="str">
        <f t="shared" si="32"/>
        <v>2:31 PM</v>
      </c>
      <c r="O403" s="9" t="s">
        <v>9</v>
      </c>
      <c r="P403" s="20">
        <f t="shared" si="34"/>
        <v>39</v>
      </c>
    </row>
    <row r="404" spans="1:16" x14ac:dyDescent="0.25">
      <c r="A404" s="9">
        <v>14540</v>
      </c>
      <c r="B404" s="9">
        <v>79000</v>
      </c>
      <c r="C404" s="9" t="s">
        <v>472</v>
      </c>
      <c r="D404" s="17">
        <f t="shared" si="33"/>
        <v>24</v>
      </c>
      <c r="E404" s="10">
        <f t="shared" si="30"/>
        <v>24</v>
      </c>
      <c r="F404" s="11">
        <v>24</v>
      </c>
      <c r="G404" s="9">
        <v>514344</v>
      </c>
      <c r="H404" s="13">
        <v>40360.630555555559</v>
      </c>
      <c r="I404" s="14">
        <v>0.85</v>
      </c>
      <c r="J404" s="23">
        <f t="shared" si="31"/>
        <v>0.85</v>
      </c>
      <c r="K404" s="12">
        <v>40360</v>
      </c>
      <c r="L404" s="24">
        <v>0.13055555555555556</v>
      </c>
      <c r="M404" t="s">
        <v>1013</v>
      </c>
      <c r="N404" s="15" t="str">
        <f t="shared" si="32"/>
        <v>3:08 PM</v>
      </c>
      <c r="O404" s="9" t="s">
        <v>9</v>
      </c>
      <c r="P404" s="20">
        <f t="shared" si="34"/>
        <v>20.399999999999999</v>
      </c>
    </row>
    <row r="405" spans="1:16" x14ac:dyDescent="0.25">
      <c r="A405" s="9">
        <v>17686</v>
      </c>
      <c r="B405" s="9">
        <v>22061</v>
      </c>
      <c r="C405" s="9" t="s">
        <v>473</v>
      </c>
      <c r="D405" s="17">
        <f t="shared" si="33"/>
        <v>4</v>
      </c>
      <c r="E405" s="10">
        <f t="shared" si="30"/>
        <v>4</v>
      </c>
      <c r="F405" s="11">
        <v>4</v>
      </c>
      <c r="G405" s="9">
        <v>513335</v>
      </c>
      <c r="H405" s="13">
        <v>40353.40902777778</v>
      </c>
      <c r="I405" s="14">
        <v>9.9499999999999993</v>
      </c>
      <c r="J405" s="23">
        <f t="shared" si="31"/>
        <v>9.9499999999999993</v>
      </c>
      <c r="K405" s="12">
        <v>40353</v>
      </c>
      <c r="L405" s="24">
        <v>0.40902777777777777</v>
      </c>
      <c r="M405" t="s">
        <v>1014</v>
      </c>
      <c r="N405" s="15" t="str">
        <f t="shared" si="32"/>
        <v>9:49 AM</v>
      </c>
      <c r="O405" s="9" t="s">
        <v>9</v>
      </c>
      <c r="P405" s="20">
        <f t="shared" si="34"/>
        <v>39.799999999999997</v>
      </c>
    </row>
    <row r="406" spans="1:16" x14ac:dyDescent="0.25">
      <c r="A406" s="9">
        <v>14293</v>
      </c>
      <c r="B406" s="9">
        <v>21934</v>
      </c>
      <c r="C406" s="9" t="s">
        <v>474</v>
      </c>
      <c r="D406" s="17">
        <f t="shared" si="33"/>
        <v>10</v>
      </c>
      <c r="E406" s="10">
        <f t="shared" si="30"/>
        <v>10</v>
      </c>
      <c r="F406" s="11">
        <v>10</v>
      </c>
      <c r="G406" s="9">
        <v>534109</v>
      </c>
      <c r="H406" s="13">
        <v>40503.506249999999</v>
      </c>
      <c r="I406" s="14">
        <v>1.65</v>
      </c>
      <c r="J406" s="23">
        <f t="shared" si="31"/>
        <v>1.65</v>
      </c>
      <c r="K406" s="12">
        <v>40503</v>
      </c>
      <c r="L406" s="24">
        <v>0.50624999999999998</v>
      </c>
      <c r="M406" t="s">
        <v>1013</v>
      </c>
      <c r="N406" s="15" t="str">
        <f t="shared" si="32"/>
        <v>12:09 PM</v>
      </c>
      <c r="O406" s="9" t="s">
        <v>9</v>
      </c>
      <c r="P406" s="20">
        <f t="shared" si="34"/>
        <v>16.5</v>
      </c>
    </row>
    <row r="407" spans="1:16" x14ac:dyDescent="0.25">
      <c r="A407" s="9">
        <v>14052</v>
      </c>
      <c r="B407" s="9">
        <v>22632</v>
      </c>
      <c r="C407" s="9" t="s">
        <v>475</v>
      </c>
      <c r="D407" s="17">
        <f t="shared" si="33"/>
        <v>1</v>
      </c>
      <c r="E407" s="10">
        <f t="shared" si="30"/>
        <v>1</v>
      </c>
      <c r="F407" s="11">
        <v>1</v>
      </c>
      <c r="G407" s="9">
        <v>532665</v>
      </c>
      <c r="H407" s="13">
        <v>40496.484027777777</v>
      </c>
      <c r="I407" s="14">
        <v>2.1</v>
      </c>
      <c r="J407" s="23">
        <f t="shared" si="31"/>
        <v>2.1</v>
      </c>
      <c r="K407" s="12">
        <v>40496</v>
      </c>
      <c r="L407" s="24">
        <v>0.48402777777777778</v>
      </c>
      <c r="M407" t="s">
        <v>1014</v>
      </c>
      <c r="N407" s="15" t="str">
        <f t="shared" si="32"/>
        <v>11:37 AM</v>
      </c>
      <c r="O407" s="9" t="s">
        <v>9</v>
      </c>
      <c r="P407" s="20">
        <f t="shared" si="34"/>
        <v>2.1</v>
      </c>
    </row>
    <row r="408" spans="1:16" x14ac:dyDescent="0.25">
      <c r="A408" s="9">
        <v>16089</v>
      </c>
      <c r="B408" s="9">
        <v>21892</v>
      </c>
      <c r="C408" s="9" t="s">
        <v>86</v>
      </c>
      <c r="D408" s="17">
        <f t="shared" si="33"/>
        <v>1</v>
      </c>
      <c r="E408" s="10">
        <f t="shared" si="30"/>
        <v>1</v>
      </c>
      <c r="F408" s="11">
        <v>1</v>
      </c>
      <c r="G408" s="9">
        <v>533736</v>
      </c>
      <c r="H408" s="13">
        <v>40500.57708333333</v>
      </c>
      <c r="I408" s="14">
        <v>1.25</v>
      </c>
      <c r="J408" s="23">
        <f t="shared" si="31"/>
        <v>1.25</v>
      </c>
      <c r="K408" s="12">
        <v>40500</v>
      </c>
      <c r="L408" s="24">
        <v>7.7083333333333337E-2</v>
      </c>
      <c r="M408" t="s">
        <v>1013</v>
      </c>
      <c r="N408" s="15" t="str">
        <f t="shared" si="32"/>
        <v>1:51 PM</v>
      </c>
      <c r="O408" s="9" t="s">
        <v>9</v>
      </c>
      <c r="P408" s="20">
        <f t="shared" si="34"/>
        <v>1.25</v>
      </c>
    </row>
    <row r="409" spans="1:16" x14ac:dyDescent="0.25">
      <c r="A409" s="9">
        <v>14667</v>
      </c>
      <c r="B409" s="9">
        <v>22465</v>
      </c>
      <c r="C409" s="9" t="s">
        <v>476</v>
      </c>
      <c r="D409" s="17">
        <f t="shared" si="33"/>
        <v>6</v>
      </c>
      <c r="E409" s="10">
        <f t="shared" si="30"/>
        <v>6</v>
      </c>
      <c r="F409" s="11">
        <v>6</v>
      </c>
      <c r="G409" s="9">
        <v>521791</v>
      </c>
      <c r="H409" s="13">
        <v>40429.5625</v>
      </c>
      <c r="I409" s="14">
        <v>1.65</v>
      </c>
      <c r="J409" s="23">
        <f t="shared" si="31"/>
        <v>1.65</v>
      </c>
      <c r="K409" s="12">
        <v>40429</v>
      </c>
      <c r="L409" s="24">
        <v>6.25E-2</v>
      </c>
      <c r="M409" t="s">
        <v>1013</v>
      </c>
      <c r="N409" s="15" t="str">
        <f t="shared" si="32"/>
        <v>1:30 PM</v>
      </c>
      <c r="O409" s="9" t="s">
        <v>9</v>
      </c>
      <c r="P409" s="20">
        <f t="shared" si="34"/>
        <v>9.8999999999999986</v>
      </c>
    </row>
    <row r="410" spans="1:16" x14ac:dyDescent="0.25">
      <c r="A410" s="9">
        <v>17784</v>
      </c>
      <c r="B410" s="9">
        <v>22431</v>
      </c>
      <c r="C410" s="9" t="s">
        <v>477</v>
      </c>
      <c r="D410" s="17">
        <f t="shared" si="33"/>
        <v>1</v>
      </c>
      <c r="E410" s="10">
        <f t="shared" si="30"/>
        <v>1</v>
      </c>
      <c r="F410" s="11">
        <v>1</v>
      </c>
      <c r="G410" s="9">
        <v>511310</v>
      </c>
      <c r="H410" s="13">
        <v>40336.672222222223</v>
      </c>
      <c r="I410" s="14">
        <v>1.95</v>
      </c>
      <c r="J410" s="23">
        <f t="shared" si="31"/>
        <v>1.95</v>
      </c>
      <c r="K410" s="12">
        <v>40336</v>
      </c>
      <c r="L410" s="24">
        <v>0.17222222222222222</v>
      </c>
      <c r="M410" t="s">
        <v>1013</v>
      </c>
      <c r="N410" s="15" t="str">
        <f t="shared" si="32"/>
        <v>4:08 PM</v>
      </c>
      <c r="O410" s="9" t="s">
        <v>9</v>
      </c>
      <c r="P410" s="20">
        <f t="shared" si="34"/>
        <v>1.95</v>
      </c>
    </row>
    <row r="411" spans="1:16" x14ac:dyDescent="0.25">
      <c r="A411" s="9">
        <v>12748</v>
      </c>
      <c r="B411" s="9">
        <v>21351</v>
      </c>
      <c r="C411" s="9" t="s">
        <v>478</v>
      </c>
      <c r="D411" s="17">
        <f t="shared" si="33"/>
        <v>18</v>
      </c>
      <c r="E411" s="10">
        <f t="shared" si="30"/>
        <v>18</v>
      </c>
      <c r="F411" s="11">
        <v>18</v>
      </c>
      <c r="G411" s="9">
        <v>537136</v>
      </c>
      <c r="H411" s="13">
        <v>40517.529166666667</v>
      </c>
      <c r="I411" s="14">
        <v>5.95</v>
      </c>
      <c r="J411" s="23">
        <f t="shared" si="31"/>
        <v>5.95</v>
      </c>
      <c r="K411" s="12">
        <v>40517</v>
      </c>
      <c r="L411" s="24">
        <v>0.52916666666666667</v>
      </c>
      <c r="M411" t="s">
        <v>1013</v>
      </c>
      <c r="N411" s="15" t="str">
        <f t="shared" si="32"/>
        <v>12:42 PM</v>
      </c>
      <c r="O411" s="9" t="s">
        <v>9</v>
      </c>
      <c r="P411" s="20">
        <f t="shared" si="34"/>
        <v>107.10000000000001</v>
      </c>
    </row>
    <row r="412" spans="1:16" x14ac:dyDescent="0.25">
      <c r="A412" s="9">
        <v>14606</v>
      </c>
      <c r="B412" s="9">
        <v>84380</v>
      </c>
      <c r="C412" s="9" t="s">
        <v>126</v>
      </c>
      <c r="D412" s="17">
        <f t="shared" si="33"/>
        <v>1</v>
      </c>
      <c r="E412" s="10">
        <f t="shared" si="30"/>
        <v>1</v>
      </c>
      <c r="F412" s="11">
        <v>1</v>
      </c>
      <c r="G412" s="9">
        <v>534216</v>
      </c>
      <c r="H412" s="13">
        <v>40503.672222222223</v>
      </c>
      <c r="I412" s="14">
        <v>1.25</v>
      </c>
      <c r="J412" s="23">
        <f t="shared" si="31"/>
        <v>1.25</v>
      </c>
      <c r="K412" s="12">
        <v>40503</v>
      </c>
      <c r="L412" s="24">
        <v>0.17222222222222222</v>
      </c>
      <c r="M412" t="s">
        <v>1013</v>
      </c>
      <c r="N412" s="15" t="str">
        <f t="shared" si="32"/>
        <v>4:08 PM</v>
      </c>
      <c r="O412" s="9" t="s">
        <v>9</v>
      </c>
      <c r="P412" s="20">
        <f t="shared" si="34"/>
        <v>1.25</v>
      </c>
    </row>
    <row r="413" spans="1:16" x14ac:dyDescent="0.25">
      <c r="A413" s="9">
        <v>16422</v>
      </c>
      <c r="B413" s="9">
        <v>22127</v>
      </c>
      <c r="C413" s="9" t="s">
        <v>479</v>
      </c>
      <c r="D413" s="17">
        <f t="shared" si="33"/>
        <v>120</v>
      </c>
      <c r="E413" s="10">
        <f t="shared" si="30"/>
        <v>120</v>
      </c>
      <c r="F413" s="11">
        <v>120</v>
      </c>
      <c r="G413" s="9">
        <v>514797</v>
      </c>
      <c r="H413" s="13">
        <v>40365.442361111112</v>
      </c>
      <c r="I413" s="14">
        <v>1.06</v>
      </c>
      <c r="J413" s="23">
        <f t="shared" si="31"/>
        <v>1.06</v>
      </c>
      <c r="K413" s="12">
        <v>40365</v>
      </c>
      <c r="L413" s="24">
        <v>0.44236111111111109</v>
      </c>
      <c r="M413" t="s">
        <v>1014</v>
      </c>
      <c r="N413" s="15" t="str">
        <f t="shared" si="32"/>
        <v>10:37 AM</v>
      </c>
      <c r="O413" s="9" t="s">
        <v>9</v>
      </c>
      <c r="P413" s="20">
        <f t="shared" si="34"/>
        <v>127.2</v>
      </c>
    </row>
    <row r="414" spans="1:16" x14ac:dyDescent="0.25">
      <c r="A414" s="9">
        <v>17567</v>
      </c>
      <c r="B414" s="9">
        <v>22077</v>
      </c>
      <c r="C414" s="9" t="s">
        <v>196</v>
      </c>
      <c r="D414" s="17">
        <f t="shared" si="33"/>
        <v>12</v>
      </c>
      <c r="E414" s="10">
        <f t="shared" si="30"/>
        <v>12</v>
      </c>
      <c r="F414" s="11">
        <v>12</v>
      </c>
      <c r="G414" s="9">
        <v>536782</v>
      </c>
      <c r="H414" s="13">
        <v>40514.637499999997</v>
      </c>
      <c r="I414" s="14">
        <v>1.65</v>
      </c>
      <c r="J414" s="23">
        <f t="shared" si="31"/>
        <v>1.65</v>
      </c>
      <c r="K414" s="12">
        <v>40514</v>
      </c>
      <c r="L414" s="24">
        <v>0.13750000000000001</v>
      </c>
      <c r="M414" t="s">
        <v>1013</v>
      </c>
      <c r="N414" s="15" t="str">
        <f t="shared" si="32"/>
        <v>3:18 PM</v>
      </c>
      <c r="O414" s="9" t="s">
        <v>9</v>
      </c>
      <c r="P414" s="20">
        <f t="shared" si="34"/>
        <v>19.799999999999997</v>
      </c>
    </row>
    <row r="415" spans="1:16" x14ac:dyDescent="0.25">
      <c r="A415" s="9">
        <v>14599</v>
      </c>
      <c r="B415" s="9">
        <v>21707</v>
      </c>
      <c r="C415" s="9" t="s">
        <v>480</v>
      </c>
      <c r="D415" s="17">
        <f t="shared" si="33"/>
        <v>2</v>
      </c>
      <c r="E415" s="10">
        <f t="shared" si="30"/>
        <v>2</v>
      </c>
      <c r="F415" s="11">
        <v>2</v>
      </c>
      <c r="G415" s="9">
        <v>532799</v>
      </c>
      <c r="H415" s="13">
        <v>40496.617361111108</v>
      </c>
      <c r="I415" s="14">
        <v>4.95</v>
      </c>
      <c r="J415" s="23">
        <f t="shared" si="31"/>
        <v>4.95</v>
      </c>
      <c r="K415" s="12">
        <v>40496</v>
      </c>
      <c r="L415" s="24">
        <v>0.11736111111111111</v>
      </c>
      <c r="M415" t="s">
        <v>1013</v>
      </c>
      <c r="N415" s="15" t="str">
        <f t="shared" si="32"/>
        <v>2:49 PM</v>
      </c>
      <c r="O415" s="9" t="s">
        <v>9</v>
      </c>
      <c r="P415" s="20">
        <f t="shared" si="34"/>
        <v>9.9</v>
      </c>
    </row>
    <row r="416" spans="1:16" x14ac:dyDescent="0.25">
      <c r="A416" s="9">
        <v>14508</v>
      </c>
      <c r="B416" s="9">
        <v>22482</v>
      </c>
      <c r="C416" s="9" t="s">
        <v>310</v>
      </c>
      <c r="D416" s="17">
        <f t="shared" si="33"/>
        <v>1</v>
      </c>
      <c r="E416" s="10">
        <f t="shared" si="30"/>
        <v>1</v>
      </c>
      <c r="F416" s="11">
        <v>1</v>
      </c>
      <c r="G416" s="9">
        <v>512725</v>
      </c>
      <c r="H416" s="13">
        <v>40346.54791666667</v>
      </c>
      <c r="I416" s="14">
        <v>1.25</v>
      </c>
      <c r="J416" s="23">
        <f t="shared" si="31"/>
        <v>1.25</v>
      </c>
      <c r="K416" s="12">
        <v>40346</v>
      </c>
      <c r="L416" s="24">
        <v>4.791666666666667E-2</v>
      </c>
      <c r="M416" t="s">
        <v>1013</v>
      </c>
      <c r="N416" s="15" t="str">
        <f t="shared" si="32"/>
        <v>1:09 PM</v>
      </c>
      <c r="O416" s="9" t="s">
        <v>9</v>
      </c>
      <c r="P416" s="20">
        <f t="shared" si="34"/>
        <v>1.25</v>
      </c>
    </row>
    <row r="417" spans="1:16" x14ac:dyDescent="0.25">
      <c r="A417" s="9">
        <v>16141</v>
      </c>
      <c r="B417" s="9" t="s">
        <v>482</v>
      </c>
      <c r="C417" s="9" t="s">
        <v>483</v>
      </c>
      <c r="D417" s="17">
        <f t="shared" si="33"/>
        <v>4</v>
      </c>
      <c r="E417" s="10">
        <f t="shared" si="30"/>
        <v>4</v>
      </c>
      <c r="F417" s="11">
        <v>4</v>
      </c>
      <c r="G417" s="9">
        <v>527657</v>
      </c>
      <c r="H417" s="13">
        <v>40469.591666666667</v>
      </c>
      <c r="I417" s="14">
        <v>3.75</v>
      </c>
      <c r="J417" s="23">
        <f t="shared" si="31"/>
        <v>3.75</v>
      </c>
      <c r="K417" s="12">
        <v>40469</v>
      </c>
      <c r="L417" s="24">
        <v>9.166666666666666E-2</v>
      </c>
      <c r="M417" t="s">
        <v>1013</v>
      </c>
      <c r="N417" s="15" t="str">
        <f t="shared" si="32"/>
        <v>2:12 PM</v>
      </c>
      <c r="O417" s="9" t="s">
        <v>9</v>
      </c>
      <c r="P417" s="20">
        <f t="shared" si="34"/>
        <v>15</v>
      </c>
    </row>
    <row r="418" spans="1:16" x14ac:dyDescent="0.25">
      <c r="A418" s="9">
        <v>16779</v>
      </c>
      <c r="B418" s="9" t="s">
        <v>484</v>
      </c>
      <c r="C418" s="9" t="s">
        <v>485</v>
      </c>
      <c r="D418" s="17">
        <f t="shared" si="33"/>
        <v>6</v>
      </c>
      <c r="E418" s="10">
        <f t="shared" si="30"/>
        <v>6</v>
      </c>
      <c r="F418" s="11">
        <v>6</v>
      </c>
      <c r="G418" s="9">
        <v>492358</v>
      </c>
      <c r="H418" s="13">
        <v>40163.556944444441</v>
      </c>
      <c r="I418" s="14">
        <v>4.25</v>
      </c>
      <c r="J418" s="23">
        <f t="shared" si="31"/>
        <v>4.25</v>
      </c>
      <c r="K418" s="12">
        <v>40163</v>
      </c>
      <c r="L418" s="24">
        <v>5.6944444444444443E-2</v>
      </c>
      <c r="M418" t="s">
        <v>1013</v>
      </c>
      <c r="N418" s="15" t="str">
        <f t="shared" si="32"/>
        <v>1:22 PM</v>
      </c>
      <c r="O418" s="9" t="s">
        <v>9</v>
      </c>
      <c r="P418" s="20">
        <f t="shared" si="34"/>
        <v>25.5</v>
      </c>
    </row>
    <row r="419" spans="1:16" x14ac:dyDescent="0.25">
      <c r="A419" s="9">
        <v>17841</v>
      </c>
      <c r="B419" s="9">
        <v>20652</v>
      </c>
      <c r="C419" s="9" t="s">
        <v>486</v>
      </c>
      <c r="D419" s="17">
        <f t="shared" si="33"/>
        <v>1</v>
      </c>
      <c r="E419" s="10">
        <f t="shared" si="30"/>
        <v>1</v>
      </c>
      <c r="F419" s="11">
        <v>1</v>
      </c>
      <c r="G419" s="9">
        <v>501280</v>
      </c>
      <c r="H419" s="13">
        <v>40252.592361111107</v>
      </c>
      <c r="I419" s="14">
        <v>1.25</v>
      </c>
      <c r="J419" s="23">
        <f t="shared" si="31"/>
        <v>1.25</v>
      </c>
      <c r="K419" s="12">
        <v>40252</v>
      </c>
      <c r="L419" s="24">
        <v>9.2361111111111116E-2</v>
      </c>
      <c r="M419" t="s">
        <v>1013</v>
      </c>
      <c r="N419" s="15" t="str">
        <f t="shared" si="32"/>
        <v>2:13 PM</v>
      </c>
      <c r="O419" s="9" t="s">
        <v>9</v>
      </c>
      <c r="P419" s="20">
        <f t="shared" si="34"/>
        <v>1.25</v>
      </c>
    </row>
    <row r="420" spans="1:16" x14ac:dyDescent="0.25">
      <c r="A420" s="9">
        <v>16029</v>
      </c>
      <c r="B420" s="9">
        <v>22063</v>
      </c>
      <c r="C420" s="9" t="s">
        <v>487</v>
      </c>
      <c r="D420" s="17">
        <f t="shared" si="33"/>
        <v>72</v>
      </c>
      <c r="E420" s="10">
        <f t="shared" si="30"/>
        <v>72</v>
      </c>
      <c r="F420" s="11">
        <v>72</v>
      </c>
      <c r="G420" s="9">
        <v>497742</v>
      </c>
      <c r="H420" s="13">
        <v>40221.447916666657</v>
      </c>
      <c r="I420" s="14">
        <v>2.5499999999999998</v>
      </c>
      <c r="J420" s="23">
        <f t="shared" si="31"/>
        <v>2.5499999999999998</v>
      </c>
      <c r="K420" s="12">
        <v>40221</v>
      </c>
      <c r="L420" s="24">
        <v>0.44791666666666669</v>
      </c>
      <c r="M420" t="s">
        <v>1014</v>
      </c>
      <c r="N420" s="15" t="str">
        <f t="shared" si="32"/>
        <v>10:45 AM</v>
      </c>
      <c r="O420" s="9" t="s">
        <v>9</v>
      </c>
      <c r="P420" s="20">
        <f t="shared" si="34"/>
        <v>183.6</v>
      </c>
    </row>
    <row r="421" spans="1:16" x14ac:dyDescent="0.25">
      <c r="A421" s="9">
        <v>15270</v>
      </c>
      <c r="B421" s="9">
        <v>22589</v>
      </c>
      <c r="C421" s="9" t="s">
        <v>488</v>
      </c>
      <c r="D421" s="17">
        <f t="shared" si="33"/>
        <v>12</v>
      </c>
      <c r="E421" s="10">
        <f t="shared" si="30"/>
        <v>12</v>
      </c>
      <c r="F421" s="11">
        <v>12</v>
      </c>
      <c r="G421" s="9">
        <v>524152</v>
      </c>
      <c r="H421" s="13">
        <v>40448.654861111107</v>
      </c>
      <c r="I421" s="14">
        <v>2.5499999999999998</v>
      </c>
      <c r="J421" s="23">
        <f t="shared" si="31"/>
        <v>2.5499999999999998</v>
      </c>
      <c r="K421" s="12">
        <v>40448</v>
      </c>
      <c r="L421" s="24">
        <v>0.15486111111111112</v>
      </c>
      <c r="M421" t="s">
        <v>1013</v>
      </c>
      <c r="N421" s="15" t="str">
        <f t="shared" si="32"/>
        <v>3:43 PM</v>
      </c>
      <c r="O421" s="9" t="s">
        <v>9</v>
      </c>
      <c r="P421" s="20">
        <f t="shared" si="34"/>
        <v>30.599999999999998</v>
      </c>
    </row>
    <row r="422" spans="1:16" x14ac:dyDescent="0.25">
      <c r="A422" s="9">
        <v>15311</v>
      </c>
      <c r="B422" s="9">
        <v>21955</v>
      </c>
      <c r="C422" s="9" t="s">
        <v>489</v>
      </c>
      <c r="D422" s="17">
        <f t="shared" si="33"/>
        <v>10</v>
      </c>
      <c r="E422" s="10">
        <f t="shared" si="30"/>
        <v>10</v>
      </c>
      <c r="F422" s="11">
        <v>10</v>
      </c>
      <c r="G422" s="9">
        <v>489514</v>
      </c>
      <c r="H422" s="13">
        <v>40148.472916666673</v>
      </c>
      <c r="I422" s="14">
        <v>5.95</v>
      </c>
      <c r="J422" s="23">
        <f t="shared" si="31"/>
        <v>5.95</v>
      </c>
      <c r="K422" s="12">
        <v>40148</v>
      </c>
      <c r="L422" s="24">
        <v>0.47291666666666665</v>
      </c>
      <c r="M422" t="s">
        <v>1014</v>
      </c>
      <c r="N422" s="15" t="str">
        <f t="shared" si="32"/>
        <v>11:21 AM</v>
      </c>
      <c r="O422" s="9" t="s">
        <v>9</v>
      </c>
      <c r="P422" s="20">
        <f t="shared" si="34"/>
        <v>59.5</v>
      </c>
    </row>
    <row r="423" spans="1:16" x14ac:dyDescent="0.25">
      <c r="A423" s="9">
        <v>13804</v>
      </c>
      <c r="B423" s="9">
        <v>21445</v>
      </c>
      <c r="C423" s="9" t="s">
        <v>490</v>
      </c>
      <c r="D423" s="17">
        <f t="shared" si="33"/>
        <v>12</v>
      </c>
      <c r="E423" s="10">
        <f t="shared" si="30"/>
        <v>12</v>
      </c>
      <c r="F423" s="11">
        <v>12</v>
      </c>
      <c r="G423" s="9">
        <v>524421</v>
      </c>
      <c r="H423" s="13">
        <v>40450.43472222222</v>
      </c>
      <c r="I423" s="14">
        <v>1.25</v>
      </c>
      <c r="J423" s="23">
        <f t="shared" si="31"/>
        <v>1.25</v>
      </c>
      <c r="K423" s="12">
        <v>40450</v>
      </c>
      <c r="L423" s="24">
        <v>0.43472222222222223</v>
      </c>
      <c r="M423" t="s">
        <v>1014</v>
      </c>
      <c r="N423" s="15" t="str">
        <f t="shared" si="32"/>
        <v>10:26 AM</v>
      </c>
      <c r="O423" s="9" t="s">
        <v>9</v>
      </c>
      <c r="P423" s="20">
        <f t="shared" si="34"/>
        <v>15</v>
      </c>
    </row>
    <row r="424" spans="1:16" x14ac:dyDescent="0.25">
      <c r="A424" s="9">
        <v>13381</v>
      </c>
      <c r="B424" s="9">
        <v>22138</v>
      </c>
      <c r="C424" s="9" t="s">
        <v>978</v>
      </c>
      <c r="D424" s="17">
        <f t="shared" si="33"/>
        <v>6</v>
      </c>
      <c r="E424" s="10">
        <f t="shared" si="30"/>
        <v>6</v>
      </c>
      <c r="F424" s="11">
        <v>6</v>
      </c>
      <c r="G424" s="9">
        <v>498047</v>
      </c>
      <c r="H424" s="13">
        <v>40225.447916666657</v>
      </c>
      <c r="I424" s="14">
        <v>4.95</v>
      </c>
      <c r="J424" s="23">
        <f t="shared" si="31"/>
        <v>4.95</v>
      </c>
      <c r="K424" s="12">
        <v>40225</v>
      </c>
      <c r="L424" s="24">
        <v>0.44791666666666669</v>
      </c>
      <c r="M424" t="s">
        <v>1014</v>
      </c>
      <c r="N424" s="15" t="str">
        <f t="shared" si="32"/>
        <v>10:45 AM</v>
      </c>
      <c r="O424" s="9" t="s">
        <v>9</v>
      </c>
      <c r="P424" s="20">
        <f t="shared" si="34"/>
        <v>29.700000000000003</v>
      </c>
    </row>
    <row r="425" spans="1:16" x14ac:dyDescent="0.25">
      <c r="A425" s="9">
        <v>15862</v>
      </c>
      <c r="B425" s="9">
        <v>21915</v>
      </c>
      <c r="C425" s="9" t="s">
        <v>347</v>
      </c>
      <c r="D425" s="17">
        <f t="shared" si="33"/>
        <v>12</v>
      </c>
      <c r="E425" s="10">
        <f t="shared" si="30"/>
        <v>12</v>
      </c>
      <c r="F425" s="11">
        <v>12</v>
      </c>
      <c r="G425" s="9">
        <v>507889</v>
      </c>
      <c r="H425" s="13">
        <v>40309.690972222219</v>
      </c>
      <c r="I425" s="14">
        <v>1.25</v>
      </c>
      <c r="J425" s="23">
        <f t="shared" si="31"/>
        <v>1.25</v>
      </c>
      <c r="K425" s="12">
        <v>40309</v>
      </c>
      <c r="L425" s="24">
        <v>0.19097222222222221</v>
      </c>
      <c r="M425" t="s">
        <v>1013</v>
      </c>
      <c r="N425" s="15" t="str">
        <f t="shared" si="32"/>
        <v>4:35 PM</v>
      </c>
      <c r="O425" s="9" t="s">
        <v>9</v>
      </c>
      <c r="P425" s="20">
        <f t="shared" si="34"/>
        <v>15</v>
      </c>
    </row>
    <row r="426" spans="1:16" x14ac:dyDescent="0.25">
      <c r="A426" s="9">
        <v>16229</v>
      </c>
      <c r="B426" s="9">
        <v>22350</v>
      </c>
      <c r="C426" s="9" t="s">
        <v>491</v>
      </c>
      <c r="D426" s="17">
        <f t="shared" si="33"/>
        <v>6</v>
      </c>
      <c r="E426" s="10">
        <f t="shared" si="30"/>
        <v>6</v>
      </c>
      <c r="F426" s="11">
        <v>6</v>
      </c>
      <c r="G426" s="9">
        <v>534517</v>
      </c>
      <c r="H426" s="13">
        <v>40505.500694444447</v>
      </c>
      <c r="I426" s="14">
        <v>2.5499999999999998</v>
      </c>
      <c r="J426" s="23">
        <f t="shared" si="31"/>
        <v>2.5499999999999998</v>
      </c>
      <c r="K426" s="12">
        <v>40505</v>
      </c>
      <c r="L426" s="24">
        <v>0.50069444444444444</v>
      </c>
      <c r="M426" t="s">
        <v>1013</v>
      </c>
      <c r="N426" s="15" t="str">
        <f t="shared" si="32"/>
        <v>12:01 PM</v>
      </c>
      <c r="O426" s="9" t="s">
        <v>9</v>
      </c>
      <c r="P426" s="20">
        <f t="shared" si="34"/>
        <v>15.299999999999999</v>
      </c>
    </row>
    <row r="427" spans="1:16" x14ac:dyDescent="0.25">
      <c r="A427" s="9">
        <v>15800</v>
      </c>
      <c r="B427" s="9">
        <v>21099</v>
      </c>
      <c r="C427" s="9" t="s">
        <v>492</v>
      </c>
      <c r="D427" s="17">
        <f t="shared" si="33"/>
        <v>2</v>
      </c>
      <c r="E427" s="10">
        <f t="shared" si="30"/>
        <v>2</v>
      </c>
      <c r="F427" s="11">
        <v>2</v>
      </c>
      <c r="G427" s="9">
        <v>503348</v>
      </c>
      <c r="H427" s="13">
        <v>40268.561805555553</v>
      </c>
      <c r="I427" s="14">
        <v>0.65</v>
      </c>
      <c r="J427" s="23">
        <f t="shared" si="31"/>
        <v>0.65</v>
      </c>
      <c r="K427" s="12">
        <v>40268</v>
      </c>
      <c r="L427" s="24">
        <v>6.1805555555555558E-2</v>
      </c>
      <c r="M427" t="s">
        <v>1013</v>
      </c>
      <c r="N427" s="15" t="str">
        <f t="shared" si="32"/>
        <v>1:29 PM</v>
      </c>
      <c r="O427" s="9" t="s">
        <v>9</v>
      </c>
      <c r="P427" s="20">
        <f t="shared" si="34"/>
        <v>1.3</v>
      </c>
    </row>
    <row r="428" spans="1:16" x14ac:dyDescent="0.25">
      <c r="A428" s="9">
        <v>13593</v>
      </c>
      <c r="B428" s="9">
        <v>21231</v>
      </c>
      <c r="C428" s="9" t="s">
        <v>493</v>
      </c>
      <c r="D428" s="17">
        <f t="shared" si="33"/>
        <v>6</v>
      </c>
      <c r="E428" s="10">
        <f t="shared" si="30"/>
        <v>6</v>
      </c>
      <c r="F428" s="11">
        <v>6</v>
      </c>
      <c r="G428" s="9">
        <v>514993</v>
      </c>
      <c r="H428" s="13">
        <v>40366.605555555558</v>
      </c>
      <c r="I428" s="14">
        <v>1.25</v>
      </c>
      <c r="J428" s="23">
        <f t="shared" si="31"/>
        <v>1.25</v>
      </c>
      <c r="K428" s="12">
        <v>40366</v>
      </c>
      <c r="L428" s="24">
        <v>0.10555555555555556</v>
      </c>
      <c r="M428" t="s">
        <v>1013</v>
      </c>
      <c r="N428" s="15" t="str">
        <f t="shared" si="32"/>
        <v>2:32 PM</v>
      </c>
      <c r="O428" s="9" t="s">
        <v>9</v>
      </c>
      <c r="P428" s="20">
        <f t="shared" si="34"/>
        <v>7.5</v>
      </c>
    </row>
    <row r="429" spans="1:16" x14ac:dyDescent="0.25">
      <c r="A429" s="9" t="s">
        <v>495</v>
      </c>
      <c r="B429" s="9">
        <v>21623</v>
      </c>
      <c r="C429" s="9" t="s">
        <v>494</v>
      </c>
      <c r="D429" s="17">
        <f t="shared" si="33"/>
        <v>2</v>
      </c>
      <c r="E429" s="10">
        <f t="shared" si="30"/>
        <v>2</v>
      </c>
      <c r="F429" s="11">
        <v>2</v>
      </c>
      <c r="G429" s="9">
        <v>510488</v>
      </c>
      <c r="H429" s="13">
        <v>40330.5</v>
      </c>
      <c r="I429" s="14">
        <v>9.9499999999999993</v>
      </c>
      <c r="J429" s="23">
        <f t="shared" si="31"/>
        <v>9.9499999999999993</v>
      </c>
      <c r="K429" s="12">
        <v>40330</v>
      </c>
      <c r="L429" s="24">
        <v>0.5</v>
      </c>
      <c r="M429" t="s">
        <v>1013</v>
      </c>
      <c r="N429" s="15" t="str">
        <f t="shared" si="32"/>
        <v>12:00 PM</v>
      </c>
      <c r="O429" s="9" t="s">
        <v>9</v>
      </c>
      <c r="P429" s="20">
        <f t="shared" si="34"/>
        <v>19.899999999999999</v>
      </c>
    </row>
    <row r="430" spans="1:16" x14ac:dyDescent="0.25">
      <c r="A430" s="9">
        <v>16950</v>
      </c>
      <c r="B430" s="9">
        <v>21825</v>
      </c>
      <c r="C430" s="9" t="s">
        <v>496</v>
      </c>
      <c r="D430" s="17">
        <f t="shared" si="33"/>
        <v>24</v>
      </c>
      <c r="E430" s="10">
        <f t="shared" si="30"/>
        <v>24</v>
      </c>
      <c r="F430" s="11">
        <v>24</v>
      </c>
      <c r="G430" s="9">
        <v>516158</v>
      </c>
      <c r="H430" s="13">
        <v>40377.492361111108</v>
      </c>
      <c r="I430" s="14">
        <v>1.45</v>
      </c>
      <c r="J430" s="23">
        <f t="shared" si="31"/>
        <v>1.45</v>
      </c>
      <c r="K430" s="12">
        <v>40377</v>
      </c>
      <c r="L430" s="24">
        <v>0.49236111111111114</v>
      </c>
      <c r="M430" t="s">
        <v>1014</v>
      </c>
      <c r="N430" s="15" t="str">
        <f t="shared" si="32"/>
        <v>11:49 AM</v>
      </c>
      <c r="O430" s="9" t="s">
        <v>9</v>
      </c>
      <c r="P430" s="20">
        <f t="shared" si="34"/>
        <v>34.799999999999997</v>
      </c>
    </row>
    <row r="431" spans="1:16" x14ac:dyDescent="0.25">
      <c r="A431" s="9">
        <v>14343</v>
      </c>
      <c r="B431" s="9">
        <v>21212</v>
      </c>
      <c r="C431" s="9" t="s">
        <v>497</v>
      </c>
      <c r="D431" s="17">
        <f t="shared" si="33"/>
        <v>2</v>
      </c>
      <c r="E431" s="10">
        <f t="shared" si="30"/>
        <v>2</v>
      </c>
      <c r="F431" s="11">
        <v>2</v>
      </c>
      <c r="G431" s="9">
        <v>527053</v>
      </c>
      <c r="H431" s="13">
        <v>40465.545138888891</v>
      </c>
      <c r="I431" s="14">
        <v>0.55000000000000004</v>
      </c>
      <c r="J431" s="23">
        <f t="shared" si="31"/>
        <v>0.55000000000000004</v>
      </c>
      <c r="K431" s="12">
        <v>40465</v>
      </c>
      <c r="L431" s="24">
        <v>4.5138888888888888E-2</v>
      </c>
      <c r="M431" t="s">
        <v>1013</v>
      </c>
      <c r="N431" s="15" t="str">
        <f t="shared" si="32"/>
        <v>1:05 PM</v>
      </c>
      <c r="O431" s="9" t="s">
        <v>9</v>
      </c>
      <c r="P431" s="20">
        <f t="shared" si="34"/>
        <v>1.1000000000000001</v>
      </c>
    </row>
    <row r="432" spans="1:16" x14ac:dyDescent="0.25">
      <c r="A432" s="9">
        <v>16471</v>
      </c>
      <c r="B432" s="9">
        <v>21181</v>
      </c>
      <c r="C432" s="9" t="s">
        <v>498</v>
      </c>
      <c r="D432" s="17">
        <f t="shared" si="33"/>
        <v>12</v>
      </c>
      <c r="E432" s="10">
        <f t="shared" si="30"/>
        <v>12</v>
      </c>
      <c r="F432" s="11">
        <v>12</v>
      </c>
      <c r="G432" s="9">
        <v>532336</v>
      </c>
      <c r="H432" s="13">
        <v>40493.657638888893</v>
      </c>
      <c r="I432" s="14">
        <v>2.1</v>
      </c>
      <c r="J432" s="23">
        <f t="shared" si="31"/>
        <v>2.1</v>
      </c>
      <c r="K432" s="12">
        <v>40493</v>
      </c>
      <c r="L432" s="24">
        <v>0.15763888888888888</v>
      </c>
      <c r="M432" t="s">
        <v>1013</v>
      </c>
      <c r="N432" s="15" t="str">
        <f t="shared" si="32"/>
        <v>3:47 PM</v>
      </c>
      <c r="O432" s="9" t="s">
        <v>9</v>
      </c>
      <c r="P432" s="20">
        <f t="shared" si="34"/>
        <v>25.200000000000003</v>
      </c>
    </row>
    <row r="433" spans="1:16" x14ac:dyDescent="0.25">
      <c r="A433" s="9">
        <v>15268</v>
      </c>
      <c r="B433" s="9">
        <v>22423</v>
      </c>
      <c r="C433" s="9" t="s">
        <v>499</v>
      </c>
      <c r="D433" s="17">
        <f t="shared" si="33"/>
        <v>10</v>
      </c>
      <c r="E433" s="10">
        <f t="shared" si="30"/>
        <v>10</v>
      </c>
      <c r="F433" s="11">
        <v>10</v>
      </c>
      <c r="G433" s="9">
        <v>519539</v>
      </c>
      <c r="H433" s="13">
        <v>40408.439583333333</v>
      </c>
      <c r="I433" s="14">
        <v>12.75</v>
      </c>
      <c r="J433" s="23">
        <f t="shared" si="31"/>
        <v>12.75</v>
      </c>
      <c r="K433" s="12">
        <v>40408</v>
      </c>
      <c r="L433" s="24">
        <v>0.43958333333333333</v>
      </c>
      <c r="M433" t="s">
        <v>1014</v>
      </c>
      <c r="N433" s="15" t="str">
        <f t="shared" si="32"/>
        <v>10:33 AM</v>
      </c>
      <c r="O433" s="9" t="s">
        <v>9</v>
      </c>
      <c r="P433" s="20">
        <f t="shared" si="34"/>
        <v>127.5</v>
      </c>
    </row>
    <row r="434" spans="1:16" x14ac:dyDescent="0.25">
      <c r="A434" s="9">
        <v>12748</v>
      </c>
      <c r="B434" s="9">
        <v>20771</v>
      </c>
      <c r="C434" s="9" t="s">
        <v>500</v>
      </c>
      <c r="D434" s="17">
        <f t="shared" si="33"/>
        <v>1</v>
      </c>
      <c r="E434" s="10">
        <f t="shared" si="30"/>
        <v>1</v>
      </c>
      <c r="F434" s="11">
        <v>1</v>
      </c>
      <c r="G434" s="9">
        <v>523005</v>
      </c>
      <c r="H434" s="13">
        <v>40440.680555555547</v>
      </c>
      <c r="I434" s="14">
        <v>2.5499999999999998</v>
      </c>
      <c r="J434" s="23">
        <f t="shared" si="31"/>
        <v>2.5499999999999998</v>
      </c>
      <c r="K434" s="12">
        <v>40440</v>
      </c>
      <c r="L434" s="24">
        <v>0.18055555555555555</v>
      </c>
      <c r="M434" t="s">
        <v>1013</v>
      </c>
      <c r="N434" s="15" t="str">
        <f t="shared" si="32"/>
        <v>4:20 PM</v>
      </c>
      <c r="O434" s="9" t="s">
        <v>9</v>
      </c>
      <c r="P434" s="20">
        <f t="shared" si="34"/>
        <v>2.5499999999999998</v>
      </c>
    </row>
    <row r="435" spans="1:16" x14ac:dyDescent="0.25">
      <c r="A435" s="9">
        <v>15039</v>
      </c>
      <c r="B435" s="9" t="s">
        <v>395</v>
      </c>
      <c r="C435" s="9" t="s">
        <v>396</v>
      </c>
      <c r="D435" s="17">
        <f t="shared" si="33"/>
        <v>2</v>
      </c>
      <c r="E435" s="10">
        <f t="shared" si="30"/>
        <v>2</v>
      </c>
      <c r="F435" s="11">
        <v>2</v>
      </c>
      <c r="G435" s="9">
        <v>535953</v>
      </c>
      <c r="H435" s="13">
        <v>40511.509027777778</v>
      </c>
      <c r="I435" s="14">
        <v>3.75</v>
      </c>
      <c r="J435" s="23">
        <f t="shared" si="31"/>
        <v>3.75</v>
      </c>
      <c r="K435" s="12">
        <v>40511</v>
      </c>
      <c r="L435" s="24">
        <v>0.50902777777777775</v>
      </c>
      <c r="M435" t="s">
        <v>1013</v>
      </c>
      <c r="N435" s="15" t="str">
        <f t="shared" si="32"/>
        <v>12:13 PM</v>
      </c>
      <c r="O435" s="9" t="s">
        <v>9</v>
      </c>
      <c r="P435" s="20">
        <f t="shared" si="34"/>
        <v>7.5</v>
      </c>
    </row>
    <row r="436" spans="1:16" x14ac:dyDescent="0.25">
      <c r="A436" s="9">
        <v>16013</v>
      </c>
      <c r="B436" s="9">
        <v>20738</v>
      </c>
      <c r="C436" s="9" t="s">
        <v>501</v>
      </c>
      <c r="D436" s="17">
        <f t="shared" si="33"/>
        <v>100</v>
      </c>
      <c r="E436" s="10">
        <f t="shared" si="30"/>
        <v>100</v>
      </c>
      <c r="F436" s="11">
        <v>100</v>
      </c>
      <c r="G436" s="9">
        <v>522134</v>
      </c>
      <c r="H436" s="13">
        <v>40434.417361111111</v>
      </c>
      <c r="I436" s="14">
        <v>0.85</v>
      </c>
      <c r="J436" s="23">
        <f t="shared" si="31"/>
        <v>0.85</v>
      </c>
      <c r="K436" s="12">
        <v>40434</v>
      </c>
      <c r="L436" s="24">
        <v>0.41736111111111113</v>
      </c>
      <c r="M436" t="s">
        <v>1014</v>
      </c>
      <c r="N436" s="15" t="str">
        <f t="shared" si="32"/>
        <v>10:01 AM</v>
      </c>
      <c r="O436" s="9" t="s">
        <v>9</v>
      </c>
      <c r="P436" s="20">
        <f t="shared" si="34"/>
        <v>85</v>
      </c>
    </row>
    <row r="437" spans="1:16" x14ac:dyDescent="0.25">
      <c r="A437" s="9">
        <v>13623</v>
      </c>
      <c r="B437" s="9">
        <v>21154</v>
      </c>
      <c r="C437" s="9" t="s">
        <v>502</v>
      </c>
      <c r="D437" s="17">
        <f t="shared" si="33"/>
        <v>2</v>
      </c>
      <c r="E437" s="10">
        <f t="shared" si="30"/>
        <v>2</v>
      </c>
      <c r="F437" s="11">
        <v>2</v>
      </c>
      <c r="G437" s="9">
        <v>489830</v>
      </c>
      <c r="H437" s="13">
        <v>40149.581250000003</v>
      </c>
      <c r="I437" s="14">
        <v>1.25</v>
      </c>
      <c r="J437" s="23">
        <f t="shared" si="31"/>
        <v>1.25</v>
      </c>
      <c r="K437" s="12">
        <v>40149</v>
      </c>
      <c r="L437" s="24">
        <v>8.1250000000000003E-2</v>
      </c>
      <c r="M437" t="s">
        <v>1013</v>
      </c>
      <c r="N437" s="15" t="str">
        <f t="shared" si="32"/>
        <v>1:57 PM</v>
      </c>
      <c r="O437" s="9" t="s">
        <v>9</v>
      </c>
      <c r="P437" s="20">
        <f t="shared" si="34"/>
        <v>2.5</v>
      </c>
    </row>
    <row r="438" spans="1:16" x14ac:dyDescent="0.25">
      <c r="A438" s="9">
        <v>15034</v>
      </c>
      <c r="B438" s="9" t="s">
        <v>503</v>
      </c>
      <c r="C438" s="9" t="s">
        <v>504</v>
      </c>
      <c r="D438" s="17">
        <f t="shared" si="33"/>
        <v>2</v>
      </c>
      <c r="E438" s="10">
        <f t="shared" si="30"/>
        <v>2</v>
      </c>
      <c r="F438" s="11">
        <v>2</v>
      </c>
      <c r="G438" s="9">
        <v>530998</v>
      </c>
      <c r="H438" s="13">
        <v>40487.470138888893</v>
      </c>
      <c r="I438" s="14">
        <v>1.25</v>
      </c>
      <c r="J438" s="23">
        <f t="shared" si="31"/>
        <v>1.25</v>
      </c>
      <c r="K438" s="12">
        <v>40487</v>
      </c>
      <c r="L438" s="24">
        <v>0.47013888888888888</v>
      </c>
      <c r="M438" t="s">
        <v>1014</v>
      </c>
      <c r="N438" s="15" t="str">
        <f t="shared" si="32"/>
        <v>11:17 AM</v>
      </c>
      <c r="O438" s="9" t="s">
        <v>9</v>
      </c>
      <c r="P438" s="20">
        <f t="shared" si="34"/>
        <v>2.5</v>
      </c>
    </row>
    <row r="439" spans="1:16" x14ac:dyDescent="0.25">
      <c r="A439" s="9">
        <v>18160</v>
      </c>
      <c r="B439" s="9">
        <v>22188</v>
      </c>
      <c r="C439" s="9" t="s">
        <v>505</v>
      </c>
      <c r="D439" s="17">
        <f t="shared" si="33"/>
        <v>4</v>
      </c>
      <c r="E439" s="10">
        <f t="shared" si="30"/>
        <v>4</v>
      </c>
      <c r="F439" s="11">
        <v>4</v>
      </c>
      <c r="G439" s="9">
        <v>533783</v>
      </c>
      <c r="H439" s="13">
        <v>40500.689583333333</v>
      </c>
      <c r="I439" s="14">
        <v>3.95</v>
      </c>
      <c r="J439" s="23">
        <f t="shared" si="31"/>
        <v>3.95</v>
      </c>
      <c r="K439" s="12">
        <v>40500</v>
      </c>
      <c r="L439" s="24">
        <v>0.18958333333333333</v>
      </c>
      <c r="M439" t="s">
        <v>1013</v>
      </c>
      <c r="N439" s="15" t="str">
        <f t="shared" si="32"/>
        <v>4:33 PM</v>
      </c>
      <c r="O439" s="9" t="s">
        <v>9</v>
      </c>
      <c r="P439" s="20">
        <f t="shared" si="34"/>
        <v>15.8</v>
      </c>
    </row>
    <row r="440" spans="1:16" x14ac:dyDescent="0.25">
      <c r="A440" s="9">
        <v>13714</v>
      </c>
      <c r="B440" s="9">
        <v>21488</v>
      </c>
      <c r="C440" s="9" t="s">
        <v>506</v>
      </c>
      <c r="D440" s="17">
        <f t="shared" si="33"/>
        <v>1</v>
      </c>
      <c r="E440" s="10">
        <f t="shared" si="30"/>
        <v>1</v>
      </c>
      <c r="F440" s="11">
        <v>1</v>
      </c>
      <c r="G440" s="9">
        <v>520861</v>
      </c>
      <c r="H440" s="13">
        <v>40421.581250000003</v>
      </c>
      <c r="I440" s="14">
        <v>3.95</v>
      </c>
      <c r="J440" s="23">
        <f t="shared" si="31"/>
        <v>3.95</v>
      </c>
      <c r="K440" s="12">
        <v>40421</v>
      </c>
      <c r="L440" s="24">
        <v>8.1250000000000003E-2</v>
      </c>
      <c r="M440" t="s">
        <v>1013</v>
      </c>
      <c r="N440" s="15" t="str">
        <f t="shared" si="32"/>
        <v>1:57 PM</v>
      </c>
      <c r="O440" s="9" t="s">
        <v>9</v>
      </c>
      <c r="P440" s="20">
        <f t="shared" si="34"/>
        <v>3.95</v>
      </c>
    </row>
    <row r="441" spans="1:16" x14ac:dyDescent="0.25">
      <c r="A441" s="9">
        <v>12476</v>
      </c>
      <c r="B441" s="9">
        <v>22847</v>
      </c>
      <c r="C441" s="9" t="s">
        <v>507</v>
      </c>
      <c r="D441" s="17">
        <f t="shared" si="33"/>
        <v>2</v>
      </c>
      <c r="E441" s="10">
        <f t="shared" si="30"/>
        <v>2</v>
      </c>
      <c r="F441" s="11">
        <v>2</v>
      </c>
      <c r="G441" s="9">
        <v>527777</v>
      </c>
      <c r="H441" s="13">
        <v>40470.459027777782</v>
      </c>
      <c r="I441" s="14">
        <v>16.95</v>
      </c>
      <c r="J441" s="23">
        <f t="shared" si="31"/>
        <v>16.95</v>
      </c>
      <c r="K441" s="12">
        <v>40470</v>
      </c>
      <c r="L441" s="24">
        <v>0.45902777777777776</v>
      </c>
      <c r="M441" t="s">
        <v>1014</v>
      </c>
      <c r="N441" s="15" t="str">
        <f t="shared" si="32"/>
        <v>11:01 AM</v>
      </c>
      <c r="O441" s="9" t="s">
        <v>17</v>
      </c>
      <c r="P441" s="20">
        <f t="shared" si="34"/>
        <v>33.9</v>
      </c>
    </row>
    <row r="442" spans="1:16" x14ac:dyDescent="0.25">
      <c r="A442" s="9">
        <v>15003</v>
      </c>
      <c r="B442" s="9">
        <v>21944</v>
      </c>
      <c r="C442" s="9" t="s">
        <v>508</v>
      </c>
      <c r="D442" s="17">
        <f t="shared" si="33"/>
        <v>1</v>
      </c>
      <c r="E442" s="10">
        <f t="shared" si="30"/>
        <v>1</v>
      </c>
      <c r="F442" s="11">
        <v>1</v>
      </c>
      <c r="G442" s="9">
        <v>496644</v>
      </c>
      <c r="H442" s="13">
        <v>40212.498611111107</v>
      </c>
      <c r="I442" s="14">
        <v>0.85</v>
      </c>
      <c r="J442" s="23">
        <f t="shared" si="31"/>
        <v>0.85</v>
      </c>
      <c r="K442" s="12">
        <v>40212</v>
      </c>
      <c r="L442" s="24">
        <v>0.49861111111111112</v>
      </c>
      <c r="M442" t="s">
        <v>1014</v>
      </c>
      <c r="N442" s="15" t="str">
        <f t="shared" si="32"/>
        <v>11:58 AM</v>
      </c>
      <c r="O442" s="9" t="s">
        <v>9</v>
      </c>
      <c r="P442" s="20">
        <f t="shared" si="34"/>
        <v>0.85</v>
      </c>
    </row>
    <row r="443" spans="1:16" x14ac:dyDescent="0.25">
      <c r="A443" s="9">
        <v>14110</v>
      </c>
      <c r="B443" s="9">
        <v>20723</v>
      </c>
      <c r="C443" s="9" t="s">
        <v>509</v>
      </c>
      <c r="D443" s="17">
        <f t="shared" si="33"/>
        <v>10</v>
      </c>
      <c r="E443" s="10">
        <f t="shared" si="30"/>
        <v>10</v>
      </c>
      <c r="F443" s="11">
        <v>10</v>
      </c>
      <c r="G443" s="9">
        <v>506754</v>
      </c>
      <c r="H443" s="13">
        <v>40302.493750000001</v>
      </c>
      <c r="I443" s="14">
        <v>0.85</v>
      </c>
      <c r="J443" s="23">
        <f t="shared" si="31"/>
        <v>0.85</v>
      </c>
      <c r="K443" s="12">
        <v>40302</v>
      </c>
      <c r="L443" s="24">
        <v>0.49375000000000002</v>
      </c>
      <c r="M443" t="s">
        <v>1014</v>
      </c>
      <c r="N443" s="15" t="str">
        <f t="shared" si="32"/>
        <v>11:51 AM</v>
      </c>
      <c r="O443" s="9" t="s">
        <v>9</v>
      </c>
      <c r="P443" s="20">
        <f t="shared" si="34"/>
        <v>8.5</v>
      </c>
    </row>
    <row r="444" spans="1:16" x14ac:dyDescent="0.25">
      <c r="A444" s="9">
        <v>15666</v>
      </c>
      <c r="B444" s="9">
        <v>21054</v>
      </c>
      <c r="C444" s="9" t="s">
        <v>510</v>
      </c>
      <c r="D444" s="17">
        <f t="shared" si="33"/>
        <v>2</v>
      </c>
      <c r="E444" s="10">
        <f t="shared" si="30"/>
        <v>2</v>
      </c>
      <c r="F444" s="11">
        <v>2</v>
      </c>
      <c r="G444" s="9">
        <v>520207</v>
      </c>
      <c r="H444" s="13">
        <v>40414.676388888889</v>
      </c>
      <c r="I444" s="14">
        <v>8.9499999999999993</v>
      </c>
      <c r="J444" s="23">
        <f t="shared" si="31"/>
        <v>8.9499999999999993</v>
      </c>
      <c r="K444" s="12">
        <v>40414</v>
      </c>
      <c r="L444" s="24">
        <v>0.1763888888888889</v>
      </c>
      <c r="M444" t="s">
        <v>1013</v>
      </c>
      <c r="N444" s="15" t="str">
        <f t="shared" si="32"/>
        <v>4:14 PM</v>
      </c>
      <c r="O444" s="9" t="s">
        <v>9</v>
      </c>
      <c r="P444" s="20">
        <f t="shared" si="34"/>
        <v>17.899999999999999</v>
      </c>
    </row>
    <row r="445" spans="1:16" x14ac:dyDescent="0.25">
      <c r="A445" s="9">
        <v>16120</v>
      </c>
      <c r="B445" s="9">
        <v>22553</v>
      </c>
      <c r="C445" s="9" t="s">
        <v>259</v>
      </c>
      <c r="D445" s="17">
        <f t="shared" si="33"/>
        <v>1</v>
      </c>
      <c r="E445" s="10">
        <f t="shared" si="30"/>
        <v>1</v>
      </c>
      <c r="F445" s="11">
        <v>1</v>
      </c>
      <c r="G445" s="9">
        <v>526906</v>
      </c>
      <c r="H445" s="13">
        <v>40464.640277777777</v>
      </c>
      <c r="I445" s="14">
        <v>1.65</v>
      </c>
      <c r="J445" s="23">
        <f t="shared" si="31"/>
        <v>1.65</v>
      </c>
      <c r="K445" s="12">
        <v>40464</v>
      </c>
      <c r="L445" s="24">
        <v>0.14027777777777778</v>
      </c>
      <c r="M445" t="s">
        <v>1013</v>
      </c>
      <c r="N445" s="15" t="str">
        <f t="shared" si="32"/>
        <v>3:22 PM</v>
      </c>
      <c r="O445" s="9" t="s">
        <v>9</v>
      </c>
      <c r="P445" s="20">
        <f t="shared" si="34"/>
        <v>1.65</v>
      </c>
    </row>
    <row r="446" spans="1:16" x14ac:dyDescent="0.25">
      <c r="A446" s="9">
        <v>15061</v>
      </c>
      <c r="B446" s="9">
        <v>22023</v>
      </c>
      <c r="C446" s="9" t="s">
        <v>511</v>
      </c>
      <c r="D446" s="17">
        <f t="shared" si="33"/>
        <v>24</v>
      </c>
      <c r="E446" s="10">
        <f t="shared" si="30"/>
        <v>24</v>
      </c>
      <c r="F446" s="11">
        <v>24</v>
      </c>
      <c r="G446" s="9">
        <v>522276</v>
      </c>
      <c r="H446" s="13">
        <v>40434.532638888893</v>
      </c>
      <c r="I446" s="14">
        <v>0.36</v>
      </c>
      <c r="J446" s="23">
        <f t="shared" si="31"/>
        <v>0.36</v>
      </c>
      <c r="K446" s="12">
        <v>40434</v>
      </c>
      <c r="L446" s="24">
        <v>0.53263888888888888</v>
      </c>
      <c r="M446" t="s">
        <v>1013</v>
      </c>
      <c r="N446" s="15" t="str">
        <f t="shared" si="32"/>
        <v>12:47 PM</v>
      </c>
      <c r="O446" s="9" t="s">
        <v>9</v>
      </c>
      <c r="P446" s="20">
        <f t="shared" si="34"/>
        <v>8.64</v>
      </c>
    </row>
    <row r="447" spans="1:16" x14ac:dyDescent="0.25">
      <c r="A447" s="9">
        <v>12356</v>
      </c>
      <c r="B447" s="9">
        <v>22956</v>
      </c>
      <c r="C447" s="9" t="s">
        <v>244</v>
      </c>
      <c r="D447" s="17">
        <f t="shared" si="33"/>
        <v>48</v>
      </c>
      <c r="E447" s="10">
        <f t="shared" si="30"/>
        <v>48</v>
      </c>
      <c r="F447" s="11">
        <v>48</v>
      </c>
      <c r="G447" s="9">
        <v>532305</v>
      </c>
      <c r="H447" s="13">
        <v>40493.599305555559</v>
      </c>
      <c r="I447" s="14">
        <v>1.85</v>
      </c>
      <c r="J447" s="23">
        <f t="shared" si="31"/>
        <v>1.85</v>
      </c>
      <c r="K447" s="12">
        <v>40493</v>
      </c>
      <c r="L447" s="24">
        <v>9.930555555555555E-2</v>
      </c>
      <c r="M447" t="s">
        <v>1013</v>
      </c>
      <c r="N447" s="15" t="str">
        <f t="shared" si="32"/>
        <v>2:23 PM</v>
      </c>
      <c r="O447" s="9" t="s">
        <v>245</v>
      </c>
      <c r="P447" s="20">
        <f t="shared" si="34"/>
        <v>88.800000000000011</v>
      </c>
    </row>
    <row r="448" spans="1:16" x14ac:dyDescent="0.25">
      <c r="A448" s="9">
        <v>18260</v>
      </c>
      <c r="B448" s="9">
        <v>22600</v>
      </c>
      <c r="C448" s="9" t="s">
        <v>365</v>
      </c>
      <c r="D448" s="17">
        <f t="shared" si="33"/>
        <v>12</v>
      </c>
      <c r="E448" s="10">
        <f t="shared" si="30"/>
        <v>12</v>
      </c>
      <c r="F448" s="11">
        <v>12</v>
      </c>
      <c r="G448" s="9">
        <v>536182</v>
      </c>
      <c r="H448" s="13">
        <v>40512.517361111109</v>
      </c>
      <c r="I448" s="14">
        <v>0.85</v>
      </c>
      <c r="J448" s="23">
        <f t="shared" si="31"/>
        <v>0.85</v>
      </c>
      <c r="K448" s="12">
        <v>40512</v>
      </c>
      <c r="L448" s="24">
        <v>0.51736111111111116</v>
      </c>
      <c r="M448" t="s">
        <v>1013</v>
      </c>
      <c r="N448" s="15" t="str">
        <f t="shared" si="32"/>
        <v>12:25 PM</v>
      </c>
      <c r="O448" s="9" t="s">
        <v>9</v>
      </c>
      <c r="P448" s="20">
        <f t="shared" si="34"/>
        <v>10.199999999999999</v>
      </c>
    </row>
    <row r="449" spans="1:16" x14ac:dyDescent="0.25">
      <c r="A449" s="9">
        <v>14844</v>
      </c>
      <c r="B449" s="9">
        <v>20972</v>
      </c>
      <c r="C449" s="9" t="s">
        <v>512</v>
      </c>
      <c r="D449" s="17">
        <f t="shared" si="33"/>
        <v>24</v>
      </c>
      <c r="E449" s="10">
        <f t="shared" si="30"/>
        <v>24</v>
      </c>
      <c r="F449" s="11">
        <v>24</v>
      </c>
      <c r="G449" s="9">
        <v>525401</v>
      </c>
      <c r="H449" s="13">
        <v>40456.494444444441</v>
      </c>
      <c r="I449" s="14">
        <v>1.25</v>
      </c>
      <c r="J449" s="23">
        <f t="shared" si="31"/>
        <v>1.25</v>
      </c>
      <c r="K449" s="12">
        <v>40456</v>
      </c>
      <c r="L449" s="24">
        <v>0.49444444444444446</v>
      </c>
      <c r="M449" t="s">
        <v>1014</v>
      </c>
      <c r="N449" s="15" t="str">
        <f t="shared" si="32"/>
        <v>11:52 AM</v>
      </c>
      <c r="O449" s="9" t="s">
        <v>9</v>
      </c>
      <c r="P449" s="20">
        <f t="shared" si="34"/>
        <v>30</v>
      </c>
    </row>
    <row r="450" spans="1:16" x14ac:dyDescent="0.25">
      <c r="A450" s="9">
        <v>16782</v>
      </c>
      <c r="B450" s="9">
        <v>21561</v>
      </c>
      <c r="C450" s="9" t="s">
        <v>513</v>
      </c>
      <c r="D450" s="17">
        <f t="shared" si="33"/>
        <v>1</v>
      </c>
      <c r="E450" s="10">
        <f t="shared" ref="E450:E513" si="35">VALUE(F450)</f>
        <v>1</v>
      </c>
      <c r="F450" s="11">
        <v>1</v>
      </c>
      <c r="G450" s="9">
        <v>534788</v>
      </c>
      <c r="H450" s="13">
        <v>40506.475694444453</v>
      </c>
      <c r="I450" s="14">
        <v>2.5499999999999998</v>
      </c>
      <c r="J450" s="23">
        <f t="shared" ref="J450:J513" si="36">VALUE(I450)</f>
        <v>2.5499999999999998</v>
      </c>
      <c r="K450" s="12">
        <v>40506</v>
      </c>
      <c r="L450" s="24">
        <v>0.47569444444444442</v>
      </c>
      <c r="M450" t="s">
        <v>1014</v>
      </c>
      <c r="N450" s="15" t="str">
        <f t="shared" ref="N450:N513" si="37">TEXT(L450,"h:mm")&amp;" "&amp;M450</f>
        <v>11:25 AM</v>
      </c>
      <c r="O450" s="9" t="s">
        <v>9</v>
      </c>
      <c r="P450" s="20">
        <f t="shared" si="34"/>
        <v>2.5499999999999998</v>
      </c>
    </row>
    <row r="451" spans="1:16" x14ac:dyDescent="0.25">
      <c r="A451" s="9">
        <v>17841</v>
      </c>
      <c r="B451" s="9" t="s">
        <v>514</v>
      </c>
      <c r="C451" s="9" t="s">
        <v>515</v>
      </c>
      <c r="D451" s="17">
        <f t="shared" ref="D451:D514" si="38">ABS(E451)</f>
        <v>4</v>
      </c>
      <c r="E451" s="10">
        <f t="shared" si="35"/>
        <v>4</v>
      </c>
      <c r="F451" s="11">
        <v>4</v>
      </c>
      <c r="G451" s="9">
        <v>509743</v>
      </c>
      <c r="H451" s="13">
        <v>40323.556250000001</v>
      </c>
      <c r="I451" s="14" t="s">
        <v>516</v>
      </c>
      <c r="J451" s="23">
        <f t="shared" si="36"/>
        <v>34.950000000000003</v>
      </c>
      <c r="K451" s="12">
        <v>40323</v>
      </c>
      <c r="L451" s="24">
        <v>5.6250000000000001E-2</v>
      </c>
      <c r="M451" t="s">
        <v>1013</v>
      </c>
      <c r="N451" s="15" t="str">
        <f t="shared" si="37"/>
        <v>1:21 PM</v>
      </c>
      <c r="O451" s="9" t="s">
        <v>9</v>
      </c>
      <c r="P451" s="20">
        <f t="shared" ref="P451:P514" si="39">PRODUCT(D451,(J451))</f>
        <v>139.80000000000001</v>
      </c>
    </row>
    <row r="452" spans="1:16" x14ac:dyDescent="0.25">
      <c r="A452" s="9">
        <v>13503</v>
      </c>
      <c r="B452" s="9">
        <v>22348</v>
      </c>
      <c r="C452" s="9" t="s">
        <v>517</v>
      </c>
      <c r="D452" s="17">
        <f t="shared" si="38"/>
        <v>4</v>
      </c>
      <c r="E452" s="10">
        <f t="shared" si="35"/>
        <v>4</v>
      </c>
      <c r="F452" s="11">
        <v>4</v>
      </c>
      <c r="G452" s="9">
        <v>498104</v>
      </c>
      <c r="H452" s="13">
        <v>40225.575694444437</v>
      </c>
      <c r="I452" s="14">
        <v>0.85</v>
      </c>
      <c r="J452" s="23">
        <f t="shared" si="36"/>
        <v>0.85</v>
      </c>
      <c r="K452" s="12">
        <v>40225</v>
      </c>
      <c r="L452" s="24">
        <v>7.5694444444444439E-2</v>
      </c>
      <c r="M452" t="s">
        <v>1013</v>
      </c>
      <c r="N452" s="15" t="str">
        <f t="shared" si="37"/>
        <v>1:49 PM</v>
      </c>
      <c r="O452" s="9" t="s">
        <v>9</v>
      </c>
      <c r="P452" s="20">
        <f t="shared" si="39"/>
        <v>3.4</v>
      </c>
    </row>
    <row r="453" spans="1:16" x14ac:dyDescent="0.25">
      <c r="A453" s="9">
        <v>12495</v>
      </c>
      <c r="B453" s="9">
        <v>21210</v>
      </c>
      <c r="C453" s="9" t="s">
        <v>518</v>
      </c>
      <c r="D453" s="17">
        <f t="shared" si="38"/>
        <v>12</v>
      </c>
      <c r="E453" s="10">
        <f t="shared" si="35"/>
        <v>12</v>
      </c>
      <c r="F453" s="11">
        <v>12</v>
      </c>
      <c r="G453" s="9">
        <v>500639</v>
      </c>
      <c r="H453" s="13">
        <v>40246.453472222223</v>
      </c>
      <c r="I453" s="14">
        <v>1.45</v>
      </c>
      <c r="J453" s="23">
        <f t="shared" si="36"/>
        <v>1.45</v>
      </c>
      <c r="K453" s="12">
        <v>40246</v>
      </c>
      <c r="L453" s="24">
        <v>0.45347222222222222</v>
      </c>
      <c r="M453" t="s">
        <v>1014</v>
      </c>
      <c r="N453" s="15" t="str">
        <f t="shared" si="37"/>
        <v>10:53 AM</v>
      </c>
      <c r="O453" s="9" t="s">
        <v>519</v>
      </c>
      <c r="P453" s="20">
        <f t="shared" si="39"/>
        <v>17.399999999999999</v>
      </c>
    </row>
    <row r="454" spans="1:16" x14ac:dyDescent="0.25">
      <c r="A454" s="9">
        <v>12721</v>
      </c>
      <c r="B454" s="9">
        <v>84050</v>
      </c>
      <c r="C454" s="9" t="s">
        <v>520</v>
      </c>
      <c r="D454" s="17">
        <f t="shared" si="38"/>
        <v>6</v>
      </c>
      <c r="E454" s="10">
        <f t="shared" si="35"/>
        <v>6</v>
      </c>
      <c r="F454" s="11">
        <v>6</v>
      </c>
      <c r="G454" s="9">
        <v>534030</v>
      </c>
      <c r="H454" s="13">
        <v>40501.634027777778</v>
      </c>
      <c r="I454" s="14">
        <v>1.65</v>
      </c>
      <c r="J454" s="23">
        <f t="shared" si="36"/>
        <v>1.65</v>
      </c>
      <c r="K454" s="12">
        <v>40501</v>
      </c>
      <c r="L454" s="24">
        <v>0.13402777777777777</v>
      </c>
      <c r="M454" t="s">
        <v>1013</v>
      </c>
      <c r="N454" s="15" t="str">
        <f t="shared" si="37"/>
        <v>3:13 PM</v>
      </c>
      <c r="O454" s="9" t="s">
        <v>28</v>
      </c>
      <c r="P454" s="20">
        <f t="shared" si="39"/>
        <v>9.8999999999999986</v>
      </c>
    </row>
    <row r="455" spans="1:16" x14ac:dyDescent="0.25">
      <c r="A455" s="9">
        <v>16470</v>
      </c>
      <c r="B455" s="9">
        <v>21174</v>
      </c>
      <c r="C455" s="9" t="s">
        <v>521</v>
      </c>
      <c r="D455" s="17">
        <f t="shared" si="38"/>
        <v>1</v>
      </c>
      <c r="E455" s="10">
        <f t="shared" si="35"/>
        <v>1</v>
      </c>
      <c r="F455" s="11">
        <v>1</v>
      </c>
      <c r="G455" s="9">
        <v>522273</v>
      </c>
      <c r="H455" s="13">
        <v>40434.52847222222</v>
      </c>
      <c r="I455" s="14">
        <v>1.95</v>
      </c>
      <c r="J455" s="23">
        <f t="shared" si="36"/>
        <v>1.95</v>
      </c>
      <c r="K455" s="12">
        <v>40434</v>
      </c>
      <c r="L455" s="24">
        <v>0.52847222222222223</v>
      </c>
      <c r="M455" t="s">
        <v>1013</v>
      </c>
      <c r="N455" s="15" t="str">
        <f t="shared" si="37"/>
        <v>12:41 PM</v>
      </c>
      <c r="O455" s="9" t="s">
        <v>9</v>
      </c>
      <c r="P455" s="20">
        <f t="shared" si="39"/>
        <v>1.95</v>
      </c>
    </row>
    <row r="456" spans="1:16" x14ac:dyDescent="0.25">
      <c r="A456" s="9">
        <v>18275</v>
      </c>
      <c r="B456" s="9" t="s">
        <v>522</v>
      </c>
      <c r="C456" s="9" t="s">
        <v>523</v>
      </c>
      <c r="D456" s="17">
        <f t="shared" si="38"/>
        <v>25</v>
      </c>
      <c r="E456" s="10">
        <f t="shared" si="35"/>
        <v>25</v>
      </c>
      <c r="F456" s="11">
        <v>25</v>
      </c>
      <c r="G456" s="9">
        <v>507647</v>
      </c>
      <c r="H456" s="13">
        <v>40308.656944444447</v>
      </c>
      <c r="I456" s="14">
        <v>0.85</v>
      </c>
      <c r="J456" s="23">
        <f t="shared" si="36"/>
        <v>0.85</v>
      </c>
      <c r="K456" s="12">
        <v>40308</v>
      </c>
      <c r="L456" s="24">
        <v>0.15694444444444444</v>
      </c>
      <c r="M456" t="s">
        <v>1013</v>
      </c>
      <c r="N456" s="15" t="str">
        <f t="shared" si="37"/>
        <v>3:46 PM</v>
      </c>
      <c r="O456" s="9" t="s">
        <v>9</v>
      </c>
      <c r="P456" s="20">
        <f t="shared" si="39"/>
        <v>21.25</v>
      </c>
    </row>
    <row r="457" spans="1:16" x14ac:dyDescent="0.25">
      <c r="A457" s="9">
        <v>16126</v>
      </c>
      <c r="B457" s="9">
        <v>21621</v>
      </c>
      <c r="C457" s="9" t="s">
        <v>524</v>
      </c>
      <c r="D457" s="17">
        <f t="shared" si="38"/>
        <v>20</v>
      </c>
      <c r="E457" s="10">
        <f t="shared" si="35"/>
        <v>20</v>
      </c>
      <c r="F457" s="11">
        <v>20</v>
      </c>
      <c r="G457" s="9">
        <v>514839</v>
      </c>
      <c r="H457" s="13">
        <v>40365.615277777782</v>
      </c>
      <c r="I457" s="14">
        <v>8.5</v>
      </c>
      <c r="J457" s="23">
        <f t="shared" si="36"/>
        <v>8.5</v>
      </c>
      <c r="K457" s="12">
        <v>40365</v>
      </c>
      <c r="L457" s="24">
        <v>0.11527777777777778</v>
      </c>
      <c r="M457" t="s">
        <v>1013</v>
      </c>
      <c r="N457" s="15" t="str">
        <f t="shared" si="37"/>
        <v>2:46 PM</v>
      </c>
      <c r="O457" s="9" t="s">
        <v>9</v>
      </c>
      <c r="P457" s="20">
        <f t="shared" si="39"/>
        <v>170</v>
      </c>
    </row>
    <row r="458" spans="1:16" x14ac:dyDescent="0.25">
      <c r="A458" s="9">
        <v>17612</v>
      </c>
      <c r="B458" s="9">
        <v>20702</v>
      </c>
      <c r="C458" s="9" t="s">
        <v>525</v>
      </c>
      <c r="D458" s="17">
        <f t="shared" si="38"/>
        <v>3</v>
      </c>
      <c r="E458" s="10">
        <f t="shared" si="35"/>
        <v>3</v>
      </c>
      <c r="F458" s="11">
        <v>3</v>
      </c>
      <c r="G458" s="9">
        <v>492517</v>
      </c>
      <c r="H458" s="13">
        <v>40164.499305555553</v>
      </c>
      <c r="I458" s="14">
        <v>4.25</v>
      </c>
      <c r="J458" s="23">
        <f t="shared" si="36"/>
        <v>4.25</v>
      </c>
      <c r="K458" s="12">
        <v>40164</v>
      </c>
      <c r="L458" s="24">
        <v>0.49930555555555556</v>
      </c>
      <c r="M458" t="s">
        <v>1014</v>
      </c>
      <c r="N458" s="15" t="str">
        <f t="shared" si="37"/>
        <v>11:59 AM</v>
      </c>
      <c r="O458" s="9" t="s">
        <v>9</v>
      </c>
      <c r="P458" s="20">
        <f t="shared" si="39"/>
        <v>12.75</v>
      </c>
    </row>
    <row r="459" spans="1:16" x14ac:dyDescent="0.25">
      <c r="A459" s="9">
        <v>15179</v>
      </c>
      <c r="B459" s="9">
        <v>22046</v>
      </c>
      <c r="C459" s="9" t="s">
        <v>526</v>
      </c>
      <c r="D459" s="17">
        <f t="shared" si="38"/>
        <v>25</v>
      </c>
      <c r="E459" s="10">
        <f t="shared" si="35"/>
        <v>25</v>
      </c>
      <c r="F459" s="11">
        <v>25</v>
      </c>
      <c r="G459" s="9">
        <v>495244</v>
      </c>
      <c r="H459" s="13">
        <v>40200.45208333333</v>
      </c>
      <c r="I459" s="14">
        <v>0.42</v>
      </c>
      <c r="J459" s="23">
        <f t="shared" si="36"/>
        <v>0.42</v>
      </c>
      <c r="K459" s="12">
        <v>40200</v>
      </c>
      <c r="L459" s="24">
        <v>0.45208333333333334</v>
      </c>
      <c r="M459" t="s">
        <v>1014</v>
      </c>
      <c r="N459" s="15" t="str">
        <f t="shared" si="37"/>
        <v>10:51 AM</v>
      </c>
      <c r="O459" s="9" t="s">
        <v>9</v>
      </c>
      <c r="P459" s="20">
        <f t="shared" si="39"/>
        <v>10.5</v>
      </c>
    </row>
    <row r="460" spans="1:16" x14ac:dyDescent="0.25">
      <c r="A460" s="9">
        <v>16126</v>
      </c>
      <c r="B460" s="9" t="s">
        <v>363</v>
      </c>
      <c r="C460" s="9" t="s">
        <v>364</v>
      </c>
      <c r="D460" s="17">
        <f t="shared" si="38"/>
        <v>2</v>
      </c>
      <c r="E460" s="10">
        <f t="shared" si="35"/>
        <v>2</v>
      </c>
      <c r="F460" s="11">
        <v>2</v>
      </c>
      <c r="G460" s="9">
        <v>526575</v>
      </c>
      <c r="H460" s="13">
        <v>40463.491666666669</v>
      </c>
      <c r="I460" s="14">
        <v>9.9499999999999993</v>
      </c>
      <c r="J460" s="23">
        <f t="shared" si="36"/>
        <v>9.9499999999999993</v>
      </c>
      <c r="K460" s="12">
        <v>40463</v>
      </c>
      <c r="L460" s="24">
        <v>0.49166666666666664</v>
      </c>
      <c r="M460" t="s">
        <v>1014</v>
      </c>
      <c r="N460" s="15" t="str">
        <f t="shared" si="37"/>
        <v>11:48 AM</v>
      </c>
      <c r="O460" s="9" t="s">
        <v>9</v>
      </c>
      <c r="P460" s="20">
        <f t="shared" si="39"/>
        <v>19.899999999999999</v>
      </c>
    </row>
    <row r="461" spans="1:16" x14ac:dyDescent="0.25">
      <c r="A461" s="9">
        <v>14684</v>
      </c>
      <c r="B461" s="9" t="s">
        <v>527</v>
      </c>
      <c r="C461" s="9" t="s">
        <v>528</v>
      </c>
      <c r="D461" s="17">
        <f t="shared" si="38"/>
        <v>1</v>
      </c>
      <c r="E461" s="10">
        <f t="shared" si="35"/>
        <v>1</v>
      </c>
      <c r="F461" s="11">
        <v>1</v>
      </c>
      <c r="G461" s="9">
        <v>532764</v>
      </c>
      <c r="H461" s="13">
        <v>40496.588194444441</v>
      </c>
      <c r="I461" s="14">
        <v>2.95</v>
      </c>
      <c r="J461" s="23">
        <f t="shared" si="36"/>
        <v>2.95</v>
      </c>
      <c r="K461" s="12">
        <v>40496</v>
      </c>
      <c r="L461" s="24">
        <v>8.819444444444445E-2</v>
      </c>
      <c r="M461" t="s">
        <v>1013</v>
      </c>
      <c r="N461" s="15" t="str">
        <f t="shared" si="37"/>
        <v>2:07 PM</v>
      </c>
      <c r="O461" s="9" t="s">
        <v>9</v>
      </c>
      <c r="P461" s="20">
        <f t="shared" si="39"/>
        <v>2.95</v>
      </c>
    </row>
    <row r="462" spans="1:16" x14ac:dyDescent="0.25">
      <c r="A462" s="9">
        <v>14258</v>
      </c>
      <c r="B462" s="9">
        <v>37503</v>
      </c>
      <c r="C462" s="9" t="s">
        <v>288</v>
      </c>
      <c r="D462" s="17">
        <f t="shared" si="38"/>
        <v>6</v>
      </c>
      <c r="E462" s="10">
        <f t="shared" si="35"/>
        <v>6</v>
      </c>
      <c r="F462" s="11">
        <v>6</v>
      </c>
      <c r="G462" s="9">
        <v>490142</v>
      </c>
      <c r="H462" s="13">
        <v>40151.35833333333</v>
      </c>
      <c r="I462" s="14">
        <v>10.75</v>
      </c>
      <c r="J462" s="23">
        <f t="shared" si="36"/>
        <v>10.75</v>
      </c>
      <c r="K462" s="12">
        <v>40151</v>
      </c>
      <c r="L462" s="24">
        <v>0.35833333333333334</v>
      </c>
      <c r="M462" t="s">
        <v>1014</v>
      </c>
      <c r="N462" s="15" t="str">
        <f t="shared" si="37"/>
        <v>8:36 AM</v>
      </c>
      <c r="O462" s="9" t="s">
        <v>9</v>
      </c>
      <c r="P462" s="20">
        <f t="shared" si="39"/>
        <v>64.5</v>
      </c>
    </row>
    <row r="463" spans="1:16" x14ac:dyDescent="0.25">
      <c r="A463" s="9">
        <v>13448</v>
      </c>
      <c r="B463" s="9">
        <v>22312</v>
      </c>
      <c r="C463" s="9" t="s">
        <v>529</v>
      </c>
      <c r="D463" s="17">
        <f t="shared" si="38"/>
        <v>3</v>
      </c>
      <c r="E463" s="10">
        <f t="shared" si="35"/>
        <v>3</v>
      </c>
      <c r="F463" s="11">
        <v>3</v>
      </c>
      <c r="G463" s="9">
        <v>524099</v>
      </c>
      <c r="H463" s="13">
        <v>40448.51666666667</v>
      </c>
      <c r="I463" s="14">
        <v>2.95</v>
      </c>
      <c r="J463" s="23">
        <f t="shared" si="36"/>
        <v>2.95</v>
      </c>
      <c r="K463" s="12">
        <v>40448</v>
      </c>
      <c r="L463" s="24">
        <v>0.51666666666666672</v>
      </c>
      <c r="M463" t="s">
        <v>1013</v>
      </c>
      <c r="N463" s="15" t="str">
        <f t="shared" si="37"/>
        <v>12:24 PM</v>
      </c>
      <c r="O463" s="9" t="s">
        <v>9</v>
      </c>
      <c r="P463" s="20">
        <f t="shared" si="39"/>
        <v>8.8500000000000014</v>
      </c>
    </row>
    <row r="464" spans="1:16" x14ac:dyDescent="0.25">
      <c r="A464" s="9">
        <v>15379</v>
      </c>
      <c r="B464" s="9">
        <v>22553</v>
      </c>
      <c r="C464" s="9" t="s">
        <v>259</v>
      </c>
      <c r="D464" s="17">
        <f t="shared" si="38"/>
        <v>12</v>
      </c>
      <c r="E464" s="10">
        <f t="shared" si="35"/>
        <v>12</v>
      </c>
      <c r="F464" s="11">
        <v>12</v>
      </c>
      <c r="G464" s="9">
        <v>530763</v>
      </c>
      <c r="H464" s="13">
        <v>40486.499305555553</v>
      </c>
      <c r="I464" s="14">
        <v>1.65</v>
      </c>
      <c r="J464" s="23">
        <f t="shared" si="36"/>
        <v>1.65</v>
      </c>
      <c r="K464" s="12">
        <v>40486</v>
      </c>
      <c r="L464" s="24">
        <v>0.49930555555555556</v>
      </c>
      <c r="M464" t="s">
        <v>1014</v>
      </c>
      <c r="N464" s="15" t="str">
        <f t="shared" si="37"/>
        <v>11:59 AM</v>
      </c>
      <c r="O464" s="9" t="s">
        <v>9</v>
      </c>
      <c r="P464" s="20">
        <f t="shared" si="39"/>
        <v>19.799999999999997</v>
      </c>
    </row>
    <row r="465" spans="1:16" x14ac:dyDescent="0.25">
      <c r="A465" s="9">
        <v>14040</v>
      </c>
      <c r="B465" s="9">
        <v>21731</v>
      </c>
      <c r="C465" s="9" t="s">
        <v>96</v>
      </c>
      <c r="D465" s="17">
        <f t="shared" si="38"/>
        <v>1</v>
      </c>
      <c r="E465" s="10">
        <f t="shared" si="35"/>
        <v>1</v>
      </c>
      <c r="F465" s="11">
        <v>1</v>
      </c>
      <c r="G465" s="9">
        <v>520885</v>
      </c>
      <c r="H465" s="13">
        <v>40421.681250000001</v>
      </c>
      <c r="I465" s="14" t="s">
        <v>212</v>
      </c>
      <c r="J465" s="23">
        <f t="shared" si="36"/>
        <v>1.65</v>
      </c>
      <c r="K465" s="12">
        <v>40421</v>
      </c>
      <c r="L465" s="24">
        <v>0.18124999999999999</v>
      </c>
      <c r="M465" t="s">
        <v>1013</v>
      </c>
      <c r="N465" s="15" t="str">
        <f t="shared" si="37"/>
        <v>4:21 PM</v>
      </c>
      <c r="O465" s="9" t="s">
        <v>9</v>
      </c>
      <c r="P465" s="20">
        <f t="shared" si="39"/>
        <v>1.65</v>
      </c>
    </row>
    <row r="466" spans="1:16" x14ac:dyDescent="0.25">
      <c r="A466" s="9">
        <v>12708</v>
      </c>
      <c r="B466" s="9">
        <v>21578</v>
      </c>
      <c r="C466" s="9" t="s">
        <v>530</v>
      </c>
      <c r="D466" s="17">
        <f t="shared" si="38"/>
        <v>12</v>
      </c>
      <c r="E466" s="10">
        <f t="shared" si="35"/>
        <v>12</v>
      </c>
      <c r="F466" s="11">
        <v>12</v>
      </c>
      <c r="G466" s="9">
        <v>506578</v>
      </c>
      <c r="H466" s="13">
        <v>40298.577777777777</v>
      </c>
      <c r="I466" s="14">
        <v>2.25</v>
      </c>
      <c r="J466" s="23">
        <f t="shared" si="36"/>
        <v>2.25</v>
      </c>
      <c r="K466" s="12">
        <v>40298</v>
      </c>
      <c r="L466" s="24">
        <v>7.7777777777777779E-2</v>
      </c>
      <c r="M466" t="s">
        <v>1013</v>
      </c>
      <c r="N466" s="15" t="str">
        <f t="shared" si="37"/>
        <v>1:52 PM</v>
      </c>
      <c r="O466" s="9" t="s">
        <v>17</v>
      </c>
      <c r="P466" s="20">
        <f t="shared" si="39"/>
        <v>27</v>
      </c>
    </row>
    <row r="467" spans="1:16" x14ac:dyDescent="0.25">
      <c r="A467" s="9">
        <v>17797</v>
      </c>
      <c r="B467" s="9" t="s">
        <v>424</v>
      </c>
      <c r="C467" s="9" t="s">
        <v>425</v>
      </c>
      <c r="D467" s="17">
        <f t="shared" si="38"/>
        <v>4</v>
      </c>
      <c r="E467" s="10">
        <f t="shared" si="35"/>
        <v>4</v>
      </c>
      <c r="F467" s="11">
        <v>4</v>
      </c>
      <c r="G467" s="9">
        <v>492153</v>
      </c>
      <c r="H467" s="13">
        <v>40162.604166666657</v>
      </c>
      <c r="I467" s="14" t="s">
        <v>109</v>
      </c>
      <c r="J467" s="23">
        <f t="shared" si="36"/>
        <v>0.85</v>
      </c>
      <c r="K467" s="12">
        <v>40162</v>
      </c>
      <c r="L467" s="24">
        <v>0.10416666666666667</v>
      </c>
      <c r="M467" t="s">
        <v>1013</v>
      </c>
      <c r="N467" s="15" t="str">
        <f t="shared" si="37"/>
        <v>2:30 PM</v>
      </c>
      <c r="O467" s="9" t="s">
        <v>9</v>
      </c>
      <c r="P467" s="20">
        <f t="shared" si="39"/>
        <v>3.4</v>
      </c>
    </row>
    <row r="468" spans="1:16" x14ac:dyDescent="0.25">
      <c r="A468" s="9">
        <v>14606</v>
      </c>
      <c r="B468" s="9">
        <v>21427</v>
      </c>
      <c r="C468" s="9" t="s">
        <v>531</v>
      </c>
      <c r="D468" s="17">
        <f t="shared" si="38"/>
        <v>3</v>
      </c>
      <c r="E468" s="10">
        <f t="shared" si="35"/>
        <v>3</v>
      </c>
      <c r="F468" s="11">
        <v>3</v>
      </c>
      <c r="G468" s="9">
        <v>508721</v>
      </c>
      <c r="H468" s="13">
        <v>40315.724999999999</v>
      </c>
      <c r="I468" s="14">
        <v>2.1</v>
      </c>
      <c r="J468" s="23">
        <f t="shared" si="36"/>
        <v>2.1</v>
      </c>
      <c r="K468" s="12">
        <v>40315</v>
      </c>
      <c r="L468" s="24">
        <v>0.22500000000000001</v>
      </c>
      <c r="M468" t="s">
        <v>1013</v>
      </c>
      <c r="N468" s="15" t="str">
        <f t="shared" si="37"/>
        <v>5:24 PM</v>
      </c>
      <c r="O468" s="9" t="s">
        <v>9</v>
      </c>
      <c r="P468" s="20">
        <f t="shared" si="39"/>
        <v>6.3000000000000007</v>
      </c>
    </row>
    <row r="469" spans="1:16" x14ac:dyDescent="0.25">
      <c r="A469" s="9">
        <v>12748</v>
      </c>
      <c r="B469" s="9">
        <v>21645</v>
      </c>
      <c r="C469" s="9" t="s">
        <v>532</v>
      </c>
      <c r="D469" s="17">
        <f t="shared" si="38"/>
        <v>1</v>
      </c>
      <c r="E469" s="10">
        <f t="shared" si="35"/>
        <v>1</v>
      </c>
      <c r="F469" s="11">
        <v>1</v>
      </c>
      <c r="G469" s="9">
        <v>507420</v>
      </c>
      <c r="H469" s="13">
        <v>40307.629166666673</v>
      </c>
      <c r="I469" s="14">
        <v>1.65</v>
      </c>
      <c r="J469" s="23">
        <f t="shared" si="36"/>
        <v>1.65</v>
      </c>
      <c r="K469" s="12">
        <v>40307</v>
      </c>
      <c r="L469" s="24">
        <v>0.12916666666666668</v>
      </c>
      <c r="M469" t="s">
        <v>1013</v>
      </c>
      <c r="N469" s="15" t="str">
        <f t="shared" si="37"/>
        <v>3:06 PM</v>
      </c>
      <c r="O469" s="9" t="s">
        <v>9</v>
      </c>
      <c r="P469" s="20">
        <f t="shared" si="39"/>
        <v>1.65</v>
      </c>
    </row>
    <row r="470" spans="1:16" x14ac:dyDescent="0.25">
      <c r="A470" s="9">
        <v>16241</v>
      </c>
      <c r="B470" s="9">
        <v>22910</v>
      </c>
      <c r="C470" s="9" t="s">
        <v>533</v>
      </c>
      <c r="D470" s="17">
        <f t="shared" si="38"/>
        <v>2</v>
      </c>
      <c r="E470" s="10">
        <f t="shared" si="35"/>
        <v>2</v>
      </c>
      <c r="F470" s="11">
        <v>2</v>
      </c>
      <c r="G470" s="9">
        <v>534164</v>
      </c>
      <c r="H470" s="13">
        <v>40503.550694444442</v>
      </c>
      <c r="I470" s="14">
        <v>2.95</v>
      </c>
      <c r="J470" s="23">
        <f t="shared" si="36"/>
        <v>2.95</v>
      </c>
      <c r="K470" s="12">
        <v>40503</v>
      </c>
      <c r="L470" s="24">
        <v>5.0694444444444445E-2</v>
      </c>
      <c r="M470" t="s">
        <v>1013</v>
      </c>
      <c r="N470" s="15" t="str">
        <f t="shared" si="37"/>
        <v>1:13 PM</v>
      </c>
      <c r="O470" s="9" t="s">
        <v>9</v>
      </c>
      <c r="P470" s="20">
        <f t="shared" si="39"/>
        <v>5.9</v>
      </c>
    </row>
    <row r="471" spans="1:16" x14ac:dyDescent="0.25">
      <c r="A471" s="9">
        <v>16722</v>
      </c>
      <c r="B471" s="9" t="s">
        <v>534</v>
      </c>
      <c r="C471" s="9" t="s">
        <v>535</v>
      </c>
      <c r="D471" s="17">
        <f t="shared" si="38"/>
        <v>6</v>
      </c>
      <c r="E471" s="10">
        <f t="shared" si="35"/>
        <v>6</v>
      </c>
      <c r="F471" s="11">
        <v>6</v>
      </c>
      <c r="G471" s="9">
        <v>537850</v>
      </c>
      <c r="H471" s="13">
        <v>40520.651388888888</v>
      </c>
      <c r="I471" s="14">
        <v>1.25</v>
      </c>
      <c r="J471" s="23">
        <f t="shared" si="36"/>
        <v>1.25</v>
      </c>
      <c r="K471" s="12">
        <v>40520</v>
      </c>
      <c r="L471" s="24">
        <v>0.15138888888888888</v>
      </c>
      <c r="M471" t="s">
        <v>1013</v>
      </c>
      <c r="N471" s="15" t="str">
        <f t="shared" si="37"/>
        <v>3:38 PM</v>
      </c>
      <c r="O471" s="9" t="s">
        <v>9</v>
      </c>
      <c r="P471" s="20">
        <f t="shared" si="39"/>
        <v>7.5</v>
      </c>
    </row>
    <row r="472" spans="1:16" x14ac:dyDescent="0.25">
      <c r="A472" s="9">
        <v>13412</v>
      </c>
      <c r="B472" s="9">
        <v>21260</v>
      </c>
      <c r="C472" s="9" t="s">
        <v>202</v>
      </c>
      <c r="D472" s="17">
        <f t="shared" si="38"/>
        <v>2</v>
      </c>
      <c r="E472" s="10">
        <f t="shared" si="35"/>
        <v>2</v>
      </c>
      <c r="F472" s="11">
        <v>2</v>
      </c>
      <c r="G472" s="9">
        <v>503060</v>
      </c>
      <c r="H472" s="13">
        <v>40266.686111111107</v>
      </c>
      <c r="I472" s="14">
        <v>3.25</v>
      </c>
      <c r="J472" s="23">
        <f t="shared" si="36"/>
        <v>3.25</v>
      </c>
      <c r="K472" s="12">
        <v>40266</v>
      </c>
      <c r="L472" s="24">
        <v>0.18611111111111112</v>
      </c>
      <c r="M472" t="s">
        <v>1013</v>
      </c>
      <c r="N472" s="15" t="str">
        <f t="shared" si="37"/>
        <v>4:28 PM</v>
      </c>
      <c r="O472" s="9" t="s">
        <v>9</v>
      </c>
      <c r="P472" s="20">
        <f t="shared" si="39"/>
        <v>6.5</v>
      </c>
    </row>
    <row r="473" spans="1:16" x14ac:dyDescent="0.25">
      <c r="A473" s="9">
        <v>17243</v>
      </c>
      <c r="B473" s="9">
        <v>22112</v>
      </c>
      <c r="C473" s="9" t="s">
        <v>199</v>
      </c>
      <c r="D473" s="17">
        <f t="shared" si="38"/>
        <v>2</v>
      </c>
      <c r="E473" s="10">
        <f t="shared" si="35"/>
        <v>2</v>
      </c>
      <c r="F473" s="11">
        <v>2</v>
      </c>
      <c r="G473" s="9">
        <v>521898</v>
      </c>
      <c r="H473" s="13">
        <v>40430.51666666667</v>
      </c>
      <c r="I473" s="14">
        <v>4.95</v>
      </c>
      <c r="J473" s="23">
        <f t="shared" si="36"/>
        <v>4.95</v>
      </c>
      <c r="K473" s="12">
        <v>40430</v>
      </c>
      <c r="L473" s="24">
        <v>0.51666666666666672</v>
      </c>
      <c r="M473" t="s">
        <v>1013</v>
      </c>
      <c r="N473" s="15" t="str">
        <f t="shared" si="37"/>
        <v>12:24 PM</v>
      </c>
      <c r="O473" s="9" t="s">
        <v>9</v>
      </c>
      <c r="P473" s="20">
        <f t="shared" si="39"/>
        <v>9.9</v>
      </c>
    </row>
    <row r="474" spans="1:16" x14ac:dyDescent="0.25">
      <c r="A474" s="9">
        <v>16844</v>
      </c>
      <c r="B474" s="9">
        <v>47566</v>
      </c>
      <c r="C474" s="9" t="s">
        <v>55</v>
      </c>
      <c r="D474" s="17">
        <f t="shared" si="38"/>
        <v>5</v>
      </c>
      <c r="E474" s="10">
        <f t="shared" si="35"/>
        <v>5</v>
      </c>
      <c r="F474" s="11" t="s">
        <v>536</v>
      </c>
      <c r="G474" s="9">
        <v>509865</v>
      </c>
      <c r="H474" s="13">
        <v>40324.436805555553</v>
      </c>
      <c r="I474" s="14">
        <v>4.6500000000000004</v>
      </c>
      <c r="J474" s="23">
        <f t="shared" si="36"/>
        <v>4.6500000000000004</v>
      </c>
      <c r="K474" s="12">
        <v>40324</v>
      </c>
      <c r="L474" s="24">
        <v>0.43680555555555556</v>
      </c>
      <c r="M474" t="s">
        <v>1014</v>
      </c>
      <c r="N474" s="15" t="str">
        <f t="shared" si="37"/>
        <v>10:29 AM</v>
      </c>
      <c r="O474" s="9" t="s">
        <v>9</v>
      </c>
      <c r="P474" s="20">
        <f t="shared" si="39"/>
        <v>23.25</v>
      </c>
    </row>
    <row r="475" spans="1:16" x14ac:dyDescent="0.25">
      <c r="A475" s="9">
        <v>14606</v>
      </c>
      <c r="B475" s="9">
        <v>21577</v>
      </c>
      <c r="C475" s="9" t="s">
        <v>537</v>
      </c>
      <c r="D475" s="17">
        <f t="shared" si="38"/>
        <v>1</v>
      </c>
      <c r="E475" s="10">
        <f t="shared" si="35"/>
        <v>1</v>
      </c>
      <c r="F475" s="11">
        <v>1</v>
      </c>
      <c r="G475" s="9">
        <v>510443</v>
      </c>
      <c r="H475" s="13">
        <v>40328.643750000003</v>
      </c>
      <c r="I475" s="14">
        <v>2.25</v>
      </c>
      <c r="J475" s="23">
        <f t="shared" si="36"/>
        <v>2.25</v>
      </c>
      <c r="K475" s="12">
        <v>40328</v>
      </c>
      <c r="L475" s="24">
        <v>0.14374999999999999</v>
      </c>
      <c r="M475" t="s">
        <v>1013</v>
      </c>
      <c r="N475" s="15" t="str">
        <f t="shared" si="37"/>
        <v>3:27 PM</v>
      </c>
      <c r="O475" s="9" t="s">
        <v>9</v>
      </c>
      <c r="P475" s="20">
        <f t="shared" si="39"/>
        <v>2.25</v>
      </c>
    </row>
    <row r="476" spans="1:16" x14ac:dyDescent="0.25">
      <c r="A476" s="9">
        <v>16735</v>
      </c>
      <c r="B476" s="9">
        <v>22112</v>
      </c>
      <c r="C476" s="9" t="s">
        <v>199</v>
      </c>
      <c r="D476" s="17">
        <f t="shared" si="38"/>
        <v>3</v>
      </c>
      <c r="E476" s="10">
        <f t="shared" si="35"/>
        <v>3</v>
      </c>
      <c r="F476" s="11">
        <v>3</v>
      </c>
      <c r="G476" s="9">
        <v>532325</v>
      </c>
      <c r="H476" s="13">
        <v>40493.642361111109</v>
      </c>
      <c r="I476" s="14">
        <v>4.95</v>
      </c>
      <c r="J476" s="23">
        <f t="shared" si="36"/>
        <v>4.95</v>
      </c>
      <c r="K476" s="12">
        <v>40493</v>
      </c>
      <c r="L476" s="24">
        <v>0.1423611111111111</v>
      </c>
      <c r="M476" t="s">
        <v>1013</v>
      </c>
      <c r="N476" s="15" t="str">
        <f t="shared" si="37"/>
        <v>3:25 PM</v>
      </c>
      <c r="O476" s="9" t="s">
        <v>9</v>
      </c>
      <c r="P476" s="20">
        <f t="shared" si="39"/>
        <v>14.850000000000001</v>
      </c>
    </row>
    <row r="477" spans="1:16" x14ac:dyDescent="0.25">
      <c r="A477" s="9">
        <v>15738</v>
      </c>
      <c r="B477" s="9">
        <v>22090</v>
      </c>
      <c r="C477" s="9" t="s">
        <v>538</v>
      </c>
      <c r="D477" s="17">
        <f t="shared" si="38"/>
        <v>6</v>
      </c>
      <c r="E477" s="10">
        <f t="shared" si="35"/>
        <v>6</v>
      </c>
      <c r="F477" s="11">
        <v>6</v>
      </c>
      <c r="G477" s="9">
        <v>506258</v>
      </c>
      <c r="H477" s="13">
        <v>40296.600694444453</v>
      </c>
      <c r="I477" s="14">
        <v>2.95</v>
      </c>
      <c r="J477" s="23">
        <f t="shared" si="36"/>
        <v>2.95</v>
      </c>
      <c r="K477" s="12">
        <v>40296</v>
      </c>
      <c r="L477" s="24">
        <v>0.10069444444444445</v>
      </c>
      <c r="M477" t="s">
        <v>1013</v>
      </c>
      <c r="N477" s="15" t="str">
        <f t="shared" si="37"/>
        <v>2:25 PM</v>
      </c>
      <c r="O477" s="9" t="s">
        <v>9</v>
      </c>
      <c r="P477" s="20">
        <f t="shared" si="39"/>
        <v>17.700000000000003</v>
      </c>
    </row>
    <row r="478" spans="1:16" x14ac:dyDescent="0.25">
      <c r="A478" s="9">
        <v>14606</v>
      </c>
      <c r="B478" s="9">
        <v>21033</v>
      </c>
      <c r="C478" s="9" t="s">
        <v>539</v>
      </c>
      <c r="D478" s="17">
        <f t="shared" si="38"/>
        <v>5</v>
      </c>
      <c r="E478" s="10">
        <f t="shared" si="35"/>
        <v>5</v>
      </c>
      <c r="F478" s="11">
        <v>5</v>
      </c>
      <c r="G478" s="9">
        <v>499478</v>
      </c>
      <c r="H478" s="13">
        <v>40237.534722222219</v>
      </c>
      <c r="I478" s="14">
        <v>2.95</v>
      </c>
      <c r="J478" s="23">
        <f t="shared" si="36"/>
        <v>2.95</v>
      </c>
      <c r="K478" s="12">
        <v>40237</v>
      </c>
      <c r="L478" s="24">
        <v>0.53472222222222221</v>
      </c>
      <c r="M478" t="s">
        <v>1013</v>
      </c>
      <c r="N478" s="15" t="str">
        <f t="shared" si="37"/>
        <v>12:50 PM</v>
      </c>
      <c r="O478" s="9" t="s">
        <v>9</v>
      </c>
      <c r="P478" s="20">
        <f t="shared" si="39"/>
        <v>14.75</v>
      </c>
    </row>
    <row r="479" spans="1:16" x14ac:dyDescent="0.25">
      <c r="A479" s="9">
        <v>14390</v>
      </c>
      <c r="B479" s="9" t="s">
        <v>540</v>
      </c>
      <c r="C479" s="9" t="s">
        <v>541</v>
      </c>
      <c r="D479" s="17">
        <f t="shared" si="38"/>
        <v>1</v>
      </c>
      <c r="E479" s="10">
        <f t="shared" si="35"/>
        <v>1</v>
      </c>
      <c r="F479" s="11">
        <v>1</v>
      </c>
      <c r="G479" s="9">
        <v>526217</v>
      </c>
      <c r="H479" s="13">
        <v>40461.604166666657</v>
      </c>
      <c r="I479" s="14">
        <v>5.95</v>
      </c>
      <c r="J479" s="23">
        <f t="shared" si="36"/>
        <v>5.95</v>
      </c>
      <c r="K479" s="12">
        <v>40461</v>
      </c>
      <c r="L479" s="24">
        <v>0.10416666666666667</v>
      </c>
      <c r="M479" t="s">
        <v>1013</v>
      </c>
      <c r="N479" s="15" t="str">
        <f t="shared" si="37"/>
        <v>2:30 PM</v>
      </c>
      <c r="O479" s="9" t="s">
        <v>9</v>
      </c>
      <c r="P479" s="20">
        <f t="shared" si="39"/>
        <v>5.95</v>
      </c>
    </row>
    <row r="480" spans="1:16" x14ac:dyDescent="0.25">
      <c r="A480" s="9">
        <v>18223</v>
      </c>
      <c r="B480" s="9">
        <v>21621</v>
      </c>
      <c r="C480" s="9" t="s">
        <v>524</v>
      </c>
      <c r="D480" s="17">
        <f t="shared" si="38"/>
        <v>2</v>
      </c>
      <c r="E480" s="10">
        <f t="shared" si="35"/>
        <v>2</v>
      </c>
      <c r="F480" s="11">
        <v>2</v>
      </c>
      <c r="G480" s="9">
        <v>497235</v>
      </c>
      <c r="H480" s="13">
        <v>40217.424305555563</v>
      </c>
      <c r="I480" s="14">
        <v>8.5</v>
      </c>
      <c r="J480" s="23">
        <f t="shared" si="36"/>
        <v>8.5</v>
      </c>
      <c r="K480" s="12">
        <v>40217</v>
      </c>
      <c r="L480" s="24">
        <v>0.42430555555555555</v>
      </c>
      <c r="M480" t="s">
        <v>1014</v>
      </c>
      <c r="N480" s="15" t="str">
        <f t="shared" si="37"/>
        <v>10:11 AM</v>
      </c>
      <c r="O480" s="9" t="s">
        <v>9</v>
      </c>
      <c r="P480" s="20">
        <f t="shared" si="39"/>
        <v>17</v>
      </c>
    </row>
    <row r="481" spans="1:16" x14ac:dyDescent="0.25">
      <c r="A481" s="9">
        <v>17226</v>
      </c>
      <c r="B481" s="9">
        <v>22030</v>
      </c>
      <c r="C481" s="9" t="s">
        <v>448</v>
      </c>
      <c r="D481" s="17">
        <f t="shared" si="38"/>
        <v>12</v>
      </c>
      <c r="E481" s="10">
        <f t="shared" si="35"/>
        <v>12</v>
      </c>
      <c r="F481" s="11">
        <v>12</v>
      </c>
      <c r="G481" s="9">
        <v>497808</v>
      </c>
      <c r="H481" s="13">
        <v>40221.604861111111</v>
      </c>
      <c r="I481" s="14">
        <v>0.42</v>
      </c>
      <c r="J481" s="23">
        <f t="shared" si="36"/>
        <v>0.42</v>
      </c>
      <c r="K481" s="12">
        <v>40221</v>
      </c>
      <c r="L481" s="24">
        <v>0.10486111111111111</v>
      </c>
      <c r="M481" t="s">
        <v>1013</v>
      </c>
      <c r="N481" s="15" t="str">
        <f t="shared" si="37"/>
        <v>2:31 PM</v>
      </c>
      <c r="O481" s="9" t="s">
        <v>9</v>
      </c>
      <c r="P481" s="20">
        <f t="shared" si="39"/>
        <v>5.04</v>
      </c>
    </row>
    <row r="482" spans="1:16" x14ac:dyDescent="0.25">
      <c r="A482" s="9">
        <v>15039</v>
      </c>
      <c r="B482" s="9" t="s">
        <v>542</v>
      </c>
      <c r="C482" s="9" t="s">
        <v>543</v>
      </c>
      <c r="D482" s="17">
        <f t="shared" si="38"/>
        <v>4</v>
      </c>
      <c r="E482" s="10">
        <f t="shared" si="35"/>
        <v>4</v>
      </c>
      <c r="F482" s="11">
        <v>4</v>
      </c>
      <c r="G482" s="9">
        <v>511362</v>
      </c>
      <c r="H482" s="13">
        <v>40337.468055555553</v>
      </c>
      <c r="I482" s="14">
        <v>7.95</v>
      </c>
      <c r="J482" s="23">
        <f t="shared" si="36"/>
        <v>7.95</v>
      </c>
      <c r="K482" s="12">
        <v>40337</v>
      </c>
      <c r="L482" s="24">
        <v>0.46805555555555556</v>
      </c>
      <c r="M482" t="s">
        <v>1014</v>
      </c>
      <c r="N482" s="15" t="str">
        <f t="shared" si="37"/>
        <v>11:14 AM</v>
      </c>
      <c r="O482" s="9" t="s">
        <v>9</v>
      </c>
      <c r="P482" s="20">
        <f t="shared" si="39"/>
        <v>31.8</v>
      </c>
    </row>
    <row r="483" spans="1:16" x14ac:dyDescent="0.25">
      <c r="A483" s="9">
        <v>12921</v>
      </c>
      <c r="B483" s="9">
        <v>22750</v>
      </c>
      <c r="C483" s="9" t="s">
        <v>545</v>
      </c>
      <c r="D483" s="17">
        <f t="shared" si="38"/>
        <v>4</v>
      </c>
      <c r="E483" s="10">
        <f t="shared" si="35"/>
        <v>-4</v>
      </c>
      <c r="F483" s="11">
        <v>-4</v>
      </c>
      <c r="G483" s="9" t="s">
        <v>544</v>
      </c>
      <c r="H483" s="13">
        <v>40431.463194444441</v>
      </c>
      <c r="I483" s="14">
        <v>3.75</v>
      </c>
      <c r="J483" s="23">
        <f t="shared" si="36"/>
        <v>3.75</v>
      </c>
      <c r="K483" s="12">
        <v>40431</v>
      </c>
      <c r="L483" s="24">
        <v>0.46319444444444446</v>
      </c>
      <c r="M483" t="s">
        <v>1014</v>
      </c>
      <c r="N483" s="15" t="str">
        <f t="shared" si="37"/>
        <v>11:07 AM</v>
      </c>
      <c r="O483" s="9" t="s">
        <v>9</v>
      </c>
      <c r="P483" s="20">
        <f t="shared" si="39"/>
        <v>15</v>
      </c>
    </row>
    <row r="484" spans="1:16" x14ac:dyDescent="0.25">
      <c r="A484" s="9">
        <v>13756</v>
      </c>
      <c r="B484" s="9">
        <v>22402</v>
      </c>
      <c r="C484" s="9" t="s">
        <v>546</v>
      </c>
      <c r="D484" s="17">
        <f t="shared" si="38"/>
        <v>3</v>
      </c>
      <c r="E484" s="10">
        <f t="shared" si="35"/>
        <v>3</v>
      </c>
      <c r="F484" s="11">
        <v>3</v>
      </c>
      <c r="G484" s="9">
        <v>514108</v>
      </c>
      <c r="H484" s="13">
        <v>40359.532638888893</v>
      </c>
      <c r="I484" s="14">
        <v>1.25</v>
      </c>
      <c r="J484" s="23">
        <f t="shared" si="36"/>
        <v>1.25</v>
      </c>
      <c r="K484" s="12">
        <v>40359</v>
      </c>
      <c r="L484" s="24">
        <v>0.53263888888888888</v>
      </c>
      <c r="M484" t="s">
        <v>1013</v>
      </c>
      <c r="N484" s="15" t="str">
        <f t="shared" si="37"/>
        <v>12:47 PM</v>
      </c>
      <c r="O484" s="9" t="s">
        <v>9</v>
      </c>
      <c r="P484" s="20">
        <f t="shared" si="39"/>
        <v>3.75</v>
      </c>
    </row>
    <row r="485" spans="1:16" x14ac:dyDescent="0.25">
      <c r="A485" s="9">
        <v>12747</v>
      </c>
      <c r="B485" s="9">
        <v>48138</v>
      </c>
      <c r="C485" s="9" t="s">
        <v>183</v>
      </c>
      <c r="D485" s="17">
        <f t="shared" si="38"/>
        <v>2</v>
      </c>
      <c r="E485" s="10">
        <f t="shared" si="35"/>
        <v>2</v>
      </c>
      <c r="F485" s="11">
        <v>2</v>
      </c>
      <c r="G485" s="9">
        <v>505554</v>
      </c>
      <c r="H485" s="13">
        <v>40291.410416666673</v>
      </c>
      <c r="I485" s="14">
        <v>7.49</v>
      </c>
      <c r="J485" s="23">
        <f t="shared" si="36"/>
        <v>7.49</v>
      </c>
      <c r="K485" s="12">
        <v>40291</v>
      </c>
      <c r="L485" s="24">
        <v>0.41041666666666665</v>
      </c>
      <c r="M485" t="s">
        <v>1014</v>
      </c>
      <c r="N485" s="15" t="str">
        <f t="shared" si="37"/>
        <v>9:51 AM</v>
      </c>
      <c r="O485" s="9" t="s">
        <v>9</v>
      </c>
      <c r="P485" s="20">
        <f t="shared" si="39"/>
        <v>14.98</v>
      </c>
    </row>
    <row r="486" spans="1:16" x14ac:dyDescent="0.25">
      <c r="A486" s="9">
        <v>13081</v>
      </c>
      <c r="B486" s="9">
        <v>21231</v>
      </c>
      <c r="C486" s="9" t="s">
        <v>493</v>
      </c>
      <c r="D486" s="17">
        <f t="shared" si="38"/>
        <v>24</v>
      </c>
      <c r="E486" s="10">
        <f t="shared" si="35"/>
        <v>24</v>
      </c>
      <c r="F486" s="11">
        <v>24</v>
      </c>
      <c r="G486" s="9">
        <v>527957</v>
      </c>
      <c r="H486" s="13">
        <v>40470.693055555559</v>
      </c>
      <c r="I486" s="14">
        <v>1.25</v>
      </c>
      <c r="J486" s="23">
        <f t="shared" si="36"/>
        <v>1.25</v>
      </c>
      <c r="K486" s="12">
        <v>40470</v>
      </c>
      <c r="L486" s="24">
        <v>0.19305555555555556</v>
      </c>
      <c r="M486" t="s">
        <v>1013</v>
      </c>
      <c r="N486" s="15" t="str">
        <f t="shared" si="37"/>
        <v>4:38 PM</v>
      </c>
      <c r="O486" s="9" t="s">
        <v>9</v>
      </c>
      <c r="P486" s="20">
        <f t="shared" si="39"/>
        <v>30</v>
      </c>
    </row>
    <row r="487" spans="1:16" x14ac:dyDescent="0.25">
      <c r="A487" s="9">
        <v>15998</v>
      </c>
      <c r="B487" s="9">
        <v>21146</v>
      </c>
      <c r="C487" s="9" t="s">
        <v>547</v>
      </c>
      <c r="D487" s="17">
        <f t="shared" si="38"/>
        <v>4</v>
      </c>
      <c r="E487" s="10">
        <f t="shared" si="35"/>
        <v>4</v>
      </c>
      <c r="F487" s="11">
        <v>4</v>
      </c>
      <c r="G487" s="9">
        <v>491457</v>
      </c>
      <c r="H487" s="13">
        <v>40158.476388888892</v>
      </c>
      <c r="I487" s="14">
        <v>1.95</v>
      </c>
      <c r="J487" s="23">
        <f t="shared" si="36"/>
        <v>1.95</v>
      </c>
      <c r="K487" s="12">
        <v>40158</v>
      </c>
      <c r="L487" s="24">
        <v>0.47638888888888886</v>
      </c>
      <c r="M487" t="s">
        <v>1014</v>
      </c>
      <c r="N487" s="15" t="str">
        <f t="shared" si="37"/>
        <v>11:26 AM</v>
      </c>
      <c r="O487" s="9" t="s">
        <v>9</v>
      </c>
      <c r="P487" s="20">
        <f t="shared" si="39"/>
        <v>7.8</v>
      </c>
    </row>
    <row r="488" spans="1:16" x14ac:dyDescent="0.25">
      <c r="A488" s="9">
        <v>13069</v>
      </c>
      <c r="B488" s="9">
        <v>22428</v>
      </c>
      <c r="C488" s="9" t="s">
        <v>548</v>
      </c>
      <c r="D488" s="17">
        <f t="shared" si="38"/>
        <v>1</v>
      </c>
      <c r="E488" s="10">
        <f t="shared" si="35"/>
        <v>1</v>
      </c>
      <c r="F488" s="11">
        <v>1</v>
      </c>
      <c r="G488" s="9">
        <v>517042</v>
      </c>
      <c r="H488" s="13">
        <v>40385.490277777782</v>
      </c>
      <c r="I488" s="14">
        <v>6.95</v>
      </c>
      <c r="J488" s="23">
        <f t="shared" si="36"/>
        <v>6.95</v>
      </c>
      <c r="K488" s="12">
        <v>40385</v>
      </c>
      <c r="L488" s="24">
        <v>0.49027777777777776</v>
      </c>
      <c r="M488" t="s">
        <v>1014</v>
      </c>
      <c r="N488" s="15" t="str">
        <f t="shared" si="37"/>
        <v>11:46 AM</v>
      </c>
      <c r="O488" s="9" t="s">
        <v>9</v>
      </c>
      <c r="P488" s="20">
        <f t="shared" si="39"/>
        <v>6.95</v>
      </c>
    </row>
    <row r="489" spans="1:16" x14ac:dyDescent="0.25">
      <c r="A489" s="9">
        <v>15861</v>
      </c>
      <c r="B489" s="9">
        <v>22352</v>
      </c>
      <c r="C489" s="9" t="s">
        <v>549</v>
      </c>
      <c r="D489" s="17">
        <f t="shared" si="38"/>
        <v>2</v>
      </c>
      <c r="E489" s="10">
        <f t="shared" si="35"/>
        <v>2</v>
      </c>
      <c r="F489" s="11">
        <v>2</v>
      </c>
      <c r="G489" s="9">
        <v>521974</v>
      </c>
      <c r="H489" s="13">
        <v>40430.830555555563</v>
      </c>
      <c r="I489" s="14">
        <v>2.5499999999999998</v>
      </c>
      <c r="J489" s="23">
        <f t="shared" si="36"/>
        <v>2.5499999999999998</v>
      </c>
      <c r="K489" s="12">
        <v>40430</v>
      </c>
      <c r="L489" s="24">
        <v>0.33055555555555555</v>
      </c>
      <c r="M489" t="s">
        <v>1013</v>
      </c>
      <c r="N489" s="15" t="str">
        <f t="shared" si="37"/>
        <v>7:56 PM</v>
      </c>
      <c r="O489" s="9" t="s">
        <v>9</v>
      </c>
      <c r="P489" s="20">
        <f t="shared" si="39"/>
        <v>5.0999999999999996</v>
      </c>
    </row>
    <row r="490" spans="1:16" x14ac:dyDescent="0.25">
      <c r="A490" s="9">
        <v>17511</v>
      </c>
      <c r="B490" s="9">
        <v>21914</v>
      </c>
      <c r="C490" s="9" t="s">
        <v>550</v>
      </c>
      <c r="D490" s="17">
        <f t="shared" si="38"/>
        <v>24</v>
      </c>
      <c r="E490" s="10">
        <f t="shared" si="35"/>
        <v>24</v>
      </c>
      <c r="F490" s="11">
        <v>24</v>
      </c>
      <c r="G490" s="9">
        <v>530434</v>
      </c>
      <c r="H490" s="13">
        <v>40485.449305555558</v>
      </c>
      <c r="I490" s="14">
        <v>1.25</v>
      </c>
      <c r="J490" s="23">
        <f t="shared" si="36"/>
        <v>1.25</v>
      </c>
      <c r="K490" s="12">
        <v>40485</v>
      </c>
      <c r="L490" s="24">
        <v>0.44930555555555557</v>
      </c>
      <c r="M490" t="s">
        <v>1014</v>
      </c>
      <c r="N490" s="15" t="str">
        <f t="shared" si="37"/>
        <v>10:47 AM</v>
      </c>
      <c r="O490" s="9" t="s">
        <v>9</v>
      </c>
      <c r="P490" s="20">
        <f t="shared" si="39"/>
        <v>30</v>
      </c>
    </row>
    <row r="491" spans="1:16" x14ac:dyDescent="0.25">
      <c r="A491" s="9">
        <v>17618</v>
      </c>
      <c r="B491" s="9">
        <v>22521</v>
      </c>
      <c r="C491" s="9" t="s">
        <v>551</v>
      </c>
      <c r="D491" s="17">
        <f t="shared" si="38"/>
        <v>4</v>
      </c>
      <c r="E491" s="10">
        <f t="shared" si="35"/>
        <v>4</v>
      </c>
      <c r="F491" s="11">
        <v>4</v>
      </c>
      <c r="G491" s="9">
        <v>510429</v>
      </c>
      <c r="H491" s="13">
        <v>40328.538194444453</v>
      </c>
      <c r="I491" s="14">
        <v>0.85</v>
      </c>
      <c r="J491" s="23">
        <f t="shared" si="36"/>
        <v>0.85</v>
      </c>
      <c r="K491" s="12">
        <v>40328</v>
      </c>
      <c r="L491" s="24">
        <v>0.53819444444444442</v>
      </c>
      <c r="M491" t="s">
        <v>1013</v>
      </c>
      <c r="N491" s="15" t="str">
        <f t="shared" si="37"/>
        <v>12:55 PM</v>
      </c>
      <c r="O491" s="9" t="s">
        <v>9</v>
      </c>
      <c r="P491" s="20">
        <f t="shared" si="39"/>
        <v>3.4</v>
      </c>
    </row>
    <row r="492" spans="1:16" x14ac:dyDescent="0.25">
      <c r="A492" s="9">
        <v>17841</v>
      </c>
      <c r="B492" s="9">
        <v>20910</v>
      </c>
      <c r="C492" s="9" t="s">
        <v>552</v>
      </c>
      <c r="D492" s="17">
        <f t="shared" si="38"/>
        <v>1</v>
      </c>
      <c r="E492" s="10">
        <f t="shared" si="35"/>
        <v>1</v>
      </c>
      <c r="F492" s="11">
        <v>1</v>
      </c>
      <c r="G492" s="9">
        <v>518484</v>
      </c>
      <c r="H492" s="13">
        <v>40399.518750000003</v>
      </c>
      <c r="I492" s="14">
        <v>6.35</v>
      </c>
      <c r="J492" s="23">
        <f t="shared" si="36"/>
        <v>6.35</v>
      </c>
      <c r="K492" s="12">
        <v>40399</v>
      </c>
      <c r="L492" s="24">
        <v>0.51875000000000004</v>
      </c>
      <c r="M492" t="s">
        <v>1013</v>
      </c>
      <c r="N492" s="15" t="str">
        <f t="shared" si="37"/>
        <v>12:27 PM</v>
      </c>
      <c r="O492" s="9" t="s">
        <v>9</v>
      </c>
      <c r="P492" s="20">
        <f t="shared" si="39"/>
        <v>6.35</v>
      </c>
    </row>
    <row r="493" spans="1:16" x14ac:dyDescent="0.25">
      <c r="A493" s="9">
        <v>17095</v>
      </c>
      <c r="B493" s="9" t="s">
        <v>553</v>
      </c>
      <c r="C493" s="9" t="s">
        <v>554</v>
      </c>
      <c r="D493" s="17">
        <f t="shared" si="38"/>
        <v>48</v>
      </c>
      <c r="E493" s="10">
        <f t="shared" si="35"/>
        <v>48</v>
      </c>
      <c r="F493" s="11">
        <v>48</v>
      </c>
      <c r="G493" s="9">
        <v>519927</v>
      </c>
      <c r="H493" s="13">
        <v>40412.633333333331</v>
      </c>
      <c r="I493" s="14">
        <v>0.42</v>
      </c>
      <c r="J493" s="23">
        <f t="shared" si="36"/>
        <v>0.42</v>
      </c>
      <c r="K493" s="12">
        <v>40412</v>
      </c>
      <c r="L493" s="24">
        <v>0.13333333333333333</v>
      </c>
      <c r="M493" t="s">
        <v>1013</v>
      </c>
      <c r="N493" s="15" t="str">
        <f t="shared" si="37"/>
        <v>3:12 PM</v>
      </c>
      <c r="O493" s="9" t="s">
        <v>9</v>
      </c>
      <c r="P493" s="20">
        <f t="shared" si="39"/>
        <v>20.16</v>
      </c>
    </row>
    <row r="494" spans="1:16" x14ac:dyDescent="0.25">
      <c r="A494" s="9">
        <v>15581</v>
      </c>
      <c r="B494" s="9">
        <v>22026</v>
      </c>
      <c r="C494" s="9" t="s">
        <v>555</v>
      </c>
      <c r="D494" s="17">
        <f t="shared" si="38"/>
        <v>12</v>
      </c>
      <c r="E494" s="10">
        <f t="shared" si="35"/>
        <v>12</v>
      </c>
      <c r="F494" s="11">
        <v>12</v>
      </c>
      <c r="G494" s="9">
        <v>515012</v>
      </c>
      <c r="H494" s="13">
        <v>40366.676388888889</v>
      </c>
      <c r="I494" s="14">
        <v>0.42</v>
      </c>
      <c r="J494" s="23">
        <f t="shared" si="36"/>
        <v>0.42</v>
      </c>
      <c r="K494" s="12">
        <v>40366</v>
      </c>
      <c r="L494" s="24">
        <v>0.1763888888888889</v>
      </c>
      <c r="M494" t="s">
        <v>1013</v>
      </c>
      <c r="N494" s="15" t="str">
        <f t="shared" si="37"/>
        <v>4:14 PM</v>
      </c>
      <c r="O494" s="9" t="s">
        <v>9</v>
      </c>
      <c r="P494" s="20">
        <f t="shared" si="39"/>
        <v>5.04</v>
      </c>
    </row>
    <row r="495" spans="1:16" x14ac:dyDescent="0.25">
      <c r="A495" s="9">
        <v>14606</v>
      </c>
      <c r="B495" s="9">
        <v>21171</v>
      </c>
      <c r="C495" s="9" t="s">
        <v>556</v>
      </c>
      <c r="D495" s="17">
        <f t="shared" si="38"/>
        <v>1</v>
      </c>
      <c r="E495" s="10">
        <f t="shared" si="35"/>
        <v>1</v>
      </c>
      <c r="F495" s="11">
        <v>1</v>
      </c>
      <c r="G495" s="9">
        <v>497739</v>
      </c>
      <c r="H495" s="13">
        <v>40221.431250000001</v>
      </c>
      <c r="I495" s="14">
        <v>1.45</v>
      </c>
      <c r="J495" s="23">
        <f t="shared" si="36"/>
        <v>1.45</v>
      </c>
      <c r="K495" s="12">
        <v>40221</v>
      </c>
      <c r="L495" s="24">
        <v>0.43125000000000002</v>
      </c>
      <c r="M495" t="s">
        <v>1014</v>
      </c>
      <c r="N495" s="15" t="str">
        <f t="shared" si="37"/>
        <v>10:21 AM</v>
      </c>
      <c r="O495" s="9" t="s">
        <v>9</v>
      </c>
      <c r="P495" s="20">
        <f t="shared" si="39"/>
        <v>1.45</v>
      </c>
    </row>
    <row r="496" spans="1:16" x14ac:dyDescent="0.25">
      <c r="A496" s="9">
        <v>14978</v>
      </c>
      <c r="B496" s="9" t="s">
        <v>557</v>
      </c>
      <c r="C496" s="9" t="s">
        <v>200</v>
      </c>
      <c r="D496" s="17">
        <f t="shared" si="38"/>
        <v>2</v>
      </c>
      <c r="E496" s="10">
        <f t="shared" si="35"/>
        <v>2</v>
      </c>
      <c r="F496" s="11">
        <v>2</v>
      </c>
      <c r="G496" s="9">
        <v>516273</v>
      </c>
      <c r="H496" s="13">
        <v>40378.530555555553</v>
      </c>
      <c r="I496" s="14">
        <v>7.49</v>
      </c>
      <c r="J496" s="23">
        <f t="shared" si="36"/>
        <v>7.49</v>
      </c>
      <c r="K496" s="12">
        <v>40378</v>
      </c>
      <c r="L496" s="24">
        <v>0.53055555555555556</v>
      </c>
      <c r="M496" t="s">
        <v>1013</v>
      </c>
      <c r="N496" s="15" t="str">
        <f t="shared" si="37"/>
        <v>12:44 PM</v>
      </c>
      <c r="O496" s="9" t="s">
        <v>9</v>
      </c>
      <c r="P496" s="20">
        <f t="shared" si="39"/>
        <v>14.98</v>
      </c>
    </row>
    <row r="497" spans="1:16" x14ac:dyDescent="0.25">
      <c r="A497" s="9">
        <v>17519</v>
      </c>
      <c r="B497" s="9">
        <v>22319</v>
      </c>
      <c r="C497" s="9" t="s">
        <v>558</v>
      </c>
      <c r="D497" s="17">
        <f t="shared" si="38"/>
        <v>12</v>
      </c>
      <c r="E497" s="10">
        <f t="shared" si="35"/>
        <v>12</v>
      </c>
      <c r="F497" s="11">
        <v>12</v>
      </c>
      <c r="G497" s="9">
        <v>495289</v>
      </c>
      <c r="H497" s="13">
        <v>40200.525694444441</v>
      </c>
      <c r="I497" s="14">
        <v>0.65</v>
      </c>
      <c r="J497" s="23">
        <f t="shared" si="36"/>
        <v>0.65</v>
      </c>
      <c r="K497" s="12">
        <v>40200</v>
      </c>
      <c r="L497" s="24">
        <v>0.52569444444444446</v>
      </c>
      <c r="M497" t="s">
        <v>1013</v>
      </c>
      <c r="N497" s="15" t="str">
        <f t="shared" si="37"/>
        <v>12:37 PM</v>
      </c>
      <c r="O497" s="9" t="s">
        <v>9</v>
      </c>
      <c r="P497" s="20">
        <f t="shared" si="39"/>
        <v>7.8000000000000007</v>
      </c>
    </row>
    <row r="498" spans="1:16" x14ac:dyDescent="0.25">
      <c r="A498" s="9">
        <v>17167</v>
      </c>
      <c r="B498" s="9">
        <v>21174</v>
      </c>
      <c r="C498" s="9" t="s">
        <v>521</v>
      </c>
      <c r="D498" s="17">
        <f t="shared" si="38"/>
        <v>12</v>
      </c>
      <c r="E498" s="10">
        <f t="shared" si="35"/>
        <v>12</v>
      </c>
      <c r="F498" s="11">
        <v>12</v>
      </c>
      <c r="G498" s="9">
        <v>535088</v>
      </c>
      <c r="H498" s="13">
        <v>40507.420138888891</v>
      </c>
      <c r="I498" s="14">
        <v>1.95</v>
      </c>
      <c r="J498" s="23">
        <f t="shared" si="36"/>
        <v>1.95</v>
      </c>
      <c r="K498" s="12">
        <v>40507</v>
      </c>
      <c r="L498" s="24">
        <v>0.4201388888888889</v>
      </c>
      <c r="M498" t="s">
        <v>1014</v>
      </c>
      <c r="N498" s="15" t="str">
        <f t="shared" si="37"/>
        <v>10:05 AM</v>
      </c>
      <c r="O498" s="9" t="s">
        <v>9</v>
      </c>
      <c r="P498" s="20">
        <f t="shared" si="39"/>
        <v>23.4</v>
      </c>
    </row>
    <row r="499" spans="1:16" x14ac:dyDescent="0.25">
      <c r="A499" s="9">
        <v>14298</v>
      </c>
      <c r="B499" s="9">
        <v>21814</v>
      </c>
      <c r="C499" s="9" t="s">
        <v>559</v>
      </c>
      <c r="D499" s="17">
        <f t="shared" si="38"/>
        <v>12</v>
      </c>
      <c r="E499" s="10">
        <f t="shared" si="35"/>
        <v>12</v>
      </c>
      <c r="F499" s="11">
        <v>12</v>
      </c>
      <c r="G499" s="9">
        <v>533074</v>
      </c>
      <c r="H499" s="13">
        <v>40498.327777777777</v>
      </c>
      <c r="I499" s="14">
        <v>1.25</v>
      </c>
      <c r="J499" s="23">
        <f t="shared" si="36"/>
        <v>1.25</v>
      </c>
      <c r="K499" s="12">
        <v>40498</v>
      </c>
      <c r="L499" s="24">
        <v>0.32777777777777778</v>
      </c>
      <c r="M499" t="s">
        <v>1014</v>
      </c>
      <c r="N499" s="15" t="str">
        <f t="shared" si="37"/>
        <v>7:52 AM</v>
      </c>
      <c r="O499" s="9" t="s">
        <v>9</v>
      </c>
      <c r="P499" s="20">
        <f t="shared" si="39"/>
        <v>15</v>
      </c>
    </row>
    <row r="500" spans="1:16" x14ac:dyDescent="0.25">
      <c r="A500" s="9">
        <v>16731</v>
      </c>
      <c r="B500" s="9">
        <v>21869</v>
      </c>
      <c r="C500" s="9" t="s">
        <v>561</v>
      </c>
      <c r="D500" s="17">
        <f t="shared" si="38"/>
        <v>3</v>
      </c>
      <c r="E500" s="10">
        <f t="shared" si="35"/>
        <v>3</v>
      </c>
      <c r="F500" s="11">
        <v>3</v>
      </c>
      <c r="G500" s="9" t="s">
        <v>560</v>
      </c>
      <c r="H500" s="17" t="s">
        <v>562</v>
      </c>
      <c r="I500" s="14">
        <v>1.25</v>
      </c>
      <c r="J500" s="23">
        <f t="shared" si="36"/>
        <v>1.25</v>
      </c>
      <c r="K500" s="12">
        <v>40181</v>
      </c>
      <c r="L500" s="25">
        <v>0.62847222222222221</v>
      </c>
      <c r="N500" s="15" t="str">
        <f t="shared" si="37"/>
        <v xml:space="preserve">15:05 </v>
      </c>
      <c r="O500" s="9" t="s">
        <v>9</v>
      </c>
      <c r="P500" s="20">
        <f t="shared" si="39"/>
        <v>3.75</v>
      </c>
    </row>
    <row r="501" spans="1:16" x14ac:dyDescent="0.25">
      <c r="A501" s="9">
        <v>13299</v>
      </c>
      <c r="B501" s="9">
        <v>21868</v>
      </c>
      <c r="C501" s="9" t="s">
        <v>563</v>
      </c>
      <c r="D501" s="17">
        <f t="shared" si="38"/>
        <v>12</v>
      </c>
      <c r="E501" s="10">
        <f t="shared" si="35"/>
        <v>12</v>
      </c>
      <c r="F501" s="11">
        <v>12</v>
      </c>
      <c r="G501" s="9">
        <v>526510</v>
      </c>
      <c r="H501" s="13">
        <v>40463.453472222223</v>
      </c>
      <c r="I501" s="14">
        <v>1.25</v>
      </c>
      <c r="J501" s="23">
        <f t="shared" si="36"/>
        <v>1.25</v>
      </c>
      <c r="K501" s="12">
        <v>40463</v>
      </c>
      <c r="L501" s="24">
        <v>0.45347222222222222</v>
      </c>
      <c r="M501" t="s">
        <v>1014</v>
      </c>
      <c r="N501" s="15" t="str">
        <f t="shared" si="37"/>
        <v>10:53 AM</v>
      </c>
      <c r="O501" s="9" t="s">
        <v>9</v>
      </c>
      <c r="P501" s="20">
        <f t="shared" si="39"/>
        <v>15</v>
      </c>
    </row>
    <row r="502" spans="1:16" x14ac:dyDescent="0.25">
      <c r="A502" s="9">
        <v>15514</v>
      </c>
      <c r="B502" s="9">
        <v>22303</v>
      </c>
      <c r="C502" s="9" t="s">
        <v>173</v>
      </c>
      <c r="D502" s="17">
        <f t="shared" si="38"/>
        <v>6</v>
      </c>
      <c r="E502" s="10">
        <f t="shared" si="35"/>
        <v>6</v>
      </c>
      <c r="F502" s="11">
        <v>6</v>
      </c>
      <c r="G502" s="9">
        <v>493375</v>
      </c>
      <c r="H502" s="13">
        <v>40170.504861111112</v>
      </c>
      <c r="I502" s="14">
        <v>2.5499999999999998</v>
      </c>
      <c r="J502" s="23">
        <f t="shared" si="36"/>
        <v>2.5499999999999998</v>
      </c>
      <c r="K502" s="12">
        <v>40170</v>
      </c>
      <c r="L502" s="24">
        <v>0.50486111111111109</v>
      </c>
      <c r="M502" t="s">
        <v>1013</v>
      </c>
      <c r="N502" s="15" t="str">
        <f t="shared" si="37"/>
        <v>12:07 PM</v>
      </c>
      <c r="O502" s="9" t="s">
        <v>9</v>
      </c>
      <c r="P502" s="20">
        <f t="shared" si="39"/>
        <v>15.299999999999999</v>
      </c>
    </row>
    <row r="503" spans="1:16" x14ac:dyDescent="0.25">
      <c r="A503" s="9">
        <v>16821</v>
      </c>
      <c r="B503" s="9">
        <v>22762</v>
      </c>
      <c r="C503" s="9" t="s">
        <v>564</v>
      </c>
      <c r="D503" s="17">
        <f t="shared" si="38"/>
        <v>1</v>
      </c>
      <c r="E503" s="10">
        <f t="shared" si="35"/>
        <v>1</v>
      </c>
      <c r="F503" s="11">
        <v>1</v>
      </c>
      <c r="G503" s="9">
        <v>534465</v>
      </c>
      <c r="H503" s="13">
        <v>40505.419444444437</v>
      </c>
      <c r="I503" s="14">
        <v>14.95</v>
      </c>
      <c r="J503" s="23">
        <f t="shared" si="36"/>
        <v>14.95</v>
      </c>
      <c r="K503" s="12">
        <v>40505</v>
      </c>
      <c r="L503" s="24">
        <v>0.41944444444444445</v>
      </c>
      <c r="M503" t="s">
        <v>1014</v>
      </c>
      <c r="N503" s="15" t="str">
        <f t="shared" si="37"/>
        <v>10:04 AM</v>
      </c>
      <c r="O503" s="9" t="s">
        <v>9</v>
      </c>
      <c r="P503" s="20">
        <f t="shared" si="39"/>
        <v>14.95</v>
      </c>
    </row>
    <row r="504" spans="1:16" x14ac:dyDescent="0.25">
      <c r="A504" s="9">
        <v>12701</v>
      </c>
      <c r="B504" s="9">
        <v>22711</v>
      </c>
      <c r="C504" s="9" t="s">
        <v>565</v>
      </c>
      <c r="D504" s="17">
        <f t="shared" si="38"/>
        <v>25</v>
      </c>
      <c r="E504" s="10">
        <f t="shared" si="35"/>
        <v>25</v>
      </c>
      <c r="F504" s="11">
        <v>25</v>
      </c>
      <c r="G504" s="9">
        <v>513769</v>
      </c>
      <c r="H504" s="13">
        <v>40357.572222222218</v>
      </c>
      <c r="I504" s="14">
        <v>0.42</v>
      </c>
      <c r="J504" s="23">
        <f t="shared" si="36"/>
        <v>0.42</v>
      </c>
      <c r="K504" s="12">
        <v>40357</v>
      </c>
      <c r="L504" s="24">
        <v>7.2222222222222215E-2</v>
      </c>
      <c r="M504" t="s">
        <v>1013</v>
      </c>
      <c r="N504" s="15" t="str">
        <f t="shared" si="37"/>
        <v>1:44 PM</v>
      </c>
      <c r="O504" s="9" t="s">
        <v>17</v>
      </c>
      <c r="P504" s="20">
        <f t="shared" si="39"/>
        <v>10.5</v>
      </c>
    </row>
    <row r="505" spans="1:16" x14ac:dyDescent="0.25">
      <c r="A505" s="9">
        <v>15854</v>
      </c>
      <c r="B505" s="9">
        <v>22113</v>
      </c>
      <c r="C505" s="9" t="s">
        <v>146</v>
      </c>
      <c r="D505" s="17">
        <f t="shared" si="38"/>
        <v>1</v>
      </c>
      <c r="E505" s="10">
        <f t="shared" si="35"/>
        <v>1</v>
      </c>
      <c r="F505" s="11">
        <v>1</v>
      </c>
      <c r="G505" s="9">
        <v>534786</v>
      </c>
      <c r="H505" s="13">
        <v>40506.472916666673</v>
      </c>
      <c r="I505" s="14">
        <v>3.75</v>
      </c>
      <c r="J505" s="23">
        <f t="shared" si="36"/>
        <v>3.75</v>
      </c>
      <c r="K505" s="12">
        <v>40506</v>
      </c>
      <c r="L505" s="24">
        <v>0.47291666666666665</v>
      </c>
      <c r="M505" t="s">
        <v>1014</v>
      </c>
      <c r="N505" s="15" t="str">
        <f t="shared" si="37"/>
        <v>11:21 AM</v>
      </c>
      <c r="O505" s="9" t="s">
        <v>9</v>
      </c>
      <c r="P505" s="20">
        <f t="shared" si="39"/>
        <v>3.75</v>
      </c>
    </row>
    <row r="506" spans="1:16" x14ac:dyDescent="0.25">
      <c r="A506" s="9">
        <v>16686</v>
      </c>
      <c r="B506" s="9">
        <v>22587</v>
      </c>
      <c r="C506" s="9" t="s">
        <v>566</v>
      </c>
      <c r="D506" s="17">
        <f t="shared" si="38"/>
        <v>1</v>
      </c>
      <c r="E506" s="10">
        <f t="shared" si="35"/>
        <v>1</v>
      </c>
      <c r="F506" s="11" t="s">
        <v>330</v>
      </c>
      <c r="G506" s="9">
        <v>529981</v>
      </c>
      <c r="H506" s="13">
        <v>40482.646527777782</v>
      </c>
      <c r="I506" s="14">
        <v>0.85</v>
      </c>
      <c r="J506" s="23">
        <f t="shared" si="36"/>
        <v>0.85</v>
      </c>
      <c r="K506" s="12">
        <v>40482</v>
      </c>
      <c r="L506" s="24">
        <v>0.14652777777777778</v>
      </c>
      <c r="M506" t="s">
        <v>1013</v>
      </c>
      <c r="N506" s="15" t="str">
        <f t="shared" si="37"/>
        <v>3:31 PM</v>
      </c>
      <c r="O506" s="9" t="s">
        <v>9</v>
      </c>
      <c r="P506" s="20">
        <f t="shared" si="39"/>
        <v>0.85</v>
      </c>
    </row>
    <row r="507" spans="1:16" x14ac:dyDescent="0.25">
      <c r="A507" s="9">
        <v>13890</v>
      </c>
      <c r="B507" s="9">
        <v>37503</v>
      </c>
      <c r="C507" s="9" t="s">
        <v>288</v>
      </c>
      <c r="D507" s="17">
        <f t="shared" si="38"/>
        <v>2</v>
      </c>
      <c r="E507" s="10">
        <f t="shared" si="35"/>
        <v>2</v>
      </c>
      <c r="F507" s="11">
        <v>2</v>
      </c>
      <c r="G507" s="9" t="s">
        <v>567</v>
      </c>
      <c r="H507" s="13">
        <v>40305.538888888892</v>
      </c>
      <c r="I507" s="14">
        <v>10.75</v>
      </c>
      <c r="J507" s="23">
        <f t="shared" si="36"/>
        <v>10.75</v>
      </c>
      <c r="K507" s="12">
        <v>40305</v>
      </c>
      <c r="L507" s="24">
        <v>0.53888888888888886</v>
      </c>
      <c r="M507" t="s">
        <v>1013</v>
      </c>
      <c r="N507" s="15" t="str">
        <f t="shared" si="37"/>
        <v>12:56 PM</v>
      </c>
      <c r="O507" s="9" t="s">
        <v>9</v>
      </c>
      <c r="P507" s="20">
        <f t="shared" si="39"/>
        <v>21.5</v>
      </c>
    </row>
    <row r="508" spans="1:16" x14ac:dyDescent="0.25">
      <c r="A508" s="9">
        <v>12510</v>
      </c>
      <c r="B508" s="9">
        <v>37370</v>
      </c>
      <c r="C508" s="9" t="s">
        <v>316</v>
      </c>
      <c r="D508" s="17">
        <f t="shared" si="38"/>
        <v>12</v>
      </c>
      <c r="E508" s="10">
        <f t="shared" si="35"/>
        <v>12</v>
      </c>
      <c r="F508" s="11">
        <v>12</v>
      </c>
      <c r="G508" s="9">
        <v>502633</v>
      </c>
      <c r="H508" s="13">
        <v>40262.679861111108</v>
      </c>
      <c r="I508" s="14">
        <v>1.25</v>
      </c>
      <c r="J508" s="23">
        <f t="shared" si="36"/>
        <v>1.25</v>
      </c>
      <c r="K508" s="12">
        <v>40262</v>
      </c>
      <c r="L508" s="24">
        <v>0.17986111111111111</v>
      </c>
      <c r="M508" t="s">
        <v>1013</v>
      </c>
      <c r="N508" s="15" t="str">
        <f t="shared" si="37"/>
        <v>4:19 PM</v>
      </c>
      <c r="O508" s="9" t="s">
        <v>568</v>
      </c>
      <c r="P508" s="20">
        <f t="shared" si="39"/>
        <v>15</v>
      </c>
    </row>
    <row r="509" spans="1:16" x14ac:dyDescent="0.25">
      <c r="A509" s="9">
        <v>14817</v>
      </c>
      <c r="B509" s="9">
        <v>21676</v>
      </c>
      <c r="C509" s="9" t="s">
        <v>569</v>
      </c>
      <c r="D509" s="17">
        <f t="shared" si="38"/>
        <v>12</v>
      </c>
      <c r="E509" s="10">
        <f t="shared" si="35"/>
        <v>12</v>
      </c>
      <c r="F509" s="11">
        <v>12</v>
      </c>
      <c r="G509" s="9">
        <v>504873</v>
      </c>
      <c r="H509" s="13">
        <v>40286.525000000001</v>
      </c>
      <c r="I509" s="14">
        <v>0.85</v>
      </c>
      <c r="J509" s="23">
        <f t="shared" si="36"/>
        <v>0.85</v>
      </c>
      <c r="K509" s="12">
        <v>40286</v>
      </c>
      <c r="L509" s="24">
        <v>0.52500000000000002</v>
      </c>
      <c r="M509" t="s">
        <v>1013</v>
      </c>
      <c r="N509" s="15" t="str">
        <f t="shared" si="37"/>
        <v>12:36 PM</v>
      </c>
      <c r="O509" s="9" t="s">
        <v>9</v>
      </c>
      <c r="P509" s="20">
        <f t="shared" si="39"/>
        <v>10.199999999999999</v>
      </c>
    </row>
    <row r="510" spans="1:16" x14ac:dyDescent="0.25">
      <c r="A510" s="9">
        <v>15856</v>
      </c>
      <c r="B510" s="9">
        <v>47480</v>
      </c>
      <c r="C510" s="9" t="s">
        <v>570</v>
      </c>
      <c r="D510" s="17">
        <f t="shared" si="38"/>
        <v>96</v>
      </c>
      <c r="E510" s="10">
        <f t="shared" si="35"/>
        <v>96</v>
      </c>
      <c r="F510" s="11">
        <v>96</v>
      </c>
      <c r="G510" s="9">
        <v>510047</v>
      </c>
      <c r="H510" s="13">
        <v>40324.720138888893</v>
      </c>
      <c r="I510" s="14">
        <v>1.45</v>
      </c>
      <c r="J510" s="23">
        <f t="shared" si="36"/>
        <v>1.45</v>
      </c>
      <c r="K510" s="12">
        <v>40324</v>
      </c>
      <c r="L510" s="24">
        <v>0.22013888888888888</v>
      </c>
      <c r="M510" t="s">
        <v>1013</v>
      </c>
      <c r="N510" s="15" t="str">
        <f t="shared" si="37"/>
        <v>5:17 PM</v>
      </c>
      <c r="O510" s="9" t="s">
        <v>9</v>
      </c>
      <c r="P510" s="20">
        <f t="shared" si="39"/>
        <v>139.19999999999999</v>
      </c>
    </row>
    <row r="511" spans="1:16" x14ac:dyDescent="0.25">
      <c r="A511" s="9">
        <v>13295</v>
      </c>
      <c r="B511" s="9">
        <v>22865</v>
      </c>
      <c r="C511" s="9" t="s">
        <v>428</v>
      </c>
      <c r="D511" s="17">
        <f t="shared" si="38"/>
        <v>12</v>
      </c>
      <c r="E511" s="10">
        <f t="shared" si="35"/>
        <v>12</v>
      </c>
      <c r="F511" s="11">
        <v>12</v>
      </c>
      <c r="G511" s="9">
        <v>528642</v>
      </c>
      <c r="H511" s="13">
        <v>40475.493055555547</v>
      </c>
      <c r="I511" s="14">
        <v>2.1</v>
      </c>
      <c r="J511" s="23">
        <f t="shared" si="36"/>
        <v>2.1</v>
      </c>
      <c r="K511" s="12">
        <v>40475</v>
      </c>
      <c r="L511" s="24">
        <v>0.49305555555555558</v>
      </c>
      <c r="M511" t="s">
        <v>1014</v>
      </c>
      <c r="N511" s="15" t="str">
        <f t="shared" si="37"/>
        <v>11:50 AM</v>
      </c>
      <c r="O511" s="9" t="s">
        <v>9</v>
      </c>
      <c r="P511" s="20">
        <f t="shared" si="39"/>
        <v>25.200000000000003</v>
      </c>
    </row>
    <row r="512" spans="1:16" x14ac:dyDescent="0.25">
      <c r="A512" s="9">
        <v>16782</v>
      </c>
      <c r="B512" s="9">
        <v>22795</v>
      </c>
      <c r="C512" s="9" t="s">
        <v>571</v>
      </c>
      <c r="D512" s="17">
        <f t="shared" si="38"/>
        <v>2</v>
      </c>
      <c r="E512" s="10">
        <f t="shared" si="35"/>
        <v>2</v>
      </c>
      <c r="F512" s="11">
        <v>2</v>
      </c>
      <c r="G512" s="9">
        <v>527358</v>
      </c>
      <c r="H512" s="13">
        <v>40468.445833333331</v>
      </c>
      <c r="I512" s="14">
        <v>6.75</v>
      </c>
      <c r="J512" s="23">
        <f t="shared" si="36"/>
        <v>6.75</v>
      </c>
      <c r="K512" s="12">
        <v>40468</v>
      </c>
      <c r="L512" s="24">
        <v>0.44583333333333336</v>
      </c>
      <c r="M512" t="s">
        <v>1014</v>
      </c>
      <c r="N512" s="15" t="str">
        <f t="shared" si="37"/>
        <v>10:42 AM</v>
      </c>
      <c r="O512" s="9" t="s">
        <v>9</v>
      </c>
      <c r="P512" s="20">
        <f t="shared" si="39"/>
        <v>13.5</v>
      </c>
    </row>
    <row r="513" spans="1:16" x14ac:dyDescent="0.25">
      <c r="A513" s="9">
        <v>14040</v>
      </c>
      <c r="B513" s="9">
        <v>22710</v>
      </c>
      <c r="C513" s="9" t="s">
        <v>572</v>
      </c>
      <c r="D513" s="17">
        <f t="shared" si="38"/>
        <v>25</v>
      </c>
      <c r="E513" s="10">
        <f t="shared" si="35"/>
        <v>25</v>
      </c>
      <c r="F513" s="11">
        <v>25</v>
      </c>
      <c r="G513" s="9">
        <v>520885</v>
      </c>
      <c r="H513" s="13">
        <v>40421.681250000001</v>
      </c>
      <c r="I513" s="14">
        <v>0.42</v>
      </c>
      <c r="J513" s="23">
        <f t="shared" si="36"/>
        <v>0.42</v>
      </c>
      <c r="K513" s="12">
        <v>40421</v>
      </c>
      <c r="L513" s="24">
        <v>0.18124999999999999</v>
      </c>
      <c r="M513" t="s">
        <v>1013</v>
      </c>
      <c r="N513" s="15" t="str">
        <f t="shared" si="37"/>
        <v>4:21 PM</v>
      </c>
      <c r="O513" s="9" t="s">
        <v>9</v>
      </c>
      <c r="P513" s="20">
        <f t="shared" si="39"/>
        <v>10.5</v>
      </c>
    </row>
    <row r="514" spans="1:16" x14ac:dyDescent="0.25">
      <c r="A514" s="9">
        <v>13654</v>
      </c>
      <c r="B514" s="9">
        <v>21717</v>
      </c>
      <c r="C514" s="9" t="s">
        <v>573</v>
      </c>
      <c r="D514" s="17">
        <f t="shared" si="38"/>
        <v>24</v>
      </c>
      <c r="E514" s="10">
        <f t="shared" ref="E514:E577" si="40">VALUE(F514)</f>
        <v>24</v>
      </c>
      <c r="F514" s="11">
        <v>24</v>
      </c>
      <c r="G514" s="9">
        <v>499988</v>
      </c>
      <c r="H514" s="13">
        <v>40240.681250000001</v>
      </c>
      <c r="I514" s="14">
        <v>2.5499999999999998</v>
      </c>
      <c r="J514" s="23">
        <f t="shared" ref="J514:J577" si="41">VALUE(I514)</f>
        <v>2.5499999999999998</v>
      </c>
      <c r="K514" s="12">
        <v>40240</v>
      </c>
      <c r="L514" s="24">
        <v>0.18124999999999999</v>
      </c>
      <c r="M514" t="s">
        <v>1013</v>
      </c>
      <c r="N514" s="15" t="str">
        <f t="shared" ref="N514:N577" si="42">TEXT(L514,"h:mm")&amp;" "&amp;M514</f>
        <v>4:21 PM</v>
      </c>
      <c r="O514" s="9" t="s">
        <v>9</v>
      </c>
      <c r="P514" s="20">
        <f t="shared" si="39"/>
        <v>61.199999999999996</v>
      </c>
    </row>
    <row r="515" spans="1:16" x14ac:dyDescent="0.25">
      <c r="A515" s="9">
        <v>16595</v>
      </c>
      <c r="B515" s="9">
        <v>21915</v>
      </c>
      <c r="C515" s="9" t="s">
        <v>347</v>
      </c>
      <c r="D515" s="17">
        <f t="shared" ref="D515:D578" si="43">ABS(E515)</f>
        <v>3</v>
      </c>
      <c r="E515" s="10">
        <f t="shared" si="40"/>
        <v>3</v>
      </c>
      <c r="F515" s="11">
        <v>3</v>
      </c>
      <c r="G515" s="9">
        <v>529888</v>
      </c>
      <c r="H515" s="13">
        <v>40482.587500000001</v>
      </c>
      <c r="I515" s="14">
        <v>1.25</v>
      </c>
      <c r="J515" s="23">
        <f t="shared" si="41"/>
        <v>1.25</v>
      </c>
      <c r="K515" s="12">
        <v>40482</v>
      </c>
      <c r="L515" s="24">
        <v>8.7499999999999994E-2</v>
      </c>
      <c r="M515" t="s">
        <v>1013</v>
      </c>
      <c r="N515" s="15" t="str">
        <f t="shared" si="42"/>
        <v>2:06 PM</v>
      </c>
      <c r="O515" s="9" t="s">
        <v>9</v>
      </c>
      <c r="P515" s="20">
        <f t="shared" ref="P515:P578" si="44">PRODUCT(D515,(J515))</f>
        <v>3.75</v>
      </c>
    </row>
    <row r="516" spans="1:16" x14ac:dyDescent="0.25">
      <c r="A516" s="9">
        <v>12476</v>
      </c>
      <c r="B516" s="9">
        <v>21217</v>
      </c>
      <c r="C516" s="9" t="s">
        <v>574</v>
      </c>
      <c r="D516" s="17">
        <f t="shared" si="43"/>
        <v>1</v>
      </c>
      <c r="E516" s="10">
        <f t="shared" si="40"/>
        <v>1</v>
      </c>
      <c r="F516" s="11">
        <v>1</v>
      </c>
      <c r="G516" s="9">
        <v>522424</v>
      </c>
      <c r="H516" s="13">
        <v>40435.540277777778</v>
      </c>
      <c r="I516" s="14">
        <v>9.9499999999999993</v>
      </c>
      <c r="J516" s="23">
        <f t="shared" si="41"/>
        <v>9.9499999999999993</v>
      </c>
      <c r="K516" s="12">
        <v>40435</v>
      </c>
      <c r="L516" s="24">
        <v>0.54027777777777775</v>
      </c>
      <c r="M516" t="s">
        <v>1013</v>
      </c>
      <c r="N516" s="15" t="str">
        <f t="shared" si="42"/>
        <v>12:58 PM</v>
      </c>
      <c r="O516" s="9" t="s">
        <v>17</v>
      </c>
      <c r="P516" s="20">
        <f t="shared" si="44"/>
        <v>9.9499999999999993</v>
      </c>
    </row>
    <row r="517" spans="1:16" x14ac:dyDescent="0.25">
      <c r="A517" s="9">
        <v>15826</v>
      </c>
      <c r="B517" s="9">
        <v>22644</v>
      </c>
      <c r="C517" s="9" t="s">
        <v>461</v>
      </c>
      <c r="D517" s="17">
        <f t="shared" si="43"/>
        <v>12</v>
      </c>
      <c r="E517" s="10">
        <f t="shared" si="40"/>
        <v>12</v>
      </c>
      <c r="F517" s="11" t="s">
        <v>120</v>
      </c>
      <c r="G517" s="9">
        <v>509187</v>
      </c>
      <c r="H517" s="13">
        <v>40318.708333333343</v>
      </c>
      <c r="I517" s="14">
        <v>1.45</v>
      </c>
      <c r="J517" s="23">
        <f t="shared" si="41"/>
        <v>1.45</v>
      </c>
      <c r="K517" s="12">
        <v>40318</v>
      </c>
      <c r="L517" s="24">
        <v>0.20833333333333334</v>
      </c>
      <c r="M517" t="s">
        <v>1013</v>
      </c>
      <c r="N517" s="15" t="str">
        <f t="shared" si="42"/>
        <v>5:00 PM</v>
      </c>
      <c r="O517" s="9" t="s">
        <v>9</v>
      </c>
      <c r="P517" s="20">
        <f t="shared" si="44"/>
        <v>17.399999999999999</v>
      </c>
    </row>
    <row r="518" spans="1:16" x14ac:dyDescent="0.25">
      <c r="A518" s="9">
        <v>14741</v>
      </c>
      <c r="B518" s="9">
        <v>22367</v>
      </c>
      <c r="C518" s="9" t="s">
        <v>296</v>
      </c>
      <c r="D518" s="17">
        <f t="shared" si="43"/>
        <v>8</v>
      </c>
      <c r="E518" s="10">
        <f t="shared" si="40"/>
        <v>8</v>
      </c>
      <c r="F518" s="11">
        <v>8</v>
      </c>
      <c r="G518" s="9">
        <v>527445</v>
      </c>
      <c r="H518" s="13">
        <v>40469.397916666669</v>
      </c>
      <c r="I518" s="14">
        <v>1.95</v>
      </c>
      <c r="J518" s="23">
        <f t="shared" si="41"/>
        <v>1.95</v>
      </c>
      <c r="K518" s="12">
        <v>40469</v>
      </c>
      <c r="L518" s="24">
        <v>0.39791666666666664</v>
      </c>
      <c r="M518" t="s">
        <v>1014</v>
      </c>
      <c r="N518" s="15" t="str">
        <f t="shared" si="42"/>
        <v>9:33 AM</v>
      </c>
      <c r="O518" s="9" t="s">
        <v>9</v>
      </c>
      <c r="P518" s="20">
        <f t="shared" si="44"/>
        <v>15.6</v>
      </c>
    </row>
    <row r="519" spans="1:16" x14ac:dyDescent="0.25">
      <c r="A519" s="9">
        <v>15727</v>
      </c>
      <c r="B519" s="9">
        <v>37474</v>
      </c>
      <c r="C519" s="9" t="s">
        <v>575</v>
      </c>
      <c r="D519" s="17">
        <f t="shared" si="43"/>
        <v>1</v>
      </c>
      <c r="E519" s="10">
        <f t="shared" si="40"/>
        <v>1</v>
      </c>
      <c r="F519" s="11">
        <v>1</v>
      </c>
      <c r="G519" s="9">
        <v>516922</v>
      </c>
      <c r="H519" s="13">
        <v>40384.490277777782</v>
      </c>
      <c r="I519" s="14">
        <v>9.9499999999999993</v>
      </c>
      <c r="J519" s="23">
        <f t="shared" si="41"/>
        <v>9.9499999999999993</v>
      </c>
      <c r="K519" s="12">
        <v>40384</v>
      </c>
      <c r="L519" s="24">
        <v>0.49027777777777776</v>
      </c>
      <c r="M519" t="s">
        <v>1014</v>
      </c>
      <c r="N519" s="15" t="str">
        <f t="shared" si="42"/>
        <v>11:46 AM</v>
      </c>
      <c r="O519" s="9" t="s">
        <v>9</v>
      </c>
      <c r="P519" s="20">
        <f t="shared" si="44"/>
        <v>9.9499999999999993</v>
      </c>
    </row>
    <row r="520" spans="1:16" x14ac:dyDescent="0.25">
      <c r="A520" s="9">
        <v>14301</v>
      </c>
      <c r="B520" s="9">
        <v>15036</v>
      </c>
      <c r="C520" s="9" t="s">
        <v>576</v>
      </c>
      <c r="D520" s="17">
        <f t="shared" si="43"/>
        <v>12</v>
      </c>
      <c r="E520" s="10">
        <f t="shared" si="40"/>
        <v>12</v>
      </c>
      <c r="F520" s="11">
        <v>12</v>
      </c>
      <c r="G520" s="9">
        <v>527939</v>
      </c>
      <c r="H520" s="13">
        <v>40470.589583333327</v>
      </c>
      <c r="I520" s="14">
        <v>0.75</v>
      </c>
      <c r="J520" s="23">
        <f t="shared" si="41"/>
        <v>0.75</v>
      </c>
      <c r="K520" s="12">
        <v>40470</v>
      </c>
      <c r="L520" s="24">
        <v>8.9583333333333334E-2</v>
      </c>
      <c r="M520" t="s">
        <v>1013</v>
      </c>
      <c r="N520" s="15" t="str">
        <f t="shared" si="42"/>
        <v>2:09 PM</v>
      </c>
      <c r="O520" s="9" t="s">
        <v>9</v>
      </c>
      <c r="P520" s="20">
        <f t="shared" si="44"/>
        <v>9</v>
      </c>
    </row>
    <row r="521" spans="1:16" x14ac:dyDescent="0.25">
      <c r="A521" s="9">
        <v>14911</v>
      </c>
      <c r="B521" s="9">
        <v>21179</v>
      </c>
      <c r="C521" s="9" t="s">
        <v>194</v>
      </c>
      <c r="D521" s="17">
        <f t="shared" si="43"/>
        <v>12</v>
      </c>
      <c r="E521" s="10">
        <f t="shared" si="40"/>
        <v>12</v>
      </c>
      <c r="F521" s="11">
        <v>12</v>
      </c>
      <c r="G521" s="9">
        <v>510743</v>
      </c>
      <c r="H521" s="13">
        <v>40332.520833333343</v>
      </c>
      <c r="I521" s="14">
        <v>1.25</v>
      </c>
      <c r="J521" s="23">
        <f t="shared" si="41"/>
        <v>1.25</v>
      </c>
      <c r="K521" s="12">
        <v>40332</v>
      </c>
      <c r="L521" s="24">
        <v>0.52083333333333337</v>
      </c>
      <c r="M521" t="s">
        <v>1013</v>
      </c>
      <c r="N521" s="15" t="str">
        <f t="shared" si="42"/>
        <v>12:30 PM</v>
      </c>
      <c r="O521" s="9" t="s">
        <v>11</v>
      </c>
      <c r="P521" s="20">
        <f t="shared" si="44"/>
        <v>15</v>
      </c>
    </row>
    <row r="522" spans="1:16" x14ac:dyDescent="0.25">
      <c r="A522" s="9">
        <v>14030</v>
      </c>
      <c r="B522" s="9">
        <v>20754</v>
      </c>
      <c r="C522" s="9" t="s">
        <v>189</v>
      </c>
      <c r="D522" s="17">
        <f t="shared" si="43"/>
        <v>2</v>
      </c>
      <c r="E522" s="10">
        <f t="shared" si="40"/>
        <v>2</v>
      </c>
      <c r="F522" s="11">
        <v>2</v>
      </c>
      <c r="G522" s="9">
        <v>498757</v>
      </c>
      <c r="H522" s="13">
        <v>40231.700694444437</v>
      </c>
      <c r="I522" s="14">
        <v>2.1</v>
      </c>
      <c r="J522" s="23">
        <f t="shared" si="41"/>
        <v>2.1</v>
      </c>
      <c r="K522" s="12">
        <v>40231</v>
      </c>
      <c r="L522" s="24">
        <v>0.20069444444444445</v>
      </c>
      <c r="M522" t="s">
        <v>1013</v>
      </c>
      <c r="N522" s="15" t="str">
        <f t="shared" si="42"/>
        <v>4:49 PM</v>
      </c>
      <c r="O522" s="9" t="s">
        <v>9</v>
      </c>
      <c r="P522" s="20">
        <f t="shared" si="44"/>
        <v>4.2</v>
      </c>
    </row>
    <row r="523" spans="1:16" x14ac:dyDescent="0.25">
      <c r="A523" s="9">
        <v>16456</v>
      </c>
      <c r="B523" s="9" t="s">
        <v>577</v>
      </c>
      <c r="C523" s="9" t="s">
        <v>578</v>
      </c>
      <c r="D523" s="17">
        <f t="shared" si="43"/>
        <v>12</v>
      </c>
      <c r="E523" s="10">
        <f t="shared" si="40"/>
        <v>12</v>
      </c>
      <c r="F523" s="11">
        <v>12</v>
      </c>
      <c r="G523" s="9">
        <v>508486</v>
      </c>
      <c r="H523" s="17" t="s">
        <v>579</v>
      </c>
      <c r="I523" s="14">
        <v>0.85</v>
      </c>
      <c r="J523" s="23">
        <f t="shared" si="41"/>
        <v>0.85</v>
      </c>
      <c r="K523" s="12">
        <v>40314</v>
      </c>
      <c r="L523" s="25">
        <v>0.5395833333333333</v>
      </c>
      <c r="N523" s="15" t="str">
        <f t="shared" si="42"/>
        <v xml:space="preserve">12:57 </v>
      </c>
      <c r="O523" s="9" t="s">
        <v>9</v>
      </c>
      <c r="P523" s="20">
        <f t="shared" si="44"/>
        <v>10.199999999999999</v>
      </c>
    </row>
    <row r="524" spans="1:16" x14ac:dyDescent="0.25">
      <c r="A524" s="9">
        <v>15271</v>
      </c>
      <c r="B524" s="9" t="s">
        <v>580</v>
      </c>
      <c r="C524" s="9" t="s">
        <v>581</v>
      </c>
      <c r="D524" s="17">
        <f t="shared" si="43"/>
        <v>1</v>
      </c>
      <c r="E524" s="10">
        <f t="shared" si="40"/>
        <v>1</v>
      </c>
      <c r="F524" s="11">
        <v>1</v>
      </c>
      <c r="G524" s="9">
        <v>538064</v>
      </c>
      <c r="H524" s="13">
        <v>40521.574305555558</v>
      </c>
      <c r="I524" s="14">
        <v>1.25</v>
      </c>
      <c r="J524" s="23">
        <f t="shared" si="41"/>
        <v>1.25</v>
      </c>
      <c r="K524" s="12">
        <v>40521</v>
      </c>
      <c r="L524" s="24">
        <v>7.4305555555555555E-2</v>
      </c>
      <c r="M524" t="s">
        <v>1013</v>
      </c>
      <c r="N524" s="15" t="str">
        <f t="shared" si="42"/>
        <v>1:47 PM</v>
      </c>
      <c r="O524" s="9" t="s">
        <v>9</v>
      </c>
      <c r="P524" s="20">
        <f t="shared" si="44"/>
        <v>1.25</v>
      </c>
    </row>
    <row r="525" spans="1:16" x14ac:dyDescent="0.25">
      <c r="A525" s="9">
        <v>16065</v>
      </c>
      <c r="B525" s="9">
        <v>21051</v>
      </c>
      <c r="C525" s="9" t="s">
        <v>582</v>
      </c>
      <c r="D525" s="17">
        <f t="shared" si="43"/>
        <v>2</v>
      </c>
      <c r="E525" s="10">
        <f t="shared" si="40"/>
        <v>2</v>
      </c>
      <c r="F525" s="11">
        <v>2</v>
      </c>
      <c r="G525" s="9">
        <v>529843</v>
      </c>
      <c r="H525" s="13">
        <v>40482.538888888892</v>
      </c>
      <c r="I525" s="14">
        <v>2.1</v>
      </c>
      <c r="J525" s="23">
        <f t="shared" si="41"/>
        <v>2.1</v>
      </c>
      <c r="K525" s="12">
        <v>40482</v>
      </c>
      <c r="L525" s="24">
        <v>0.53888888888888886</v>
      </c>
      <c r="M525" t="s">
        <v>1013</v>
      </c>
      <c r="N525" s="15" t="str">
        <f t="shared" si="42"/>
        <v>12:56 PM</v>
      </c>
      <c r="O525" s="9" t="s">
        <v>9</v>
      </c>
      <c r="P525" s="20">
        <f t="shared" si="44"/>
        <v>4.2</v>
      </c>
    </row>
    <row r="526" spans="1:16" x14ac:dyDescent="0.25">
      <c r="A526" s="9">
        <v>15532</v>
      </c>
      <c r="B526" s="9">
        <v>21109</v>
      </c>
      <c r="C526" s="9" t="s">
        <v>583</v>
      </c>
      <c r="D526" s="17">
        <f t="shared" si="43"/>
        <v>1</v>
      </c>
      <c r="E526" s="10">
        <f t="shared" si="40"/>
        <v>1</v>
      </c>
      <c r="F526" s="11">
        <v>1</v>
      </c>
      <c r="G526" s="9">
        <v>511501</v>
      </c>
      <c r="H526" s="13">
        <v>40337.619444444441</v>
      </c>
      <c r="I526" s="14">
        <v>6.75</v>
      </c>
      <c r="J526" s="23">
        <f t="shared" si="41"/>
        <v>6.75</v>
      </c>
      <c r="K526" s="12">
        <v>40337</v>
      </c>
      <c r="L526" s="24">
        <v>0.11944444444444445</v>
      </c>
      <c r="M526" t="s">
        <v>1013</v>
      </c>
      <c r="N526" s="15" t="str">
        <f t="shared" si="42"/>
        <v>2:52 PM</v>
      </c>
      <c r="O526" s="9" t="s">
        <v>9</v>
      </c>
      <c r="P526" s="20">
        <f t="shared" si="44"/>
        <v>6.75</v>
      </c>
    </row>
    <row r="527" spans="1:16" x14ac:dyDescent="0.25">
      <c r="A527" s="9">
        <v>13297</v>
      </c>
      <c r="B527" s="9">
        <v>21934</v>
      </c>
      <c r="C527" s="9" t="s">
        <v>474</v>
      </c>
      <c r="D527" s="17">
        <f t="shared" si="43"/>
        <v>10</v>
      </c>
      <c r="E527" s="10">
        <f t="shared" si="40"/>
        <v>10</v>
      </c>
      <c r="F527" s="11">
        <v>10</v>
      </c>
      <c r="G527" s="9">
        <v>512400</v>
      </c>
      <c r="H527" s="13">
        <v>40344.524305555547</v>
      </c>
      <c r="I527" s="14">
        <v>1.65</v>
      </c>
      <c r="J527" s="23">
        <f t="shared" si="41"/>
        <v>1.65</v>
      </c>
      <c r="K527" s="12">
        <v>40344</v>
      </c>
      <c r="L527" s="24">
        <v>0.52430555555555558</v>
      </c>
      <c r="M527" t="s">
        <v>1013</v>
      </c>
      <c r="N527" s="15" t="str">
        <f t="shared" si="42"/>
        <v>12:35 PM</v>
      </c>
      <c r="O527" s="9" t="s">
        <v>9</v>
      </c>
      <c r="P527" s="20">
        <f t="shared" si="44"/>
        <v>16.5</v>
      </c>
    </row>
    <row r="528" spans="1:16" x14ac:dyDescent="0.25">
      <c r="A528" s="9">
        <v>14307</v>
      </c>
      <c r="B528" s="9" t="s">
        <v>584</v>
      </c>
      <c r="C528" s="9" t="s">
        <v>585</v>
      </c>
      <c r="D528" s="17">
        <f t="shared" si="43"/>
        <v>2</v>
      </c>
      <c r="E528" s="10">
        <f t="shared" si="40"/>
        <v>2</v>
      </c>
      <c r="F528" s="11">
        <v>2</v>
      </c>
      <c r="G528" s="9">
        <v>490674</v>
      </c>
      <c r="H528" s="13">
        <v>40154.54583333333</v>
      </c>
      <c r="I528" s="14">
        <v>12.75</v>
      </c>
      <c r="J528" s="23">
        <f t="shared" si="41"/>
        <v>12.75</v>
      </c>
      <c r="K528" s="12">
        <v>40154</v>
      </c>
      <c r="L528" s="24">
        <v>4.583333333333333E-2</v>
      </c>
      <c r="M528" t="s">
        <v>1013</v>
      </c>
      <c r="N528" s="15" t="str">
        <f t="shared" si="42"/>
        <v>1:06 PM</v>
      </c>
      <c r="O528" s="9" t="s">
        <v>9</v>
      </c>
      <c r="P528" s="20">
        <f t="shared" si="44"/>
        <v>25.5</v>
      </c>
    </row>
    <row r="529" spans="1:16" x14ac:dyDescent="0.25">
      <c r="A529" s="9">
        <v>17092</v>
      </c>
      <c r="B529" s="9">
        <v>22435</v>
      </c>
      <c r="C529" s="9" t="s">
        <v>107</v>
      </c>
      <c r="D529" s="17">
        <f t="shared" si="43"/>
        <v>10</v>
      </c>
      <c r="E529" s="10">
        <f t="shared" si="40"/>
        <v>10</v>
      </c>
      <c r="F529" s="11">
        <v>10</v>
      </c>
      <c r="G529" s="9">
        <v>508079</v>
      </c>
      <c r="H529" s="13">
        <v>40310.695833333331</v>
      </c>
      <c r="I529" s="14">
        <v>1.25</v>
      </c>
      <c r="J529" s="23">
        <f t="shared" si="41"/>
        <v>1.25</v>
      </c>
      <c r="K529" s="12">
        <v>40310</v>
      </c>
      <c r="L529" s="24">
        <v>0.19583333333333333</v>
      </c>
      <c r="M529" t="s">
        <v>1013</v>
      </c>
      <c r="N529" s="15" t="str">
        <f t="shared" si="42"/>
        <v>4:42 PM</v>
      </c>
      <c r="O529" s="9" t="s">
        <v>9</v>
      </c>
      <c r="P529" s="20">
        <f t="shared" si="44"/>
        <v>12.5</v>
      </c>
    </row>
    <row r="530" spans="1:16" x14ac:dyDescent="0.25">
      <c r="A530" s="9">
        <v>15750</v>
      </c>
      <c r="B530" s="9">
        <v>20713</v>
      </c>
      <c r="C530" s="9" t="s">
        <v>587</v>
      </c>
      <c r="D530" s="17">
        <f t="shared" si="43"/>
        <v>10</v>
      </c>
      <c r="E530" s="10">
        <f t="shared" si="40"/>
        <v>10</v>
      </c>
      <c r="F530" s="11">
        <v>10</v>
      </c>
      <c r="G530" s="9" t="s">
        <v>586</v>
      </c>
      <c r="H530" s="17" t="s">
        <v>588</v>
      </c>
      <c r="I530" s="14">
        <v>1.95</v>
      </c>
      <c r="J530" s="23">
        <f t="shared" si="41"/>
        <v>1.95</v>
      </c>
      <c r="K530" s="12">
        <v>40512</v>
      </c>
      <c r="L530" s="25">
        <v>0.55277777777777781</v>
      </c>
      <c r="N530" s="15" t="str">
        <f t="shared" si="42"/>
        <v xml:space="preserve">13:16 </v>
      </c>
      <c r="O530" s="9" t="s">
        <v>9</v>
      </c>
      <c r="P530" s="20">
        <f t="shared" si="44"/>
        <v>19.5</v>
      </c>
    </row>
    <row r="531" spans="1:16" x14ac:dyDescent="0.25">
      <c r="A531" s="9">
        <v>17773</v>
      </c>
      <c r="B531" s="9">
        <v>22218</v>
      </c>
      <c r="C531" s="9" t="s">
        <v>589</v>
      </c>
      <c r="D531" s="17">
        <f t="shared" si="43"/>
        <v>1</v>
      </c>
      <c r="E531" s="10">
        <f t="shared" si="40"/>
        <v>1</v>
      </c>
      <c r="F531" s="11">
        <v>1</v>
      </c>
      <c r="G531" s="9">
        <v>494798</v>
      </c>
      <c r="H531" s="13">
        <v>40196.605555555558</v>
      </c>
      <c r="I531" s="14">
        <v>4.25</v>
      </c>
      <c r="J531" s="23">
        <f t="shared" si="41"/>
        <v>4.25</v>
      </c>
      <c r="K531" s="12">
        <v>40196</v>
      </c>
      <c r="L531" s="24">
        <v>0.10555555555555556</v>
      </c>
      <c r="M531" t="s">
        <v>1013</v>
      </c>
      <c r="N531" s="15" t="str">
        <f t="shared" si="42"/>
        <v>2:32 PM</v>
      </c>
      <c r="O531" s="9" t="s">
        <v>9</v>
      </c>
      <c r="P531" s="20">
        <f t="shared" si="44"/>
        <v>4.25</v>
      </c>
    </row>
    <row r="532" spans="1:16" x14ac:dyDescent="0.25">
      <c r="A532" s="9">
        <v>16089</v>
      </c>
      <c r="B532" s="9">
        <v>21892</v>
      </c>
      <c r="C532" s="9" t="s">
        <v>86</v>
      </c>
      <c r="D532" s="17">
        <f t="shared" si="43"/>
        <v>1</v>
      </c>
      <c r="E532" s="10">
        <f t="shared" si="40"/>
        <v>1</v>
      </c>
      <c r="F532" s="11">
        <v>1</v>
      </c>
      <c r="G532" s="9">
        <v>533736</v>
      </c>
      <c r="H532" s="13">
        <v>40500.57708333333</v>
      </c>
      <c r="I532" s="14">
        <v>1.25</v>
      </c>
      <c r="J532" s="23">
        <f t="shared" si="41"/>
        <v>1.25</v>
      </c>
      <c r="K532" s="12">
        <v>40500</v>
      </c>
      <c r="L532" s="24">
        <v>7.7083333333333337E-2</v>
      </c>
      <c r="M532" t="s">
        <v>1013</v>
      </c>
      <c r="N532" s="15" t="str">
        <f t="shared" si="42"/>
        <v>1:51 PM</v>
      </c>
      <c r="O532" s="9" t="s">
        <v>9</v>
      </c>
      <c r="P532" s="20">
        <f t="shared" si="44"/>
        <v>1.25</v>
      </c>
    </row>
    <row r="533" spans="1:16" x14ac:dyDescent="0.25">
      <c r="A533" s="9">
        <v>17764</v>
      </c>
      <c r="B533" s="9">
        <v>22297</v>
      </c>
      <c r="C533" s="9" t="s">
        <v>581</v>
      </c>
      <c r="D533" s="17">
        <f t="shared" si="43"/>
        <v>3</v>
      </c>
      <c r="E533" s="10">
        <f t="shared" si="40"/>
        <v>3</v>
      </c>
      <c r="F533" s="11">
        <v>3</v>
      </c>
      <c r="G533" s="9">
        <v>490072</v>
      </c>
      <c r="H533" s="13">
        <v>40150.602777777778</v>
      </c>
      <c r="I533" s="14">
        <v>1.25</v>
      </c>
      <c r="J533" s="23">
        <f t="shared" si="41"/>
        <v>1.25</v>
      </c>
      <c r="K533" s="12">
        <v>40150</v>
      </c>
      <c r="L533" s="24">
        <v>0.10277777777777777</v>
      </c>
      <c r="M533" t="s">
        <v>1013</v>
      </c>
      <c r="N533" s="15" t="str">
        <f t="shared" si="42"/>
        <v>2:28 PM</v>
      </c>
      <c r="O533" s="9" t="s">
        <v>9</v>
      </c>
      <c r="P533" s="20">
        <f t="shared" si="44"/>
        <v>3.75</v>
      </c>
    </row>
    <row r="534" spans="1:16" x14ac:dyDescent="0.25">
      <c r="A534" s="9">
        <v>17449</v>
      </c>
      <c r="B534" s="9" t="s">
        <v>232</v>
      </c>
      <c r="C534" s="9" t="s">
        <v>590</v>
      </c>
      <c r="D534" s="17">
        <f t="shared" si="43"/>
        <v>4</v>
      </c>
      <c r="E534" s="10">
        <f t="shared" si="40"/>
        <v>4</v>
      </c>
      <c r="F534" s="11">
        <v>4</v>
      </c>
      <c r="G534" s="9">
        <v>500362</v>
      </c>
      <c r="H534" s="13">
        <v>40244.675000000003</v>
      </c>
      <c r="I534" s="14">
        <v>2.95</v>
      </c>
      <c r="J534" s="23">
        <f t="shared" si="41"/>
        <v>2.95</v>
      </c>
      <c r="K534" s="12">
        <v>40244</v>
      </c>
      <c r="L534" s="24">
        <v>0.17499999999999999</v>
      </c>
      <c r="M534" t="s">
        <v>1013</v>
      </c>
      <c r="N534" s="15" t="str">
        <f t="shared" si="42"/>
        <v>4:12 PM</v>
      </c>
      <c r="O534" s="9" t="s">
        <v>9</v>
      </c>
      <c r="P534" s="20">
        <f t="shared" si="44"/>
        <v>11.8</v>
      </c>
    </row>
    <row r="535" spans="1:16" x14ac:dyDescent="0.25">
      <c r="A535" s="9">
        <v>13157</v>
      </c>
      <c r="B535" s="9">
        <v>21731</v>
      </c>
      <c r="C535" s="9" t="s">
        <v>96</v>
      </c>
      <c r="D535" s="17">
        <f t="shared" si="43"/>
        <v>12</v>
      </c>
      <c r="E535" s="10">
        <f t="shared" si="40"/>
        <v>12</v>
      </c>
      <c r="F535" s="11">
        <v>12</v>
      </c>
      <c r="G535" s="9">
        <v>508251</v>
      </c>
      <c r="H535" s="13">
        <v>40312.444444444453</v>
      </c>
      <c r="I535" s="14">
        <v>1.65</v>
      </c>
      <c r="J535" s="23">
        <f t="shared" si="41"/>
        <v>1.65</v>
      </c>
      <c r="K535" s="12">
        <v>40312</v>
      </c>
      <c r="L535" s="24">
        <v>0.44444444444444442</v>
      </c>
      <c r="M535" t="s">
        <v>1014</v>
      </c>
      <c r="N535" s="15" t="str">
        <f t="shared" si="42"/>
        <v>10:40 AM</v>
      </c>
      <c r="O535" s="9" t="s">
        <v>9</v>
      </c>
      <c r="P535" s="20">
        <f t="shared" si="44"/>
        <v>19.799999999999997</v>
      </c>
    </row>
    <row r="536" spans="1:16" x14ac:dyDescent="0.25">
      <c r="A536" s="9">
        <v>17023</v>
      </c>
      <c r="B536" s="9">
        <v>21106</v>
      </c>
      <c r="C536" s="9" t="s">
        <v>591</v>
      </c>
      <c r="D536" s="17">
        <f t="shared" si="43"/>
        <v>6</v>
      </c>
      <c r="E536" s="10">
        <f t="shared" si="40"/>
        <v>6</v>
      </c>
      <c r="F536" s="11">
        <v>6</v>
      </c>
      <c r="G536" s="9">
        <v>518561</v>
      </c>
      <c r="H536" s="13">
        <v>40400.431944444441</v>
      </c>
      <c r="I536" s="14">
        <v>2.95</v>
      </c>
      <c r="J536" s="23">
        <f t="shared" si="41"/>
        <v>2.95</v>
      </c>
      <c r="K536" s="12">
        <v>40400</v>
      </c>
      <c r="L536" s="24">
        <v>0.43194444444444446</v>
      </c>
      <c r="M536" t="s">
        <v>1014</v>
      </c>
      <c r="N536" s="15" t="str">
        <f t="shared" si="42"/>
        <v>10:22 AM</v>
      </c>
      <c r="O536" s="9" t="s">
        <v>9</v>
      </c>
      <c r="P536" s="20">
        <f t="shared" si="44"/>
        <v>17.700000000000003</v>
      </c>
    </row>
    <row r="537" spans="1:16" x14ac:dyDescent="0.25">
      <c r="A537" s="9">
        <v>13874</v>
      </c>
      <c r="B537" s="9">
        <v>48111</v>
      </c>
      <c r="C537" s="9" t="s">
        <v>200</v>
      </c>
      <c r="D537" s="17">
        <f t="shared" si="43"/>
        <v>2</v>
      </c>
      <c r="E537" s="10">
        <f t="shared" si="40"/>
        <v>2</v>
      </c>
      <c r="F537" s="11">
        <v>2</v>
      </c>
      <c r="G537" s="9">
        <v>516872</v>
      </c>
      <c r="H537" s="13">
        <v>40382.540972222218</v>
      </c>
      <c r="I537" s="14">
        <v>7.49</v>
      </c>
      <c r="J537" s="23">
        <f t="shared" si="41"/>
        <v>7.49</v>
      </c>
      <c r="K537" s="12">
        <v>40382</v>
      </c>
      <c r="L537" s="24">
        <v>0.54097222222222219</v>
      </c>
      <c r="M537" t="s">
        <v>1013</v>
      </c>
      <c r="N537" s="15" t="str">
        <f t="shared" si="42"/>
        <v>12:59 PM</v>
      </c>
      <c r="O537" s="9" t="s">
        <v>9</v>
      </c>
      <c r="P537" s="20">
        <f t="shared" si="44"/>
        <v>14.98</v>
      </c>
    </row>
    <row r="538" spans="1:16" x14ac:dyDescent="0.25">
      <c r="A538" s="9">
        <v>16492</v>
      </c>
      <c r="B538" s="9">
        <v>21260</v>
      </c>
      <c r="C538" s="9" t="s">
        <v>202</v>
      </c>
      <c r="D538" s="17">
        <f t="shared" si="43"/>
        <v>6</v>
      </c>
      <c r="E538" s="10">
        <f t="shared" si="40"/>
        <v>6</v>
      </c>
      <c r="F538" s="11">
        <v>6</v>
      </c>
      <c r="G538" s="9">
        <v>512602</v>
      </c>
      <c r="H538" s="13">
        <v>40346.347222222219</v>
      </c>
      <c r="I538" s="14">
        <v>3.25</v>
      </c>
      <c r="J538" s="23">
        <f t="shared" si="41"/>
        <v>3.25</v>
      </c>
      <c r="K538" s="12">
        <v>40346</v>
      </c>
      <c r="L538" s="24">
        <v>0.34722222222222221</v>
      </c>
      <c r="M538" t="s">
        <v>1014</v>
      </c>
      <c r="N538" s="15" t="str">
        <f t="shared" si="42"/>
        <v>8:20 AM</v>
      </c>
      <c r="O538" s="9" t="s">
        <v>9</v>
      </c>
      <c r="P538" s="20">
        <f t="shared" si="44"/>
        <v>19.5</v>
      </c>
    </row>
    <row r="539" spans="1:16" x14ac:dyDescent="0.25">
      <c r="A539" s="9">
        <v>16679</v>
      </c>
      <c r="B539" s="9">
        <v>22468</v>
      </c>
      <c r="C539" s="9" t="s">
        <v>592</v>
      </c>
      <c r="D539" s="17">
        <f t="shared" si="43"/>
        <v>4</v>
      </c>
      <c r="E539" s="10">
        <f t="shared" si="40"/>
        <v>4</v>
      </c>
      <c r="F539" s="11">
        <v>4</v>
      </c>
      <c r="G539" s="9">
        <v>511844</v>
      </c>
      <c r="H539" s="13">
        <v>40339.774305555547</v>
      </c>
      <c r="I539" s="14">
        <v>6.75</v>
      </c>
      <c r="J539" s="23">
        <f t="shared" si="41"/>
        <v>6.75</v>
      </c>
      <c r="K539" s="12">
        <v>40339</v>
      </c>
      <c r="L539" s="24">
        <v>0.27430555555555558</v>
      </c>
      <c r="M539" t="s">
        <v>1013</v>
      </c>
      <c r="N539" s="15" t="str">
        <f t="shared" si="42"/>
        <v>6:35 PM</v>
      </c>
      <c r="O539" s="9" t="s">
        <v>9</v>
      </c>
      <c r="P539" s="20">
        <f t="shared" si="44"/>
        <v>27</v>
      </c>
    </row>
    <row r="540" spans="1:16" x14ac:dyDescent="0.25">
      <c r="A540" s="9">
        <v>14710</v>
      </c>
      <c r="B540" s="9">
        <v>20718</v>
      </c>
      <c r="C540" s="9" t="s">
        <v>593</v>
      </c>
      <c r="D540" s="17">
        <f t="shared" si="43"/>
        <v>1</v>
      </c>
      <c r="E540" s="10">
        <f t="shared" si="40"/>
        <v>1</v>
      </c>
      <c r="F540" s="11">
        <v>1</v>
      </c>
      <c r="G540" s="9">
        <v>522463</v>
      </c>
      <c r="H540" s="13">
        <v>40435.717361111107</v>
      </c>
      <c r="I540" s="14">
        <v>1.25</v>
      </c>
      <c r="J540" s="23">
        <f t="shared" si="41"/>
        <v>1.25</v>
      </c>
      <c r="K540" s="12">
        <v>40435</v>
      </c>
      <c r="L540" s="24">
        <v>0.21736111111111112</v>
      </c>
      <c r="M540" t="s">
        <v>1013</v>
      </c>
      <c r="N540" s="15" t="str">
        <f t="shared" si="42"/>
        <v>5:13 PM</v>
      </c>
      <c r="O540" s="9" t="s">
        <v>9</v>
      </c>
      <c r="P540" s="20">
        <f t="shared" si="44"/>
        <v>1.25</v>
      </c>
    </row>
    <row r="541" spans="1:16" x14ac:dyDescent="0.25">
      <c r="A541" s="9">
        <v>15954</v>
      </c>
      <c r="B541" s="9" t="s">
        <v>594</v>
      </c>
      <c r="C541" s="9" t="s">
        <v>595</v>
      </c>
      <c r="D541" s="17">
        <f t="shared" si="43"/>
        <v>10</v>
      </c>
      <c r="E541" s="10">
        <f t="shared" si="40"/>
        <v>10</v>
      </c>
      <c r="F541" s="11">
        <v>10</v>
      </c>
      <c r="G541" s="9">
        <v>506400</v>
      </c>
      <c r="H541" s="13">
        <v>40297.565972222219</v>
      </c>
      <c r="I541" s="14">
        <v>1.95</v>
      </c>
      <c r="J541" s="23">
        <f t="shared" si="41"/>
        <v>1.95</v>
      </c>
      <c r="K541" s="12">
        <v>40297</v>
      </c>
      <c r="L541" s="24">
        <v>6.5972222222222224E-2</v>
      </c>
      <c r="M541" t="s">
        <v>1013</v>
      </c>
      <c r="N541" s="15" t="str">
        <f t="shared" si="42"/>
        <v>1:35 PM</v>
      </c>
      <c r="O541" s="9" t="s">
        <v>9</v>
      </c>
      <c r="P541" s="20">
        <f t="shared" si="44"/>
        <v>19.5</v>
      </c>
    </row>
    <row r="542" spans="1:16" x14ac:dyDescent="0.25">
      <c r="A542" s="9">
        <v>17231</v>
      </c>
      <c r="B542" s="9">
        <v>22736</v>
      </c>
      <c r="C542" s="9" t="s">
        <v>596</v>
      </c>
      <c r="D542" s="17">
        <f t="shared" si="43"/>
        <v>1</v>
      </c>
      <c r="E542" s="10">
        <f t="shared" si="40"/>
        <v>1</v>
      </c>
      <c r="F542" s="11">
        <v>1</v>
      </c>
      <c r="G542" s="9">
        <v>528615</v>
      </c>
      <c r="H542" s="13">
        <v>40473.691666666673</v>
      </c>
      <c r="I542" s="14">
        <v>1.65</v>
      </c>
      <c r="J542" s="23">
        <f t="shared" si="41"/>
        <v>1.65</v>
      </c>
      <c r="K542" s="12">
        <v>40473</v>
      </c>
      <c r="L542" s="24">
        <v>0.19166666666666668</v>
      </c>
      <c r="M542" t="s">
        <v>1013</v>
      </c>
      <c r="N542" s="15" t="str">
        <f t="shared" si="42"/>
        <v>4:36 PM</v>
      </c>
      <c r="O542" s="9" t="s">
        <v>9</v>
      </c>
      <c r="P542" s="20">
        <f t="shared" si="44"/>
        <v>1.65</v>
      </c>
    </row>
    <row r="543" spans="1:16" x14ac:dyDescent="0.25">
      <c r="A543" s="9">
        <v>14130</v>
      </c>
      <c r="B543" s="9">
        <v>85178</v>
      </c>
      <c r="C543" s="9" t="s">
        <v>597</v>
      </c>
      <c r="D543" s="17">
        <f t="shared" si="43"/>
        <v>3</v>
      </c>
      <c r="E543" s="10">
        <f t="shared" si="40"/>
        <v>3</v>
      </c>
      <c r="F543" s="11">
        <v>3</v>
      </c>
      <c r="G543" s="9">
        <v>536038</v>
      </c>
      <c r="H543" s="13">
        <v>40511.71597222222</v>
      </c>
      <c r="I543" s="14">
        <v>1.25</v>
      </c>
      <c r="J543" s="23">
        <f t="shared" si="41"/>
        <v>1.25</v>
      </c>
      <c r="K543" s="12">
        <v>40511</v>
      </c>
      <c r="L543" s="24">
        <v>0.21597222222222223</v>
      </c>
      <c r="M543" t="s">
        <v>1013</v>
      </c>
      <c r="N543" s="15" t="str">
        <f t="shared" si="42"/>
        <v>5:11 PM</v>
      </c>
      <c r="O543" s="9" t="s">
        <v>9</v>
      </c>
      <c r="P543" s="20">
        <f t="shared" si="44"/>
        <v>3.75</v>
      </c>
    </row>
    <row r="544" spans="1:16" x14ac:dyDescent="0.25">
      <c r="A544" s="9">
        <v>13413</v>
      </c>
      <c r="B544" s="9">
        <v>22286</v>
      </c>
      <c r="C544" s="9" t="s">
        <v>598</v>
      </c>
      <c r="D544" s="17">
        <f t="shared" si="43"/>
        <v>2</v>
      </c>
      <c r="E544" s="10">
        <f t="shared" si="40"/>
        <v>2</v>
      </c>
      <c r="F544" s="11">
        <v>2</v>
      </c>
      <c r="G544" s="9">
        <v>500844</v>
      </c>
      <c r="H544" s="13">
        <v>40247.511111111111</v>
      </c>
      <c r="I544" s="14">
        <v>1.65</v>
      </c>
      <c r="J544" s="23">
        <f t="shared" si="41"/>
        <v>1.65</v>
      </c>
      <c r="K544" s="12">
        <v>40247</v>
      </c>
      <c r="L544" s="24">
        <v>0.51111111111111107</v>
      </c>
      <c r="M544" t="s">
        <v>1013</v>
      </c>
      <c r="N544" s="15" t="str">
        <f t="shared" si="42"/>
        <v>12:16 PM</v>
      </c>
      <c r="O544" s="9" t="s">
        <v>9</v>
      </c>
      <c r="P544" s="20">
        <f t="shared" si="44"/>
        <v>3.3</v>
      </c>
    </row>
    <row r="545" spans="1:16" x14ac:dyDescent="0.25">
      <c r="A545" s="9">
        <v>17920</v>
      </c>
      <c r="B545" s="9">
        <v>22236</v>
      </c>
      <c r="C545" s="9" t="s">
        <v>599</v>
      </c>
      <c r="D545" s="17">
        <f t="shared" si="43"/>
        <v>2</v>
      </c>
      <c r="E545" s="10">
        <f t="shared" si="40"/>
        <v>2</v>
      </c>
      <c r="F545" s="11">
        <v>2</v>
      </c>
      <c r="G545" s="9">
        <v>501133</v>
      </c>
      <c r="H545" s="13">
        <v>40251.423611111109</v>
      </c>
      <c r="I545" s="14">
        <v>12.75</v>
      </c>
      <c r="J545" s="23">
        <f t="shared" si="41"/>
        <v>12.75</v>
      </c>
      <c r="K545" s="12">
        <v>40251</v>
      </c>
      <c r="L545" s="24">
        <v>0.4236111111111111</v>
      </c>
      <c r="M545" t="s">
        <v>1014</v>
      </c>
      <c r="N545" s="15" t="str">
        <f t="shared" si="42"/>
        <v>10:10 AM</v>
      </c>
      <c r="O545" s="9" t="s">
        <v>9</v>
      </c>
      <c r="P545" s="20">
        <f t="shared" si="44"/>
        <v>25.5</v>
      </c>
    </row>
    <row r="546" spans="1:16" x14ac:dyDescent="0.25">
      <c r="A546" s="9">
        <v>14390</v>
      </c>
      <c r="B546" s="9">
        <v>21463</v>
      </c>
      <c r="C546" s="9" t="s">
        <v>600</v>
      </c>
      <c r="D546" s="17">
        <f t="shared" si="43"/>
        <v>4</v>
      </c>
      <c r="E546" s="10">
        <f t="shared" si="40"/>
        <v>4</v>
      </c>
      <c r="F546" s="11">
        <v>4</v>
      </c>
      <c r="G546" s="9">
        <v>531947</v>
      </c>
      <c r="H546" s="13">
        <v>40492.511111111111</v>
      </c>
      <c r="I546" s="14">
        <v>5.95</v>
      </c>
      <c r="J546" s="23">
        <f t="shared" si="41"/>
        <v>5.95</v>
      </c>
      <c r="K546" s="12">
        <v>40492</v>
      </c>
      <c r="L546" s="24">
        <v>0.51111111111111107</v>
      </c>
      <c r="M546" t="s">
        <v>1013</v>
      </c>
      <c r="N546" s="15" t="str">
        <f t="shared" si="42"/>
        <v>12:16 PM</v>
      </c>
      <c r="O546" s="9" t="s">
        <v>9</v>
      </c>
      <c r="P546" s="20">
        <f t="shared" si="44"/>
        <v>23.8</v>
      </c>
    </row>
    <row r="547" spans="1:16" x14ac:dyDescent="0.25">
      <c r="A547" s="9">
        <v>17315</v>
      </c>
      <c r="B547" s="9">
        <v>22577</v>
      </c>
      <c r="C547" s="9" t="s">
        <v>601</v>
      </c>
      <c r="D547" s="17">
        <f t="shared" si="43"/>
        <v>1</v>
      </c>
      <c r="E547" s="10">
        <f t="shared" si="40"/>
        <v>1</v>
      </c>
      <c r="F547" s="11">
        <v>1</v>
      </c>
      <c r="G547" s="9">
        <v>530085</v>
      </c>
      <c r="H547" s="13">
        <v>40483.55972222222</v>
      </c>
      <c r="I547" s="14">
        <v>0.85</v>
      </c>
      <c r="J547" s="23">
        <f t="shared" si="41"/>
        <v>0.85</v>
      </c>
      <c r="K547" s="12">
        <v>40483</v>
      </c>
      <c r="L547" s="24">
        <v>5.9722222222222225E-2</v>
      </c>
      <c r="M547" t="s">
        <v>1013</v>
      </c>
      <c r="N547" s="15" t="str">
        <f t="shared" si="42"/>
        <v>1:26 PM</v>
      </c>
      <c r="O547" s="9" t="s">
        <v>9</v>
      </c>
      <c r="P547" s="20">
        <f t="shared" si="44"/>
        <v>0.85</v>
      </c>
    </row>
    <row r="548" spans="1:16" x14ac:dyDescent="0.25">
      <c r="A548" s="9">
        <v>15027</v>
      </c>
      <c r="B548" s="9" t="s">
        <v>602</v>
      </c>
      <c r="C548" s="9" t="s">
        <v>603</v>
      </c>
      <c r="D548" s="17">
        <f t="shared" si="43"/>
        <v>4</v>
      </c>
      <c r="E548" s="10">
        <f t="shared" si="40"/>
        <v>4</v>
      </c>
      <c r="F548" s="11">
        <v>4</v>
      </c>
      <c r="G548" s="9">
        <v>502617</v>
      </c>
      <c r="H548" s="13">
        <v>40262.61041666667</v>
      </c>
      <c r="I548" s="14">
        <v>3.75</v>
      </c>
      <c r="J548" s="23">
        <f t="shared" si="41"/>
        <v>3.75</v>
      </c>
      <c r="K548" s="12">
        <v>40262</v>
      </c>
      <c r="L548" s="24">
        <v>0.11041666666666666</v>
      </c>
      <c r="M548" t="s">
        <v>1013</v>
      </c>
      <c r="N548" s="15" t="str">
        <f t="shared" si="42"/>
        <v>2:39 PM</v>
      </c>
      <c r="O548" s="9" t="s">
        <v>9</v>
      </c>
      <c r="P548" s="20">
        <f t="shared" si="44"/>
        <v>15</v>
      </c>
    </row>
    <row r="549" spans="1:16" x14ac:dyDescent="0.25">
      <c r="A549" s="9">
        <v>12682</v>
      </c>
      <c r="B549" s="9" t="s">
        <v>604</v>
      </c>
      <c r="C549" s="9" t="s">
        <v>134</v>
      </c>
      <c r="D549" s="17">
        <f t="shared" si="43"/>
        <v>2</v>
      </c>
      <c r="E549" s="10">
        <f t="shared" si="40"/>
        <v>2</v>
      </c>
      <c r="F549" s="11">
        <v>2</v>
      </c>
      <c r="G549" s="9">
        <v>536974</v>
      </c>
      <c r="H549" s="13">
        <v>40515.582638888889</v>
      </c>
      <c r="I549" s="14">
        <v>7.95</v>
      </c>
      <c r="J549" s="23">
        <f t="shared" si="41"/>
        <v>7.95</v>
      </c>
      <c r="K549" s="12">
        <v>40515</v>
      </c>
      <c r="L549" s="24">
        <v>8.2638888888888887E-2</v>
      </c>
      <c r="M549" t="s">
        <v>1013</v>
      </c>
      <c r="N549" s="15" t="str">
        <f t="shared" si="42"/>
        <v>1:59 PM</v>
      </c>
      <c r="O549" s="9" t="s">
        <v>28</v>
      </c>
      <c r="P549" s="20">
        <f t="shared" si="44"/>
        <v>15.9</v>
      </c>
    </row>
    <row r="550" spans="1:16" x14ac:dyDescent="0.25">
      <c r="A550" s="9">
        <v>17958</v>
      </c>
      <c r="B550" s="9">
        <v>84987</v>
      </c>
      <c r="C550" s="9" t="s">
        <v>605</v>
      </c>
      <c r="D550" s="17">
        <f t="shared" si="43"/>
        <v>2</v>
      </c>
      <c r="E550" s="10">
        <f t="shared" si="40"/>
        <v>2</v>
      </c>
      <c r="F550" s="11">
        <v>2</v>
      </c>
      <c r="G550" s="9">
        <v>491633</v>
      </c>
      <c r="H550" s="13">
        <v>40158.650694444441</v>
      </c>
      <c r="I550" s="14">
        <v>1.45</v>
      </c>
      <c r="J550" s="23">
        <f t="shared" si="41"/>
        <v>1.45</v>
      </c>
      <c r="K550" s="12">
        <v>40158</v>
      </c>
      <c r="L550" s="24">
        <v>0.15069444444444444</v>
      </c>
      <c r="M550" t="s">
        <v>1013</v>
      </c>
      <c r="N550" s="15" t="str">
        <f t="shared" si="42"/>
        <v>3:37 PM</v>
      </c>
      <c r="O550" s="9" t="s">
        <v>9</v>
      </c>
      <c r="P550" s="20">
        <f t="shared" si="44"/>
        <v>2.9</v>
      </c>
    </row>
    <row r="551" spans="1:16" x14ac:dyDescent="0.25">
      <c r="A551" s="9">
        <v>16549</v>
      </c>
      <c r="B551" s="9" t="s">
        <v>606</v>
      </c>
      <c r="C551" s="9" t="s">
        <v>607</v>
      </c>
      <c r="D551" s="17">
        <f t="shared" si="43"/>
        <v>1</v>
      </c>
      <c r="E551" s="10">
        <f t="shared" si="40"/>
        <v>1</v>
      </c>
      <c r="F551" s="11">
        <v>1</v>
      </c>
      <c r="G551" s="9">
        <v>519005</v>
      </c>
      <c r="H551" s="13">
        <v>40402.804166666669</v>
      </c>
      <c r="I551" s="14">
        <v>1.69</v>
      </c>
      <c r="J551" s="23">
        <f t="shared" si="41"/>
        <v>1.69</v>
      </c>
      <c r="K551" s="12">
        <v>40402</v>
      </c>
      <c r="L551" s="24">
        <v>0.30416666666666664</v>
      </c>
      <c r="M551" t="s">
        <v>1013</v>
      </c>
      <c r="N551" s="15" t="str">
        <f t="shared" si="42"/>
        <v>7:18 PM</v>
      </c>
      <c r="O551" s="9" t="s">
        <v>9</v>
      </c>
      <c r="P551" s="20">
        <f t="shared" si="44"/>
        <v>1.69</v>
      </c>
    </row>
    <row r="552" spans="1:16" x14ac:dyDescent="0.25">
      <c r="A552" s="9">
        <v>14606</v>
      </c>
      <c r="B552" s="9">
        <v>22371</v>
      </c>
      <c r="C552" s="9" t="s">
        <v>608</v>
      </c>
      <c r="D552" s="17">
        <f t="shared" si="43"/>
        <v>1</v>
      </c>
      <c r="E552" s="10">
        <f t="shared" si="40"/>
        <v>1</v>
      </c>
      <c r="F552" s="11">
        <v>1</v>
      </c>
      <c r="G552" s="9">
        <v>519371</v>
      </c>
      <c r="H552" s="13">
        <v>40406.550000000003</v>
      </c>
      <c r="I552" s="14">
        <v>6.35</v>
      </c>
      <c r="J552" s="23">
        <f t="shared" si="41"/>
        <v>6.35</v>
      </c>
      <c r="K552" s="12">
        <v>40406</v>
      </c>
      <c r="L552" s="24">
        <v>0.05</v>
      </c>
      <c r="M552" t="s">
        <v>1013</v>
      </c>
      <c r="N552" s="15" t="str">
        <f t="shared" si="42"/>
        <v>1:12 PM</v>
      </c>
      <c r="O552" s="9" t="s">
        <v>9</v>
      </c>
      <c r="P552" s="20">
        <f t="shared" si="44"/>
        <v>6.35</v>
      </c>
    </row>
    <row r="553" spans="1:16" x14ac:dyDescent="0.25">
      <c r="A553" s="9">
        <v>12470</v>
      </c>
      <c r="B553" s="9">
        <v>84832</v>
      </c>
      <c r="C553" s="16" t="s">
        <v>980</v>
      </c>
      <c r="D553" s="17">
        <f t="shared" si="43"/>
        <v>5</v>
      </c>
      <c r="E553" s="10">
        <f t="shared" si="40"/>
        <v>5</v>
      </c>
      <c r="F553" s="11">
        <v>5</v>
      </c>
      <c r="G553" s="9">
        <v>494860</v>
      </c>
      <c r="H553" s="13">
        <v>40197.459027777782</v>
      </c>
      <c r="I553" s="14">
        <v>0.85</v>
      </c>
      <c r="J553" s="23">
        <f t="shared" si="41"/>
        <v>0.85</v>
      </c>
      <c r="K553" s="12">
        <v>40197</v>
      </c>
      <c r="L553" s="24">
        <v>0.45902777777777776</v>
      </c>
      <c r="M553" t="s">
        <v>1014</v>
      </c>
      <c r="N553" s="15" t="str">
        <f t="shared" si="42"/>
        <v>11:01 AM</v>
      </c>
      <c r="O553" s="9" t="s">
        <v>609</v>
      </c>
      <c r="P553" s="20">
        <f t="shared" si="44"/>
        <v>4.25</v>
      </c>
    </row>
    <row r="554" spans="1:16" x14ac:dyDescent="0.25">
      <c r="A554" s="9">
        <v>15351</v>
      </c>
      <c r="B554" s="9">
        <v>22968</v>
      </c>
      <c r="C554" s="9" t="s">
        <v>610</v>
      </c>
      <c r="D554" s="17">
        <f t="shared" si="43"/>
        <v>2</v>
      </c>
      <c r="E554" s="10">
        <f t="shared" si="40"/>
        <v>2</v>
      </c>
      <c r="F554" s="11">
        <v>2</v>
      </c>
      <c r="G554" s="9">
        <v>529826</v>
      </c>
      <c r="H554" s="13">
        <v>40482.488194444442</v>
      </c>
      <c r="I554" s="14">
        <v>9.9499999999999993</v>
      </c>
      <c r="J554" s="23">
        <f t="shared" si="41"/>
        <v>9.9499999999999993</v>
      </c>
      <c r="K554" s="12">
        <v>40482</v>
      </c>
      <c r="L554" s="24">
        <v>0.48819444444444443</v>
      </c>
      <c r="M554" t="s">
        <v>1014</v>
      </c>
      <c r="N554" s="15" t="str">
        <f t="shared" si="42"/>
        <v>11:43 AM</v>
      </c>
      <c r="O554" s="9" t="s">
        <v>9</v>
      </c>
      <c r="P554" s="20">
        <f t="shared" si="44"/>
        <v>19.899999999999999</v>
      </c>
    </row>
    <row r="555" spans="1:16" x14ac:dyDescent="0.25">
      <c r="A555" s="9" t="s">
        <v>611</v>
      </c>
      <c r="B555" s="9">
        <v>21755</v>
      </c>
      <c r="C555" s="9" t="s">
        <v>360</v>
      </c>
      <c r="D555" s="17">
        <f t="shared" si="43"/>
        <v>3</v>
      </c>
      <c r="E555" s="10">
        <f t="shared" si="40"/>
        <v>3</v>
      </c>
      <c r="F555" s="11">
        <v>3</v>
      </c>
      <c r="G555" s="9">
        <v>534718</v>
      </c>
      <c r="H555" s="13">
        <v>40505.741666666669</v>
      </c>
      <c r="I555" s="14">
        <v>5.95</v>
      </c>
      <c r="J555" s="23">
        <f t="shared" si="41"/>
        <v>5.95</v>
      </c>
      <c r="K555" s="12">
        <v>40505</v>
      </c>
      <c r="L555" s="24">
        <v>0.24166666666666667</v>
      </c>
      <c r="M555" t="s">
        <v>1013</v>
      </c>
      <c r="N555" s="15" t="str">
        <f t="shared" si="42"/>
        <v>5:48 PM</v>
      </c>
      <c r="O555" s="9" t="s">
        <v>9</v>
      </c>
      <c r="P555" s="20">
        <f t="shared" si="44"/>
        <v>17.850000000000001</v>
      </c>
    </row>
    <row r="556" spans="1:16" x14ac:dyDescent="0.25">
      <c r="A556" s="9">
        <v>14896</v>
      </c>
      <c r="B556" s="9">
        <v>21977</v>
      </c>
      <c r="C556" s="9" t="s">
        <v>612</v>
      </c>
      <c r="D556" s="17">
        <f t="shared" si="43"/>
        <v>2</v>
      </c>
      <c r="E556" s="10">
        <f t="shared" si="40"/>
        <v>2</v>
      </c>
      <c r="F556" s="11">
        <v>2</v>
      </c>
      <c r="G556" s="9">
        <v>500220</v>
      </c>
      <c r="H556" s="13">
        <v>40242.469444444447</v>
      </c>
      <c r="I556" s="14">
        <v>0.55000000000000004</v>
      </c>
      <c r="J556" s="23">
        <f t="shared" si="41"/>
        <v>0.55000000000000004</v>
      </c>
      <c r="K556" s="12">
        <v>40242</v>
      </c>
      <c r="L556" s="24">
        <v>0.46944444444444444</v>
      </c>
      <c r="M556" t="s">
        <v>1014</v>
      </c>
      <c r="N556" s="15" t="str">
        <f t="shared" si="42"/>
        <v>11:16 AM</v>
      </c>
      <c r="O556" s="9" t="s">
        <v>9</v>
      </c>
      <c r="P556" s="20">
        <f t="shared" si="44"/>
        <v>1.1000000000000001</v>
      </c>
    </row>
    <row r="557" spans="1:16" x14ac:dyDescent="0.25">
      <c r="A557" s="9">
        <v>12682</v>
      </c>
      <c r="B557" s="9" t="s">
        <v>613</v>
      </c>
      <c r="C557" s="9" t="s">
        <v>219</v>
      </c>
      <c r="D557" s="17">
        <f t="shared" si="43"/>
        <v>12</v>
      </c>
      <c r="E557" s="10">
        <f t="shared" si="40"/>
        <v>12</v>
      </c>
      <c r="F557" s="11">
        <v>12</v>
      </c>
      <c r="G557" s="9">
        <v>489439</v>
      </c>
      <c r="H557" s="13">
        <v>40148.394444444442</v>
      </c>
      <c r="I557" s="14">
        <v>0.65</v>
      </c>
      <c r="J557" s="23">
        <f t="shared" si="41"/>
        <v>0.65</v>
      </c>
      <c r="K557" s="12">
        <v>40148</v>
      </c>
      <c r="L557" s="24">
        <v>0.39444444444444443</v>
      </c>
      <c r="M557" t="s">
        <v>1014</v>
      </c>
      <c r="N557" s="15" t="str">
        <f t="shared" si="42"/>
        <v>9:28 AM</v>
      </c>
      <c r="O557" s="9" t="s">
        <v>28</v>
      </c>
      <c r="P557" s="20">
        <f t="shared" si="44"/>
        <v>7.8000000000000007</v>
      </c>
    </row>
    <row r="558" spans="1:16" x14ac:dyDescent="0.25">
      <c r="A558" s="9">
        <v>14204</v>
      </c>
      <c r="B558" s="9" t="s">
        <v>614</v>
      </c>
      <c r="C558" s="9" t="s">
        <v>615</v>
      </c>
      <c r="D558" s="17">
        <f t="shared" si="43"/>
        <v>24</v>
      </c>
      <c r="E558" s="10">
        <f t="shared" si="40"/>
        <v>24</v>
      </c>
      <c r="F558" s="11">
        <v>24</v>
      </c>
      <c r="G558" s="9">
        <v>513108</v>
      </c>
      <c r="H558" s="13">
        <v>40350.669444444437</v>
      </c>
      <c r="I558" s="14">
        <v>1.69</v>
      </c>
      <c r="J558" s="23">
        <f t="shared" si="41"/>
        <v>1.69</v>
      </c>
      <c r="K558" s="12">
        <v>40350</v>
      </c>
      <c r="L558" s="24">
        <v>0.16944444444444445</v>
      </c>
      <c r="M558" t="s">
        <v>1013</v>
      </c>
      <c r="N558" s="15" t="str">
        <f t="shared" si="42"/>
        <v>4:04 PM</v>
      </c>
      <c r="O558" s="9" t="s">
        <v>9</v>
      </c>
      <c r="P558" s="20">
        <f t="shared" si="44"/>
        <v>40.56</v>
      </c>
    </row>
    <row r="559" spans="1:16" x14ac:dyDescent="0.25">
      <c r="A559" s="9">
        <v>13680</v>
      </c>
      <c r="B559" s="9" t="s">
        <v>616</v>
      </c>
      <c r="C559" s="9" t="s">
        <v>617</v>
      </c>
      <c r="D559" s="17">
        <f t="shared" si="43"/>
        <v>1</v>
      </c>
      <c r="E559" s="10">
        <f t="shared" si="40"/>
        <v>1</v>
      </c>
      <c r="F559" s="11">
        <v>1</v>
      </c>
      <c r="G559" s="9">
        <v>499972</v>
      </c>
      <c r="H559" s="13">
        <v>40240.604861111111</v>
      </c>
      <c r="I559" s="14">
        <v>1.45</v>
      </c>
      <c r="J559" s="23">
        <f t="shared" si="41"/>
        <v>1.45</v>
      </c>
      <c r="K559" s="12">
        <v>40240</v>
      </c>
      <c r="L559" s="24">
        <v>0.10486111111111111</v>
      </c>
      <c r="M559" t="s">
        <v>1013</v>
      </c>
      <c r="N559" s="15" t="str">
        <f t="shared" si="42"/>
        <v>2:31 PM</v>
      </c>
      <c r="O559" s="9" t="s">
        <v>9</v>
      </c>
      <c r="P559" s="20">
        <f t="shared" si="44"/>
        <v>1.45</v>
      </c>
    </row>
    <row r="560" spans="1:16" x14ac:dyDescent="0.25">
      <c r="A560" s="9">
        <v>16520</v>
      </c>
      <c r="B560" s="9">
        <v>22476</v>
      </c>
      <c r="C560" s="9" t="s">
        <v>618</v>
      </c>
      <c r="D560" s="17">
        <f t="shared" si="43"/>
        <v>2</v>
      </c>
      <c r="E560" s="10">
        <f t="shared" si="40"/>
        <v>2</v>
      </c>
      <c r="F560" s="11">
        <v>2</v>
      </c>
      <c r="G560" s="9">
        <v>506442</v>
      </c>
      <c r="H560" s="13">
        <v>40297.697916666657</v>
      </c>
      <c r="I560" s="14">
        <v>4.95</v>
      </c>
      <c r="J560" s="23">
        <f t="shared" si="41"/>
        <v>4.95</v>
      </c>
      <c r="K560" s="12">
        <v>40297</v>
      </c>
      <c r="L560" s="24">
        <v>0.19791666666666666</v>
      </c>
      <c r="M560" t="s">
        <v>1013</v>
      </c>
      <c r="N560" s="15" t="str">
        <f t="shared" si="42"/>
        <v>4:45 PM</v>
      </c>
      <c r="O560" s="9" t="s">
        <v>9</v>
      </c>
      <c r="P560" s="20">
        <f t="shared" si="44"/>
        <v>9.9</v>
      </c>
    </row>
    <row r="561" spans="1:16" x14ac:dyDescent="0.25">
      <c r="A561" s="9">
        <v>12748</v>
      </c>
      <c r="B561" s="9">
        <v>37509</v>
      </c>
      <c r="C561" s="9" t="s">
        <v>619</v>
      </c>
      <c r="D561" s="17">
        <f t="shared" si="43"/>
        <v>2</v>
      </c>
      <c r="E561" s="10">
        <f t="shared" si="40"/>
        <v>2</v>
      </c>
      <c r="F561" s="11">
        <v>2</v>
      </c>
      <c r="G561" s="9">
        <v>523005</v>
      </c>
      <c r="H561" s="13">
        <v>40440.680555555547</v>
      </c>
      <c r="I561" s="14">
        <v>2.5499999999999998</v>
      </c>
      <c r="J561" s="23">
        <f t="shared" si="41"/>
        <v>2.5499999999999998</v>
      </c>
      <c r="K561" s="12">
        <v>40440</v>
      </c>
      <c r="L561" s="24">
        <v>0.18055555555555555</v>
      </c>
      <c r="M561" t="s">
        <v>1013</v>
      </c>
      <c r="N561" s="15" t="str">
        <f t="shared" si="42"/>
        <v>4:20 PM</v>
      </c>
      <c r="O561" s="9" t="s">
        <v>9</v>
      </c>
      <c r="P561" s="20">
        <f t="shared" si="44"/>
        <v>5.0999999999999996</v>
      </c>
    </row>
    <row r="562" spans="1:16" x14ac:dyDescent="0.25">
      <c r="A562" s="9">
        <v>17865</v>
      </c>
      <c r="B562" s="9">
        <v>21875</v>
      </c>
      <c r="C562" s="9" t="s">
        <v>620</v>
      </c>
      <c r="D562" s="17">
        <f t="shared" si="43"/>
        <v>1</v>
      </c>
      <c r="E562" s="10">
        <f t="shared" si="40"/>
        <v>1</v>
      </c>
      <c r="F562" s="11">
        <v>1</v>
      </c>
      <c r="G562" s="9">
        <v>490707</v>
      </c>
      <c r="H562" s="13">
        <v>40154.626388888893</v>
      </c>
      <c r="I562" s="14">
        <v>1.25</v>
      </c>
      <c r="J562" s="23">
        <f t="shared" si="41"/>
        <v>1.25</v>
      </c>
      <c r="K562" s="12">
        <v>40154</v>
      </c>
      <c r="L562" s="24">
        <v>0.12638888888888888</v>
      </c>
      <c r="M562" t="s">
        <v>1013</v>
      </c>
      <c r="N562" s="15" t="str">
        <f t="shared" si="42"/>
        <v>3:02 PM</v>
      </c>
      <c r="O562" s="9" t="s">
        <v>9</v>
      </c>
      <c r="P562" s="20">
        <f t="shared" si="44"/>
        <v>1.25</v>
      </c>
    </row>
    <row r="563" spans="1:16" x14ac:dyDescent="0.25">
      <c r="A563" s="9">
        <v>17469</v>
      </c>
      <c r="B563" s="9">
        <v>22329</v>
      </c>
      <c r="C563" s="9" t="s">
        <v>621</v>
      </c>
      <c r="D563" s="17">
        <f t="shared" si="43"/>
        <v>12</v>
      </c>
      <c r="E563" s="10">
        <f t="shared" si="40"/>
        <v>12</v>
      </c>
      <c r="F563" s="11">
        <v>12</v>
      </c>
      <c r="G563" s="9">
        <v>498401</v>
      </c>
      <c r="H563" s="13">
        <v>40227.655555555553</v>
      </c>
      <c r="I563" s="14">
        <v>1.65</v>
      </c>
      <c r="J563" s="23">
        <f t="shared" si="41"/>
        <v>1.65</v>
      </c>
      <c r="K563" s="12">
        <v>40227</v>
      </c>
      <c r="L563" s="24">
        <v>0.15555555555555556</v>
      </c>
      <c r="M563" t="s">
        <v>1013</v>
      </c>
      <c r="N563" s="15" t="str">
        <f t="shared" si="42"/>
        <v>3:44 PM</v>
      </c>
      <c r="O563" s="9" t="s">
        <v>9</v>
      </c>
      <c r="P563" s="20">
        <f t="shared" si="44"/>
        <v>19.799999999999997</v>
      </c>
    </row>
    <row r="564" spans="1:16" x14ac:dyDescent="0.25">
      <c r="A564" s="9">
        <v>13798</v>
      </c>
      <c r="B564" s="9">
        <v>82578</v>
      </c>
      <c r="C564" s="9" t="s">
        <v>623</v>
      </c>
      <c r="D564" s="17">
        <f t="shared" si="43"/>
        <v>1</v>
      </c>
      <c r="E564" s="10">
        <f t="shared" si="40"/>
        <v>-1</v>
      </c>
      <c r="F564" s="11">
        <v>-1</v>
      </c>
      <c r="G564" s="9" t="s">
        <v>622</v>
      </c>
      <c r="H564" s="13">
        <v>40377.452777777777</v>
      </c>
      <c r="I564" s="14">
        <v>0.55000000000000004</v>
      </c>
      <c r="J564" s="23">
        <f t="shared" si="41"/>
        <v>0.55000000000000004</v>
      </c>
      <c r="K564" s="12">
        <v>40377</v>
      </c>
      <c r="L564" s="24">
        <v>0.45277777777777778</v>
      </c>
      <c r="M564" t="s">
        <v>1014</v>
      </c>
      <c r="N564" s="15" t="str">
        <f t="shared" si="42"/>
        <v>10:52 AM</v>
      </c>
      <c r="O564" s="9" t="s">
        <v>9</v>
      </c>
      <c r="P564" s="20">
        <f t="shared" si="44"/>
        <v>0.55000000000000004</v>
      </c>
    </row>
    <row r="565" spans="1:16" x14ac:dyDescent="0.25">
      <c r="A565" s="9">
        <v>17612</v>
      </c>
      <c r="B565" s="9">
        <v>22188</v>
      </c>
      <c r="C565" s="9" t="s">
        <v>505</v>
      </c>
      <c r="D565" s="17">
        <f t="shared" si="43"/>
        <v>4</v>
      </c>
      <c r="E565" s="10">
        <f t="shared" si="40"/>
        <v>4</v>
      </c>
      <c r="F565" s="11">
        <v>4</v>
      </c>
      <c r="G565" s="9">
        <v>517097</v>
      </c>
      <c r="H565" s="13">
        <v>40385.630555555559</v>
      </c>
      <c r="I565" s="14" t="s">
        <v>624</v>
      </c>
      <c r="J565" s="23">
        <f t="shared" si="41"/>
        <v>3.95</v>
      </c>
      <c r="K565" s="12">
        <v>40385</v>
      </c>
      <c r="L565" s="24">
        <v>0.13055555555555556</v>
      </c>
      <c r="M565" t="s">
        <v>1013</v>
      </c>
      <c r="N565" s="15" t="str">
        <f t="shared" si="42"/>
        <v>3:08 PM</v>
      </c>
      <c r="O565" s="9" t="s">
        <v>9</v>
      </c>
      <c r="P565" s="20">
        <f t="shared" si="44"/>
        <v>15.8</v>
      </c>
    </row>
    <row r="566" spans="1:16" x14ac:dyDescent="0.25">
      <c r="A566" s="9">
        <v>14813</v>
      </c>
      <c r="B566" s="9">
        <v>22451</v>
      </c>
      <c r="C566" s="9" t="s">
        <v>625</v>
      </c>
      <c r="D566" s="17">
        <f t="shared" si="43"/>
        <v>2</v>
      </c>
      <c r="E566" s="10">
        <f t="shared" si="40"/>
        <v>2</v>
      </c>
      <c r="F566" s="11">
        <v>2</v>
      </c>
      <c r="G566" s="9">
        <v>537059</v>
      </c>
      <c r="H566" s="13">
        <v>40517.495833333327</v>
      </c>
      <c r="I566" s="14">
        <v>3.35</v>
      </c>
      <c r="J566" s="23">
        <f t="shared" si="41"/>
        <v>3.35</v>
      </c>
      <c r="K566" s="12">
        <v>40517</v>
      </c>
      <c r="L566" s="24">
        <v>0.49583333333333335</v>
      </c>
      <c r="M566" t="s">
        <v>1014</v>
      </c>
      <c r="N566" s="15" t="str">
        <f t="shared" si="42"/>
        <v>11:54 AM</v>
      </c>
      <c r="O566" s="9" t="s">
        <v>9</v>
      </c>
      <c r="P566" s="20">
        <f t="shared" si="44"/>
        <v>6.7</v>
      </c>
    </row>
    <row r="567" spans="1:16" x14ac:dyDescent="0.25">
      <c r="A567" s="9">
        <v>16029</v>
      </c>
      <c r="B567" s="9">
        <v>47502</v>
      </c>
      <c r="C567" s="9" t="s">
        <v>626</v>
      </c>
      <c r="D567" s="17">
        <f t="shared" si="43"/>
        <v>10</v>
      </c>
      <c r="E567" s="10">
        <f t="shared" si="40"/>
        <v>10</v>
      </c>
      <c r="F567" s="11">
        <v>10</v>
      </c>
      <c r="G567" s="9">
        <v>499168</v>
      </c>
      <c r="H567" s="13">
        <v>40234.397916666669</v>
      </c>
      <c r="I567" s="14">
        <v>9.9499999999999993</v>
      </c>
      <c r="J567" s="23">
        <f t="shared" si="41"/>
        <v>9.9499999999999993</v>
      </c>
      <c r="K567" s="12">
        <v>40234</v>
      </c>
      <c r="L567" s="24">
        <v>0.39791666666666664</v>
      </c>
      <c r="M567" t="s">
        <v>1014</v>
      </c>
      <c r="N567" s="15" t="str">
        <f t="shared" si="42"/>
        <v>9:33 AM</v>
      </c>
      <c r="O567" s="9" t="s">
        <v>9</v>
      </c>
      <c r="P567" s="20">
        <f t="shared" si="44"/>
        <v>99.5</v>
      </c>
    </row>
    <row r="568" spans="1:16" x14ac:dyDescent="0.25">
      <c r="A568" s="9">
        <v>16960</v>
      </c>
      <c r="B568" s="9">
        <v>22545</v>
      </c>
      <c r="C568" s="9" t="s">
        <v>627</v>
      </c>
      <c r="D568" s="17">
        <f t="shared" si="43"/>
        <v>7</v>
      </c>
      <c r="E568" s="10">
        <f t="shared" si="40"/>
        <v>7</v>
      </c>
      <c r="F568" s="11">
        <v>7</v>
      </c>
      <c r="G568" s="9">
        <v>510483</v>
      </c>
      <c r="H568" s="13">
        <v>40330.477083333331</v>
      </c>
      <c r="I568" s="14">
        <v>0.42</v>
      </c>
      <c r="J568" s="23">
        <f t="shared" si="41"/>
        <v>0.42</v>
      </c>
      <c r="K568" s="12">
        <v>40330</v>
      </c>
      <c r="L568" s="24">
        <v>0.47708333333333336</v>
      </c>
      <c r="M568" t="s">
        <v>1014</v>
      </c>
      <c r="N568" s="15" t="str">
        <f t="shared" si="42"/>
        <v>11:27 AM</v>
      </c>
      <c r="O568" s="9" t="s">
        <v>9</v>
      </c>
      <c r="P568" s="20">
        <f t="shared" si="44"/>
        <v>2.94</v>
      </c>
    </row>
    <row r="569" spans="1:16" x14ac:dyDescent="0.25">
      <c r="A569" s="9">
        <v>13109</v>
      </c>
      <c r="B569" s="9">
        <v>22179</v>
      </c>
      <c r="C569" s="9" t="s">
        <v>628</v>
      </c>
      <c r="D569" s="17">
        <f t="shared" si="43"/>
        <v>2</v>
      </c>
      <c r="E569" s="10">
        <f t="shared" si="40"/>
        <v>2</v>
      </c>
      <c r="F569" s="11">
        <v>2</v>
      </c>
      <c r="G569" s="9">
        <v>511066</v>
      </c>
      <c r="H569" s="13">
        <v>40335.540972222218</v>
      </c>
      <c r="I569" s="14">
        <v>6.75</v>
      </c>
      <c r="J569" s="23">
        <f t="shared" si="41"/>
        <v>6.75</v>
      </c>
      <c r="K569" s="12">
        <v>40335</v>
      </c>
      <c r="L569" s="24">
        <v>0.54097222222222219</v>
      </c>
      <c r="M569" t="s">
        <v>1013</v>
      </c>
      <c r="N569" s="15" t="str">
        <f t="shared" si="42"/>
        <v>12:59 PM</v>
      </c>
      <c r="O569" s="9" t="s">
        <v>9</v>
      </c>
      <c r="P569" s="20">
        <f t="shared" si="44"/>
        <v>13.5</v>
      </c>
    </row>
    <row r="570" spans="1:16" x14ac:dyDescent="0.25">
      <c r="A570" s="9">
        <v>16316</v>
      </c>
      <c r="B570" s="9">
        <v>21774</v>
      </c>
      <c r="C570" s="9" t="s">
        <v>629</v>
      </c>
      <c r="D570" s="17">
        <f t="shared" si="43"/>
        <v>12</v>
      </c>
      <c r="E570" s="10">
        <f t="shared" si="40"/>
        <v>12</v>
      </c>
      <c r="F570" s="11">
        <v>12</v>
      </c>
      <c r="G570" s="9">
        <v>517978</v>
      </c>
      <c r="H570" s="13">
        <v>40393.609722222223</v>
      </c>
      <c r="I570" s="14">
        <v>1.25</v>
      </c>
      <c r="J570" s="23">
        <f t="shared" si="41"/>
        <v>1.25</v>
      </c>
      <c r="K570" s="12">
        <v>40393</v>
      </c>
      <c r="L570" s="24">
        <v>0.10972222222222222</v>
      </c>
      <c r="M570" t="s">
        <v>1013</v>
      </c>
      <c r="N570" s="15" t="str">
        <f t="shared" si="42"/>
        <v>2:38 PM</v>
      </c>
      <c r="O570" s="9" t="s">
        <v>9</v>
      </c>
      <c r="P570" s="20">
        <f t="shared" si="44"/>
        <v>15</v>
      </c>
    </row>
    <row r="571" spans="1:16" x14ac:dyDescent="0.25">
      <c r="A571" s="9">
        <v>14911</v>
      </c>
      <c r="B571" s="9">
        <v>48129</v>
      </c>
      <c r="C571" s="9" t="s">
        <v>630</v>
      </c>
      <c r="D571" s="17">
        <f t="shared" si="43"/>
        <v>2</v>
      </c>
      <c r="E571" s="10">
        <f t="shared" si="40"/>
        <v>2</v>
      </c>
      <c r="F571" s="11">
        <v>2</v>
      </c>
      <c r="G571" s="9">
        <v>496008</v>
      </c>
      <c r="H571" s="13">
        <v>40206.525000000001</v>
      </c>
      <c r="I571" s="14">
        <v>6.75</v>
      </c>
      <c r="J571" s="23">
        <f t="shared" si="41"/>
        <v>6.75</v>
      </c>
      <c r="K571" s="12">
        <v>40206</v>
      </c>
      <c r="L571" s="24">
        <v>0.52500000000000002</v>
      </c>
      <c r="M571" t="s">
        <v>1013</v>
      </c>
      <c r="N571" s="15" t="str">
        <f t="shared" si="42"/>
        <v>12:36 PM</v>
      </c>
      <c r="O571" s="9" t="s">
        <v>11</v>
      </c>
      <c r="P571" s="20">
        <f t="shared" si="44"/>
        <v>13.5</v>
      </c>
    </row>
    <row r="572" spans="1:16" x14ac:dyDescent="0.25">
      <c r="A572" s="9">
        <v>17001</v>
      </c>
      <c r="B572" s="9">
        <v>21670</v>
      </c>
      <c r="C572" s="9" t="s">
        <v>631</v>
      </c>
      <c r="D572" s="17">
        <f t="shared" si="43"/>
        <v>12</v>
      </c>
      <c r="E572" s="10">
        <f t="shared" si="40"/>
        <v>12</v>
      </c>
      <c r="F572" s="11">
        <v>12</v>
      </c>
      <c r="G572" s="9">
        <v>535680</v>
      </c>
      <c r="H572" s="13">
        <v>40510.517361111109</v>
      </c>
      <c r="I572" s="14">
        <v>1.25</v>
      </c>
      <c r="J572" s="23">
        <f t="shared" si="41"/>
        <v>1.25</v>
      </c>
      <c r="K572" s="12">
        <v>40510</v>
      </c>
      <c r="L572" s="24">
        <v>0.51736111111111116</v>
      </c>
      <c r="M572" t="s">
        <v>1013</v>
      </c>
      <c r="N572" s="15" t="str">
        <f t="shared" si="42"/>
        <v>12:25 PM</v>
      </c>
      <c r="O572" s="9" t="s">
        <v>9</v>
      </c>
      <c r="P572" s="20">
        <f t="shared" si="44"/>
        <v>15</v>
      </c>
    </row>
    <row r="573" spans="1:16" x14ac:dyDescent="0.25">
      <c r="A573" s="9">
        <v>17351</v>
      </c>
      <c r="B573" s="9">
        <v>48129</v>
      </c>
      <c r="C573" s="9" t="s">
        <v>630</v>
      </c>
      <c r="D573" s="17">
        <f t="shared" si="43"/>
        <v>5</v>
      </c>
      <c r="E573" s="10">
        <f t="shared" si="40"/>
        <v>5</v>
      </c>
      <c r="F573" s="11">
        <v>5</v>
      </c>
      <c r="G573" s="9">
        <v>498121</v>
      </c>
      <c r="H573" s="13">
        <v>40225.643750000003</v>
      </c>
      <c r="I573" s="14">
        <v>7.49</v>
      </c>
      <c r="J573" s="23">
        <f t="shared" si="41"/>
        <v>7.49</v>
      </c>
      <c r="K573" s="12">
        <v>40225</v>
      </c>
      <c r="L573" s="24">
        <v>0.14374999999999999</v>
      </c>
      <c r="M573" t="s">
        <v>1013</v>
      </c>
      <c r="N573" s="15" t="str">
        <f t="shared" si="42"/>
        <v>3:27 PM</v>
      </c>
      <c r="O573" s="9" t="s">
        <v>9</v>
      </c>
      <c r="P573" s="20">
        <f t="shared" si="44"/>
        <v>37.450000000000003</v>
      </c>
    </row>
    <row r="574" spans="1:16" x14ac:dyDescent="0.25">
      <c r="A574" s="9">
        <v>16858</v>
      </c>
      <c r="B574" s="9">
        <v>21041</v>
      </c>
      <c r="C574" s="9" t="s">
        <v>632</v>
      </c>
      <c r="D574" s="17">
        <f t="shared" si="43"/>
        <v>6</v>
      </c>
      <c r="E574" s="10">
        <f t="shared" si="40"/>
        <v>6</v>
      </c>
      <c r="F574" s="11">
        <v>6</v>
      </c>
      <c r="G574" s="9">
        <v>491998</v>
      </c>
      <c r="H574" s="13">
        <v>40162.464583333327</v>
      </c>
      <c r="I574" s="14">
        <v>2.95</v>
      </c>
      <c r="J574" s="23">
        <f t="shared" si="41"/>
        <v>2.95</v>
      </c>
      <c r="K574" s="12">
        <v>40162</v>
      </c>
      <c r="L574" s="24">
        <v>0.46458333333333335</v>
      </c>
      <c r="M574" t="s">
        <v>1014</v>
      </c>
      <c r="N574" s="15" t="str">
        <f t="shared" si="42"/>
        <v>11:09 AM</v>
      </c>
      <c r="O574" s="9" t="s">
        <v>9</v>
      </c>
      <c r="P574" s="20">
        <f t="shared" si="44"/>
        <v>17.700000000000003</v>
      </c>
    </row>
    <row r="575" spans="1:16" x14ac:dyDescent="0.25">
      <c r="A575" s="9">
        <v>16391</v>
      </c>
      <c r="B575" s="9">
        <v>84915</v>
      </c>
      <c r="C575" s="9" t="s">
        <v>633</v>
      </c>
      <c r="D575" s="17">
        <f t="shared" si="43"/>
        <v>1</v>
      </c>
      <c r="E575" s="10">
        <f t="shared" si="40"/>
        <v>1</v>
      </c>
      <c r="F575" s="11">
        <v>1</v>
      </c>
      <c r="G575" s="9">
        <v>530796</v>
      </c>
      <c r="H575" s="13">
        <v>40486.518750000003</v>
      </c>
      <c r="I575" s="14">
        <v>5.95</v>
      </c>
      <c r="J575" s="23">
        <f t="shared" si="41"/>
        <v>5.95</v>
      </c>
      <c r="K575" s="12">
        <v>40486</v>
      </c>
      <c r="L575" s="24">
        <v>0.51875000000000004</v>
      </c>
      <c r="M575" t="s">
        <v>1013</v>
      </c>
      <c r="N575" s="15" t="str">
        <f t="shared" si="42"/>
        <v>12:27 PM</v>
      </c>
      <c r="O575" s="9" t="s">
        <v>9</v>
      </c>
      <c r="P575" s="20">
        <f t="shared" si="44"/>
        <v>5.95</v>
      </c>
    </row>
    <row r="576" spans="1:16" x14ac:dyDescent="0.25">
      <c r="A576" s="9">
        <v>16901</v>
      </c>
      <c r="B576" s="9">
        <v>21737</v>
      </c>
      <c r="C576" s="9" t="s">
        <v>453</v>
      </c>
      <c r="D576" s="17">
        <f t="shared" si="43"/>
        <v>1</v>
      </c>
      <c r="E576" s="10">
        <f t="shared" si="40"/>
        <v>1</v>
      </c>
      <c r="F576" s="11" t="s">
        <v>330</v>
      </c>
      <c r="G576" s="9">
        <v>491395</v>
      </c>
      <c r="H576" s="13">
        <v>40157.6875</v>
      </c>
      <c r="I576" s="14">
        <v>19.95</v>
      </c>
      <c r="J576" s="23">
        <f t="shared" si="41"/>
        <v>19.95</v>
      </c>
      <c r="K576" s="12">
        <v>40157</v>
      </c>
      <c r="L576" s="24">
        <v>0.1875</v>
      </c>
      <c r="M576" t="s">
        <v>1013</v>
      </c>
      <c r="N576" s="15" t="str">
        <f t="shared" si="42"/>
        <v>4:30 PM</v>
      </c>
      <c r="O576" s="9" t="s">
        <v>9</v>
      </c>
      <c r="P576" s="20">
        <f t="shared" si="44"/>
        <v>19.95</v>
      </c>
    </row>
    <row r="577" spans="1:16" x14ac:dyDescent="0.25">
      <c r="A577" s="9">
        <v>15164</v>
      </c>
      <c r="B577" s="9">
        <v>21272</v>
      </c>
      <c r="C577" s="9" t="s">
        <v>634</v>
      </c>
      <c r="D577" s="17">
        <f t="shared" si="43"/>
        <v>2</v>
      </c>
      <c r="E577" s="10">
        <f t="shared" si="40"/>
        <v>2</v>
      </c>
      <c r="F577" s="11">
        <v>2</v>
      </c>
      <c r="G577" s="9">
        <v>515313</v>
      </c>
      <c r="H577" s="13">
        <v>40370.436111111107</v>
      </c>
      <c r="I577" s="14">
        <v>1.25</v>
      </c>
      <c r="J577" s="23">
        <f t="shared" si="41"/>
        <v>1.25</v>
      </c>
      <c r="K577" s="12">
        <v>40370</v>
      </c>
      <c r="L577" s="24">
        <v>0.43611111111111112</v>
      </c>
      <c r="M577" t="s">
        <v>1014</v>
      </c>
      <c r="N577" s="15" t="str">
        <f t="shared" si="42"/>
        <v>10:28 AM</v>
      </c>
      <c r="O577" s="9" t="s">
        <v>9</v>
      </c>
      <c r="P577" s="20">
        <f t="shared" si="44"/>
        <v>2.5</v>
      </c>
    </row>
    <row r="578" spans="1:16" x14ac:dyDescent="0.25">
      <c r="A578" s="9">
        <v>17084</v>
      </c>
      <c r="B578" s="9">
        <v>22910</v>
      </c>
      <c r="C578" s="9" t="s">
        <v>533</v>
      </c>
      <c r="D578" s="17">
        <f t="shared" si="43"/>
        <v>6</v>
      </c>
      <c r="E578" s="10">
        <f t="shared" ref="E578:E641" si="45">VALUE(F578)</f>
        <v>6</v>
      </c>
      <c r="F578" s="11">
        <v>6</v>
      </c>
      <c r="G578" s="9">
        <v>531478</v>
      </c>
      <c r="H578" s="17" t="s">
        <v>635</v>
      </c>
      <c r="I578" s="14">
        <v>2.95</v>
      </c>
      <c r="J578" s="23">
        <f t="shared" ref="J578:J641" si="46">VALUE(I578)</f>
        <v>2.95</v>
      </c>
      <c r="K578" s="12">
        <v>40490</v>
      </c>
      <c r="L578" s="25">
        <v>0.59722222222222221</v>
      </c>
      <c r="N578" s="15" t="str">
        <f t="shared" ref="N578:N641" si="47">TEXT(L578,"h:mm")&amp;" "&amp;M578</f>
        <v xml:space="preserve">14:20 </v>
      </c>
      <c r="O578" s="9" t="s">
        <v>9</v>
      </c>
      <c r="P578" s="20">
        <f t="shared" si="44"/>
        <v>17.700000000000003</v>
      </c>
    </row>
    <row r="579" spans="1:16" x14ac:dyDescent="0.25">
      <c r="A579" s="9">
        <v>15081</v>
      </c>
      <c r="B579" s="9" t="s">
        <v>153</v>
      </c>
      <c r="C579" s="9" t="s">
        <v>154</v>
      </c>
      <c r="D579" s="17">
        <f t="shared" ref="D579:D642" si="48">ABS(E579)</f>
        <v>12</v>
      </c>
      <c r="E579" s="10">
        <f t="shared" si="45"/>
        <v>12</v>
      </c>
      <c r="F579" s="11">
        <v>12</v>
      </c>
      <c r="G579" s="9">
        <v>535467</v>
      </c>
      <c r="H579" s="13">
        <v>40508.55972222222</v>
      </c>
      <c r="I579" s="14">
        <v>2.95</v>
      </c>
      <c r="J579" s="23">
        <f t="shared" si="46"/>
        <v>2.95</v>
      </c>
      <c r="K579" s="12">
        <v>40508</v>
      </c>
      <c r="L579" s="24">
        <v>5.9722222222222225E-2</v>
      </c>
      <c r="M579" t="s">
        <v>1013</v>
      </c>
      <c r="N579" s="15" t="str">
        <f t="shared" si="47"/>
        <v>1:26 PM</v>
      </c>
      <c r="O579" s="9" t="s">
        <v>9</v>
      </c>
      <c r="P579" s="20">
        <f t="shared" ref="P579:P642" si="49">PRODUCT(D579,(J579))</f>
        <v>35.400000000000006</v>
      </c>
    </row>
    <row r="580" spans="1:16" x14ac:dyDescent="0.25">
      <c r="A580" s="9">
        <v>14556</v>
      </c>
      <c r="B580" s="9">
        <v>84050</v>
      </c>
      <c r="C580" s="9" t="s">
        <v>520</v>
      </c>
      <c r="D580" s="17">
        <f t="shared" si="48"/>
        <v>6</v>
      </c>
      <c r="E580" s="10">
        <f t="shared" si="45"/>
        <v>6</v>
      </c>
      <c r="F580" s="11">
        <v>6</v>
      </c>
      <c r="G580" s="9">
        <v>499123</v>
      </c>
      <c r="H580" s="13">
        <v>40233.677083333343</v>
      </c>
      <c r="I580" s="14">
        <v>1.65</v>
      </c>
      <c r="J580" s="23">
        <f t="shared" si="46"/>
        <v>1.65</v>
      </c>
      <c r="K580" s="12">
        <v>40233</v>
      </c>
      <c r="L580" s="24">
        <v>0.17708333333333334</v>
      </c>
      <c r="M580" t="s">
        <v>1013</v>
      </c>
      <c r="N580" s="15" t="str">
        <f t="shared" si="47"/>
        <v>4:15 PM</v>
      </c>
      <c r="O580" s="9" t="s">
        <v>9</v>
      </c>
      <c r="P580" s="20">
        <f t="shared" si="49"/>
        <v>9.8999999999999986</v>
      </c>
    </row>
    <row r="581" spans="1:16" x14ac:dyDescent="0.25">
      <c r="A581" s="9">
        <v>17920</v>
      </c>
      <c r="B581" s="9">
        <v>22327</v>
      </c>
      <c r="C581" s="9" t="s">
        <v>636</v>
      </c>
      <c r="D581" s="17">
        <f t="shared" si="48"/>
        <v>3</v>
      </c>
      <c r="E581" s="10">
        <f t="shared" si="45"/>
        <v>3</v>
      </c>
      <c r="F581" s="11">
        <v>3</v>
      </c>
      <c r="G581" s="9">
        <v>509413</v>
      </c>
      <c r="H581" s="13">
        <v>40321.519444444442</v>
      </c>
      <c r="I581" s="14">
        <v>2.95</v>
      </c>
      <c r="J581" s="23">
        <f t="shared" si="46"/>
        <v>2.95</v>
      </c>
      <c r="K581" s="12">
        <v>40321</v>
      </c>
      <c r="L581" s="24">
        <v>0.51944444444444449</v>
      </c>
      <c r="M581" t="s">
        <v>1013</v>
      </c>
      <c r="N581" s="15" t="str">
        <f t="shared" si="47"/>
        <v>12:28 PM</v>
      </c>
      <c r="O581" s="9" t="s">
        <v>9</v>
      </c>
      <c r="P581" s="20">
        <f t="shared" si="49"/>
        <v>8.8500000000000014</v>
      </c>
    </row>
    <row r="582" spans="1:16" x14ac:dyDescent="0.25">
      <c r="A582" s="9">
        <v>13013</v>
      </c>
      <c r="B582" s="9">
        <v>85178</v>
      </c>
      <c r="C582" s="9" t="s">
        <v>597</v>
      </c>
      <c r="D582" s="17">
        <f t="shared" si="48"/>
        <v>12</v>
      </c>
      <c r="E582" s="10">
        <f t="shared" si="45"/>
        <v>12</v>
      </c>
      <c r="F582" s="11">
        <v>12</v>
      </c>
      <c r="G582" s="9">
        <v>517518</v>
      </c>
      <c r="H582" s="13">
        <v>40388.579861111109</v>
      </c>
      <c r="I582" s="14">
        <v>1.25</v>
      </c>
      <c r="J582" s="23">
        <f t="shared" si="46"/>
        <v>1.25</v>
      </c>
      <c r="K582" s="12">
        <v>40388</v>
      </c>
      <c r="L582" s="24">
        <v>7.9861111111111105E-2</v>
      </c>
      <c r="M582" t="s">
        <v>1013</v>
      </c>
      <c r="N582" s="15" t="str">
        <f t="shared" si="47"/>
        <v>1:55 PM</v>
      </c>
      <c r="O582" s="9" t="s">
        <v>9</v>
      </c>
      <c r="P582" s="20">
        <f t="shared" si="49"/>
        <v>15</v>
      </c>
    </row>
    <row r="583" spans="1:16" x14ac:dyDescent="0.25">
      <c r="A583" s="9">
        <v>15456</v>
      </c>
      <c r="B583" s="9">
        <v>21904</v>
      </c>
      <c r="C583" s="9" t="s">
        <v>637</v>
      </c>
      <c r="D583" s="17">
        <f t="shared" si="48"/>
        <v>3</v>
      </c>
      <c r="E583" s="10">
        <f t="shared" si="45"/>
        <v>3</v>
      </c>
      <c r="F583" s="11">
        <v>3</v>
      </c>
      <c r="G583" s="9">
        <v>490871</v>
      </c>
      <c r="H583" s="13">
        <v>40155.537499999999</v>
      </c>
      <c r="I583" s="14">
        <v>2.1</v>
      </c>
      <c r="J583" s="23">
        <f t="shared" si="46"/>
        <v>2.1</v>
      </c>
      <c r="K583" s="12">
        <v>40155</v>
      </c>
      <c r="L583" s="24">
        <v>0.53749999999999998</v>
      </c>
      <c r="M583" t="s">
        <v>1013</v>
      </c>
      <c r="N583" s="15" t="str">
        <f t="shared" si="47"/>
        <v>12:54 PM</v>
      </c>
      <c r="O583" s="9" t="s">
        <v>9</v>
      </c>
      <c r="P583" s="20">
        <f t="shared" si="49"/>
        <v>6.3000000000000007</v>
      </c>
    </row>
    <row r="584" spans="1:16" x14ac:dyDescent="0.25">
      <c r="A584" s="9">
        <v>13362</v>
      </c>
      <c r="B584" s="9" t="s">
        <v>638</v>
      </c>
      <c r="C584" s="9" t="s">
        <v>639</v>
      </c>
      <c r="D584" s="17">
        <f t="shared" si="48"/>
        <v>6</v>
      </c>
      <c r="E584" s="10">
        <f t="shared" si="45"/>
        <v>6</v>
      </c>
      <c r="F584" s="11">
        <v>6</v>
      </c>
      <c r="G584" s="9">
        <v>526230</v>
      </c>
      <c r="H584" s="13">
        <v>40461.643750000003</v>
      </c>
      <c r="I584" s="14">
        <v>2.95</v>
      </c>
      <c r="J584" s="23">
        <f t="shared" si="46"/>
        <v>2.95</v>
      </c>
      <c r="K584" s="12">
        <v>40461</v>
      </c>
      <c r="L584" s="24">
        <v>0.14374999999999999</v>
      </c>
      <c r="M584" t="s">
        <v>1013</v>
      </c>
      <c r="N584" s="15" t="str">
        <f t="shared" si="47"/>
        <v>3:27 PM</v>
      </c>
      <c r="O584" s="9" t="s">
        <v>9</v>
      </c>
      <c r="P584" s="20">
        <f t="shared" si="49"/>
        <v>17.700000000000003</v>
      </c>
    </row>
    <row r="585" spans="1:16" x14ac:dyDescent="0.25">
      <c r="A585" s="9">
        <v>16451</v>
      </c>
      <c r="B585" s="9" t="s">
        <v>577</v>
      </c>
      <c r="C585" s="9" t="s">
        <v>578</v>
      </c>
      <c r="D585" s="17">
        <f t="shared" si="48"/>
        <v>12</v>
      </c>
      <c r="E585" s="10">
        <f t="shared" si="45"/>
        <v>12</v>
      </c>
      <c r="F585" s="11">
        <v>12</v>
      </c>
      <c r="G585" s="9">
        <v>510191</v>
      </c>
      <c r="H585" s="13">
        <v>40325.74722222222</v>
      </c>
      <c r="I585" s="14">
        <v>0.85</v>
      </c>
      <c r="J585" s="23">
        <f t="shared" si="46"/>
        <v>0.85</v>
      </c>
      <c r="K585" s="12">
        <v>40325</v>
      </c>
      <c r="L585" s="24">
        <v>0.24722222222222223</v>
      </c>
      <c r="M585" t="s">
        <v>1013</v>
      </c>
      <c r="N585" s="15" t="str">
        <f t="shared" si="47"/>
        <v>5:56 PM</v>
      </c>
      <c r="O585" s="9" t="s">
        <v>9</v>
      </c>
      <c r="P585" s="20">
        <f t="shared" si="49"/>
        <v>10.199999999999999</v>
      </c>
    </row>
    <row r="586" spans="1:16" x14ac:dyDescent="0.25">
      <c r="A586" s="9">
        <v>16614</v>
      </c>
      <c r="B586" s="9">
        <v>22692</v>
      </c>
      <c r="C586" s="9" t="s">
        <v>640</v>
      </c>
      <c r="D586" s="17">
        <f t="shared" si="48"/>
        <v>2</v>
      </c>
      <c r="E586" s="10">
        <f t="shared" si="45"/>
        <v>2</v>
      </c>
      <c r="F586" s="11">
        <v>2</v>
      </c>
      <c r="G586" s="9">
        <v>530409</v>
      </c>
      <c r="H586" s="13">
        <v>40484.755555555559</v>
      </c>
      <c r="I586" s="14">
        <v>7.95</v>
      </c>
      <c r="J586" s="23">
        <f t="shared" si="46"/>
        <v>7.95</v>
      </c>
      <c r="K586" s="12">
        <v>40484</v>
      </c>
      <c r="L586" s="24">
        <v>0.25555555555555554</v>
      </c>
      <c r="M586" t="s">
        <v>1013</v>
      </c>
      <c r="N586" s="15" t="str">
        <f t="shared" si="47"/>
        <v>6:08 PM</v>
      </c>
      <c r="O586" s="9" t="s">
        <v>9</v>
      </c>
      <c r="P586" s="20">
        <f t="shared" si="49"/>
        <v>15.9</v>
      </c>
    </row>
    <row r="587" spans="1:16" x14ac:dyDescent="0.25">
      <c r="A587" s="9">
        <v>17238</v>
      </c>
      <c r="B587" s="9">
        <v>22569</v>
      </c>
      <c r="C587" s="9" t="s">
        <v>56</v>
      </c>
      <c r="D587" s="17">
        <f t="shared" si="48"/>
        <v>1</v>
      </c>
      <c r="E587" s="10">
        <f t="shared" si="45"/>
        <v>1</v>
      </c>
      <c r="F587" s="11">
        <v>1</v>
      </c>
      <c r="G587" s="9">
        <v>521166</v>
      </c>
      <c r="H587" s="13">
        <v>40423.619444444441</v>
      </c>
      <c r="I587" s="14">
        <v>3.75</v>
      </c>
      <c r="J587" s="23">
        <f t="shared" si="46"/>
        <v>3.75</v>
      </c>
      <c r="K587" s="12">
        <v>40423</v>
      </c>
      <c r="L587" s="24">
        <v>0.11944444444444445</v>
      </c>
      <c r="M587" t="s">
        <v>1013</v>
      </c>
      <c r="N587" s="15" t="str">
        <f t="shared" si="47"/>
        <v>2:52 PM</v>
      </c>
      <c r="O587" s="9" t="s">
        <v>9</v>
      </c>
      <c r="P587" s="20">
        <f t="shared" si="49"/>
        <v>3.75</v>
      </c>
    </row>
    <row r="588" spans="1:16" x14ac:dyDescent="0.25">
      <c r="A588" s="9">
        <v>14388</v>
      </c>
      <c r="B588" s="9">
        <v>22375</v>
      </c>
      <c r="C588" s="9" t="s">
        <v>641</v>
      </c>
      <c r="D588" s="17">
        <f t="shared" si="48"/>
        <v>2</v>
      </c>
      <c r="E588" s="10">
        <f t="shared" si="45"/>
        <v>2</v>
      </c>
      <c r="F588" s="11">
        <v>2</v>
      </c>
      <c r="G588" s="9">
        <v>505368</v>
      </c>
      <c r="H588" s="13">
        <v>40289.686111111107</v>
      </c>
      <c r="I588" s="14">
        <v>6.35</v>
      </c>
      <c r="J588" s="23">
        <f t="shared" si="46"/>
        <v>6.35</v>
      </c>
      <c r="K588" s="12">
        <v>40289</v>
      </c>
      <c r="L588" s="24">
        <v>0.18611111111111112</v>
      </c>
      <c r="M588" t="s">
        <v>1013</v>
      </c>
      <c r="N588" s="15" t="str">
        <f t="shared" si="47"/>
        <v>4:28 PM</v>
      </c>
      <c r="O588" s="9" t="s">
        <v>9</v>
      </c>
      <c r="P588" s="20">
        <f t="shared" si="49"/>
        <v>12.7</v>
      </c>
    </row>
    <row r="589" spans="1:16" x14ac:dyDescent="0.25">
      <c r="A589" s="9">
        <v>16007</v>
      </c>
      <c r="B589" s="9">
        <v>84791</v>
      </c>
      <c r="C589" s="9" t="s">
        <v>642</v>
      </c>
      <c r="D589" s="17">
        <f t="shared" si="48"/>
        <v>2</v>
      </c>
      <c r="E589" s="10">
        <f t="shared" si="45"/>
        <v>2</v>
      </c>
      <c r="F589" s="11">
        <v>2</v>
      </c>
      <c r="G589" s="9">
        <v>512262</v>
      </c>
      <c r="H589" s="13">
        <v>40343.554166666669</v>
      </c>
      <c r="I589" s="14">
        <v>2.95</v>
      </c>
      <c r="J589" s="23">
        <f t="shared" si="46"/>
        <v>2.95</v>
      </c>
      <c r="K589" s="12">
        <v>40343</v>
      </c>
      <c r="L589" s="24">
        <v>5.4166666666666669E-2</v>
      </c>
      <c r="M589" t="s">
        <v>1013</v>
      </c>
      <c r="N589" s="15" t="str">
        <f t="shared" si="47"/>
        <v>1:18 PM</v>
      </c>
      <c r="O589" s="9" t="s">
        <v>9</v>
      </c>
      <c r="P589" s="20">
        <f t="shared" si="49"/>
        <v>5.9</v>
      </c>
    </row>
    <row r="590" spans="1:16" x14ac:dyDescent="0.25">
      <c r="A590" s="9">
        <v>15494</v>
      </c>
      <c r="B590" s="9" t="s">
        <v>643</v>
      </c>
      <c r="C590" s="9" t="s">
        <v>644</v>
      </c>
      <c r="D590" s="17">
        <f t="shared" si="48"/>
        <v>2</v>
      </c>
      <c r="E590" s="10">
        <f t="shared" si="45"/>
        <v>2</v>
      </c>
      <c r="F590" s="11">
        <v>2</v>
      </c>
      <c r="G590" s="9">
        <v>519610</v>
      </c>
      <c r="H590" s="13">
        <v>40408.70416666667</v>
      </c>
      <c r="I590" s="14">
        <v>2.5499999999999998</v>
      </c>
      <c r="J590" s="23">
        <f t="shared" si="46"/>
        <v>2.5499999999999998</v>
      </c>
      <c r="K590" s="12">
        <v>40408</v>
      </c>
      <c r="L590" s="24">
        <v>0.20416666666666666</v>
      </c>
      <c r="M590" t="s">
        <v>1013</v>
      </c>
      <c r="N590" s="15" t="str">
        <f t="shared" si="47"/>
        <v>4:54 PM</v>
      </c>
      <c r="O590" s="9" t="s">
        <v>9</v>
      </c>
      <c r="P590" s="20">
        <f t="shared" si="49"/>
        <v>5.0999999999999996</v>
      </c>
    </row>
    <row r="591" spans="1:16" x14ac:dyDescent="0.25">
      <c r="A591" s="9">
        <v>13168</v>
      </c>
      <c r="B591" s="9" t="s">
        <v>577</v>
      </c>
      <c r="C591" s="9" t="s">
        <v>578</v>
      </c>
      <c r="D591" s="17">
        <f t="shared" si="48"/>
        <v>12</v>
      </c>
      <c r="E591" s="10">
        <f t="shared" si="45"/>
        <v>12</v>
      </c>
      <c r="F591" s="11">
        <v>12</v>
      </c>
      <c r="G591" s="9">
        <v>512426</v>
      </c>
      <c r="H591" s="13">
        <v>40344.625</v>
      </c>
      <c r="I591" s="14">
        <v>0.85</v>
      </c>
      <c r="J591" s="23">
        <f t="shared" si="46"/>
        <v>0.85</v>
      </c>
      <c r="K591" s="12">
        <v>40344</v>
      </c>
      <c r="L591" s="24">
        <v>0.125</v>
      </c>
      <c r="M591" t="s">
        <v>1013</v>
      </c>
      <c r="N591" s="15" t="str">
        <f t="shared" si="47"/>
        <v>3:00 PM</v>
      </c>
      <c r="O591" s="9" t="s">
        <v>9</v>
      </c>
      <c r="P591" s="20">
        <f t="shared" si="49"/>
        <v>10.199999999999999</v>
      </c>
    </row>
    <row r="592" spans="1:16" x14ac:dyDescent="0.25">
      <c r="A592" s="9">
        <v>17672</v>
      </c>
      <c r="B592" s="9">
        <v>22785</v>
      </c>
      <c r="C592" s="9" t="s">
        <v>645</v>
      </c>
      <c r="D592" s="17">
        <f t="shared" si="48"/>
        <v>6</v>
      </c>
      <c r="E592" s="10">
        <f t="shared" si="45"/>
        <v>6</v>
      </c>
      <c r="F592" s="11">
        <v>6</v>
      </c>
      <c r="G592" s="9">
        <v>527571</v>
      </c>
      <c r="H592" s="13">
        <v>40469.56527777778</v>
      </c>
      <c r="I592" s="14">
        <v>6.75</v>
      </c>
      <c r="J592" s="23">
        <f t="shared" si="46"/>
        <v>6.75</v>
      </c>
      <c r="K592" s="12">
        <v>40469</v>
      </c>
      <c r="L592" s="24">
        <v>6.5277777777777782E-2</v>
      </c>
      <c r="M592" t="s">
        <v>1013</v>
      </c>
      <c r="N592" s="15" t="str">
        <f t="shared" si="47"/>
        <v>1:34 PM</v>
      </c>
      <c r="O592" s="9" t="s">
        <v>9</v>
      </c>
      <c r="P592" s="20">
        <f t="shared" si="49"/>
        <v>40.5</v>
      </c>
    </row>
    <row r="593" spans="1:16" x14ac:dyDescent="0.25">
      <c r="A593" s="9">
        <v>17146</v>
      </c>
      <c r="B593" s="9">
        <v>22646</v>
      </c>
      <c r="C593" s="9" t="s">
        <v>647</v>
      </c>
      <c r="D593" s="17">
        <f t="shared" si="48"/>
        <v>12</v>
      </c>
      <c r="E593" s="10">
        <f t="shared" si="45"/>
        <v>12</v>
      </c>
      <c r="F593" s="11">
        <v>12</v>
      </c>
      <c r="G593" s="9" t="s">
        <v>646</v>
      </c>
      <c r="H593" s="13">
        <v>40360.400000000001</v>
      </c>
      <c r="I593" s="14">
        <v>1.45</v>
      </c>
      <c r="J593" s="23">
        <f t="shared" si="46"/>
        <v>1.45</v>
      </c>
      <c r="K593" s="12">
        <v>40360</v>
      </c>
      <c r="L593" s="24">
        <v>0.4</v>
      </c>
      <c r="M593" t="s">
        <v>1014</v>
      </c>
      <c r="N593" s="15" t="str">
        <f t="shared" si="47"/>
        <v>9:36 AM</v>
      </c>
      <c r="O593" s="9" t="s">
        <v>9</v>
      </c>
      <c r="P593" s="20">
        <f t="shared" si="49"/>
        <v>17.399999999999999</v>
      </c>
    </row>
    <row r="594" spans="1:16" x14ac:dyDescent="0.25">
      <c r="A594" s="9">
        <v>14911</v>
      </c>
      <c r="B594" s="9" t="s">
        <v>53</v>
      </c>
      <c r="C594" s="9" t="s">
        <v>54</v>
      </c>
      <c r="D594" s="17">
        <f t="shared" si="48"/>
        <v>60</v>
      </c>
      <c r="E594" s="10">
        <f t="shared" si="45"/>
        <v>60</v>
      </c>
      <c r="F594" s="11">
        <v>60</v>
      </c>
      <c r="G594" s="9">
        <v>499067</v>
      </c>
      <c r="H594" s="13">
        <v>40233.604166666657</v>
      </c>
      <c r="I594" s="14">
        <v>4.95</v>
      </c>
      <c r="J594" s="23">
        <f t="shared" si="46"/>
        <v>4.95</v>
      </c>
      <c r="K594" s="12">
        <v>40233</v>
      </c>
      <c r="L594" s="24">
        <v>0.10416666666666667</v>
      </c>
      <c r="M594" t="s">
        <v>1013</v>
      </c>
      <c r="N594" s="15" t="str">
        <f t="shared" si="47"/>
        <v>2:30 PM</v>
      </c>
      <c r="O594" s="9" t="s">
        <v>11</v>
      </c>
      <c r="P594" s="20">
        <f t="shared" si="49"/>
        <v>297</v>
      </c>
    </row>
    <row r="595" spans="1:16" x14ac:dyDescent="0.25">
      <c r="A595" s="9">
        <v>14018</v>
      </c>
      <c r="B595" s="9">
        <v>21868</v>
      </c>
      <c r="C595" s="9" t="s">
        <v>563</v>
      </c>
      <c r="D595" s="17">
        <f t="shared" si="48"/>
        <v>12</v>
      </c>
      <c r="E595" s="10">
        <f t="shared" si="45"/>
        <v>12</v>
      </c>
      <c r="F595" s="11">
        <v>12</v>
      </c>
      <c r="G595" s="9">
        <v>500122</v>
      </c>
      <c r="H595" s="13">
        <v>40241.599305555559</v>
      </c>
      <c r="I595" s="14">
        <v>1.25</v>
      </c>
      <c r="J595" s="23">
        <f t="shared" si="46"/>
        <v>1.25</v>
      </c>
      <c r="K595" s="12">
        <v>40241</v>
      </c>
      <c r="L595" s="24">
        <v>9.930555555555555E-2</v>
      </c>
      <c r="M595" t="s">
        <v>1013</v>
      </c>
      <c r="N595" s="15" t="str">
        <f t="shared" si="47"/>
        <v>2:23 PM</v>
      </c>
      <c r="O595" s="9" t="s">
        <v>9</v>
      </c>
      <c r="P595" s="20">
        <f t="shared" si="49"/>
        <v>15</v>
      </c>
    </row>
    <row r="596" spans="1:16" x14ac:dyDescent="0.25">
      <c r="A596" s="9">
        <v>15021</v>
      </c>
      <c r="B596" s="9" t="s">
        <v>648</v>
      </c>
      <c r="C596" s="9" t="s">
        <v>649</v>
      </c>
      <c r="D596" s="17">
        <f t="shared" si="48"/>
        <v>1</v>
      </c>
      <c r="E596" s="10">
        <f t="shared" si="45"/>
        <v>1</v>
      </c>
      <c r="F596" s="11">
        <v>1</v>
      </c>
      <c r="G596" s="9">
        <v>535260</v>
      </c>
      <c r="H596" s="13">
        <v>40507.555555555547</v>
      </c>
      <c r="I596" s="14">
        <v>1.65</v>
      </c>
      <c r="J596" s="23">
        <f t="shared" si="46"/>
        <v>1.65</v>
      </c>
      <c r="K596" s="12">
        <v>40507</v>
      </c>
      <c r="L596" s="24">
        <v>5.5555555555555552E-2</v>
      </c>
      <c r="M596" t="s">
        <v>1013</v>
      </c>
      <c r="N596" s="15" t="str">
        <f t="shared" si="47"/>
        <v>1:20 PM</v>
      </c>
      <c r="O596" s="9" t="s">
        <v>9</v>
      </c>
      <c r="P596" s="20">
        <f t="shared" si="49"/>
        <v>1.65</v>
      </c>
    </row>
    <row r="597" spans="1:16" x14ac:dyDescent="0.25">
      <c r="A597" s="9">
        <v>14828</v>
      </c>
      <c r="B597" s="9">
        <v>22176</v>
      </c>
      <c r="C597" s="9" t="s">
        <v>650</v>
      </c>
      <c r="D597" s="17">
        <f t="shared" si="48"/>
        <v>12</v>
      </c>
      <c r="E597" s="10">
        <f t="shared" si="45"/>
        <v>12</v>
      </c>
      <c r="F597" s="11">
        <v>12</v>
      </c>
      <c r="G597" s="9">
        <v>533318</v>
      </c>
      <c r="H597" s="13">
        <v>40498.724305555559</v>
      </c>
      <c r="I597" s="14">
        <v>2.95</v>
      </c>
      <c r="J597" s="23">
        <f t="shared" si="46"/>
        <v>2.95</v>
      </c>
      <c r="K597" s="12">
        <v>40498</v>
      </c>
      <c r="L597" s="24">
        <v>0.22430555555555556</v>
      </c>
      <c r="M597" t="s">
        <v>1013</v>
      </c>
      <c r="N597" s="15" t="str">
        <f t="shared" si="47"/>
        <v>5:23 PM</v>
      </c>
      <c r="O597" s="9" t="s">
        <v>9</v>
      </c>
      <c r="P597" s="20">
        <f t="shared" si="49"/>
        <v>35.400000000000006</v>
      </c>
    </row>
    <row r="598" spans="1:16" x14ac:dyDescent="0.25">
      <c r="A598" s="9">
        <v>16242</v>
      </c>
      <c r="B598" s="9">
        <v>21248</v>
      </c>
      <c r="C598" s="9" t="s">
        <v>651</v>
      </c>
      <c r="D598" s="17">
        <f t="shared" si="48"/>
        <v>4</v>
      </c>
      <c r="E598" s="10">
        <f t="shared" si="45"/>
        <v>4</v>
      </c>
      <c r="F598" s="11">
        <v>4</v>
      </c>
      <c r="G598" s="9">
        <v>534705</v>
      </c>
      <c r="H598" s="13">
        <v>40505.694444444453</v>
      </c>
      <c r="I598" s="14">
        <v>1.45</v>
      </c>
      <c r="J598" s="23">
        <f t="shared" si="46"/>
        <v>1.45</v>
      </c>
      <c r="K598" s="12">
        <v>40505</v>
      </c>
      <c r="L598" s="24">
        <v>0.19444444444444445</v>
      </c>
      <c r="M598" t="s">
        <v>1013</v>
      </c>
      <c r="N598" s="15" t="str">
        <f t="shared" si="47"/>
        <v>4:40 PM</v>
      </c>
      <c r="O598" s="9" t="s">
        <v>9</v>
      </c>
      <c r="P598" s="20">
        <f t="shared" si="49"/>
        <v>5.8</v>
      </c>
    </row>
    <row r="599" spans="1:16" x14ac:dyDescent="0.25">
      <c r="A599" s="9">
        <v>16797</v>
      </c>
      <c r="B599" s="9" t="s">
        <v>652</v>
      </c>
      <c r="C599" s="9" t="s">
        <v>601</v>
      </c>
      <c r="D599" s="17">
        <f t="shared" si="48"/>
        <v>5</v>
      </c>
      <c r="E599" s="10">
        <f t="shared" si="45"/>
        <v>5</v>
      </c>
      <c r="F599" s="11">
        <v>5</v>
      </c>
      <c r="G599" s="9">
        <v>532391</v>
      </c>
      <c r="H599" s="13">
        <v>40493.801388888889</v>
      </c>
      <c r="I599" s="14">
        <v>0.85</v>
      </c>
      <c r="J599" s="23">
        <f t="shared" si="46"/>
        <v>0.85</v>
      </c>
      <c r="K599" s="12">
        <v>40493</v>
      </c>
      <c r="L599" s="24">
        <v>0.30138888888888887</v>
      </c>
      <c r="M599" t="s">
        <v>1013</v>
      </c>
      <c r="N599" s="15" t="str">
        <f t="shared" si="47"/>
        <v>7:14 PM</v>
      </c>
      <c r="O599" s="9" t="s">
        <v>9</v>
      </c>
      <c r="P599" s="20">
        <f t="shared" si="49"/>
        <v>4.25</v>
      </c>
    </row>
    <row r="600" spans="1:16" x14ac:dyDescent="0.25">
      <c r="A600" s="9" t="s">
        <v>654</v>
      </c>
      <c r="B600" s="9">
        <v>22365</v>
      </c>
      <c r="C600" s="9" t="s">
        <v>653</v>
      </c>
      <c r="D600" s="17">
        <f t="shared" si="48"/>
        <v>10</v>
      </c>
      <c r="E600" s="10">
        <f t="shared" si="45"/>
        <v>10</v>
      </c>
      <c r="F600" s="11">
        <v>10</v>
      </c>
      <c r="G600" s="9">
        <v>525232</v>
      </c>
      <c r="H600" s="13">
        <v>40455.59097222222</v>
      </c>
      <c r="I600" s="14">
        <v>6.75</v>
      </c>
      <c r="J600" s="23">
        <f t="shared" si="46"/>
        <v>6.75</v>
      </c>
      <c r="K600" s="12">
        <v>40455</v>
      </c>
      <c r="L600" s="24">
        <v>9.0972222222222218E-2</v>
      </c>
      <c r="M600" t="s">
        <v>1013</v>
      </c>
      <c r="N600" s="15" t="str">
        <f t="shared" si="47"/>
        <v>2:11 PM</v>
      </c>
      <c r="O600" s="9" t="s">
        <v>9</v>
      </c>
      <c r="P600" s="20">
        <f t="shared" si="49"/>
        <v>67.5</v>
      </c>
    </row>
    <row r="601" spans="1:16" x14ac:dyDescent="0.25">
      <c r="A601" s="9">
        <v>13081</v>
      </c>
      <c r="B601" s="9">
        <v>79320</v>
      </c>
      <c r="C601" s="9" t="s">
        <v>656</v>
      </c>
      <c r="D601" s="17">
        <f t="shared" si="48"/>
        <v>4</v>
      </c>
      <c r="E601" s="10">
        <f t="shared" si="45"/>
        <v>4</v>
      </c>
      <c r="F601" s="11">
        <v>4</v>
      </c>
      <c r="G601" s="9">
        <v>500751</v>
      </c>
      <c r="H601" s="13">
        <v>40247.434027777781</v>
      </c>
      <c r="I601" s="14">
        <v>4.95</v>
      </c>
      <c r="J601" s="23">
        <f t="shared" si="46"/>
        <v>4.95</v>
      </c>
      <c r="K601" s="12">
        <v>40247</v>
      </c>
      <c r="L601" s="24">
        <v>0.43402777777777779</v>
      </c>
      <c r="M601" t="s">
        <v>1014</v>
      </c>
      <c r="N601" s="15" t="str">
        <f t="shared" si="47"/>
        <v>10:25 AM</v>
      </c>
      <c r="O601" s="9" t="s">
        <v>9</v>
      </c>
      <c r="P601" s="20">
        <f t="shared" si="49"/>
        <v>19.8</v>
      </c>
    </row>
    <row r="602" spans="1:16" x14ac:dyDescent="0.25">
      <c r="A602" s="9">
        <v>13206</v>
      </c>
      <c r="B602" s="9">
        <v>21790</v>
      </c>
      <c r="C602" s="9" t="s">
        <v>257</v>
      </c>
      <c r="D602" s="17">
        <f t="shared" si="48"/>
        <v>6</v>
      </c>
      <c r="E602" s="10">
        <f t="shared" si="45"/>
        <v>6</v>
      </c>
      <c r="F602" s="11">
        <v>6</v>
      </c>
      <c r="G602" s="9">
        <v>495546</v>
      </c>
      <c r="H602" s="13">
        <v>40203.662499999999</v>
      </c>
      <c r="I602" s="14">
        <v>0.85</v>
      </c>
      <c r="J602" s="23">
        <f t="shared" si="46"/>
        <v>0.85</v>
      </c>
      <c r="K602" s="12">
        <v>40203</v>
      </c>
      <c r="L602" s="24">
        <v>0.16250000000000001</v>
      </c>
      <c r="M602" t="s">
        <v>1013</v>
      </c>
      <c r="N602" s="15" t="str">
        <f t="shared" si="47"/>
        <v>3:54 PM</v>
      </c>
      <c r="O602" s="9" t="s">
        <v>9</v>
      </c>
      <c r="P602" s="20">
        <f t="shared" si="49"/>
        <v>5.0999999999999996</v>
      </c>
    </row>
    <row r="603" spans="1:16" x14ac:dyDescent="0.25">
      <c r="A603" s="9">
        <v>17841</v>
      </c>
      <c r="B603" s="9">
        <v>21622</v>
      </c>
      <c r="C603" s="9" t="s">
        <v>89</v>
      </c>
      <c r="D603" s="17">
        <f t="shared" si="48"/>
        <v>3</v>
      </c>
      <c r="E603" s="10">
        <f t="shared" si="45"/>
        <v>3</v>
      </c>
      <c r="F603" s="11">
        <v>3</v>
      </c>
      <c r="G603" s="9">
        <v>489875</v>
      </c>
      <c r="H603" s="13">
        <v>40149.65347222222</v>
      </c>
      <c r="I603" s="14">
        <v>4.95</v>
      </c>
      <c r="J603" s="23">
        <f t="shared" si="46"/>
        <v>4.95</v>
      </c>
      <c r="K603" s="12">
        <v>40149</v>
      </c>
      <c r="L603" s="24">
        <v>0.15347222222222223</v>
      </c>
      <c r="M603" t="s">
        <v>1013</v>
      </c>
      <c r="N603" s="15" t="str">
        <f t="shared" si="47"/>
        <v>3:41 PM</v>
      </c>
      <c r="O603" s="9" t="s">
        <v>9</v>
      </c>
      <c r="P603" s="20">
        <f t="shared" si="49"/>
        <v>14.850000000000001</v>
      </c>
    </row>
    <row r="604" spans="1:16" x14ac:dyDescent="0.25">
      <c r="A604" s="9">
        <v>16946</v>
      </c>
      <c r="B604" s="9">
        <v>21155</v>
      </c>
      <c r="C604" s="9" t="s">
        <v>455</v>
      </c>
      <c r="D604" s="17">
        <f t="shared" si="48"/>
        <v>6</v>
      </c>
      <c r="E604" s="10">
        <f t="shared" si="45"/>
        <v>6</v>
      </c>
      <c r="F604" s="11">
        <v>6</v>
      </c>
      <c r="G604" s="9">
        <v>510138</v>
      </c>
      <c r="H604" s="13">
        <v>40325.515277777777</v>
      </c>
      <c r="I604" s="14">
        <v>2.1</v>
      </c>
      <c r="J604" s="23">
        <f t="shared" si="46"/>
        <v>2.1</v>
      </c>
      <c r="K604" s="12">
        <v>40325</v>
      </c>
      <c r="L604" s="24">
        <v>0.51527777777777772</v>
      </c>
      <c r="M604" t="s">
        <v>1013</v>
      </c>
      <c r="N604" s="15" t="str">
        <f t="shared" si="47"/>
        <v>12:22 PM</v>
      </c>
      <c r="O604" s="9" t="s">
        <v>9</v>
      </c>
      <c r="P604" s="20">
        <f t="shared" si="49"/>
        <v>12.600000000000001</v>
      </c>
    </row>
    <row r="605" spans="1:16" x14ac:dyDescent="0.25">
      <c r="A605" s="9">
        <v>14156</v>
      </c>
      <c r="B605" s="9">
        <v>20728</v>
      </c>
      <c r="C605" s="9" t="s">
        <v>658</v>
      </c>
      <c r="D605" s="17">
        <f t="shared" si="48"/>
        <v>50</v>
      </c>
      <c r="E605" s="10">
        <f t="shared" si="45"/>
        <v>-50</v>
      </c>
      <c r="F605" s="11">
        <v>-50</v>
      </c>
      <c r="G605" s="9" t="s">
        <v>657</v>
      </c>
      <c r="H605" s="13">
        <v>40422.536111111112</v>
      </c>
      <c r="I605" s="14">
        <v>1.45</v>
      </c>
      <c r="J605" s="23">
        <f t="shared" si="46"/>
        <v>1.45</v>
      </c>
      <c r="K605" s="12">
        <v>40422</v>
      </c>
      <c r="L605" s="24">
        <v>0.53611111111111109</v>
      </c>
      <c r="M605" t="s">
        <v>1013</v>
      </c>
      <c r="N605" s="15" t="str">
        <f t="shared" si="47"/>
        <v>12:52 PM</v>
      </c>
      <c r="O605" s="9" t="s">
        <v>11</v>
      </c>
      <c r="P605" s="20">
        <f t="shared" si="49"/>
        <v>72.5</v>
      </c>
    </row>
    <row r="606" spans="1:16" x14ac:dyDescent="0.25">
      <c r="A606" s="9">
        <v>14837</v>
      </c>
      <c r="B606" s="9">
        <v>22147</v>
      </c>
      <c r="C606" s="9" t="s">
        <v>659</v>
      </c>
      <c r="D606" s="17">
        <f t="shared" si="48"/>
        <v>12</v>
      </c>
      <c r="E606" s="10">
        <f t="shared" si="45"/>
        <v>12</v>
      </c>
      <c r="F606" s="11">
        <v>12</v>
      </c>
      <c r="G606" s="9">
        <v>520738</v>
      </c>
      <c r="H606" s="13">
        <v>40421.4</v>
      </c>
      <c r="I606" s="14">
        <v>1.45</v>
      </c>
      <c r="J606" s="23">
        <f t="shared" si="46"/>
        <v>1.45</v>
      </c>
      <c r="K606" s="12">
        <v>40421</v>
      </c>
      <c r="L606" s="24">
        <v>0.4</v>
      </c>
      <c r="M606" t="s">
        <v>1014</v>
      </c>
      <c r="N606" s="15" t="str">
        <f t="shared" si="47"/>
        <v>9:36 AM</v>
      </c>
      <c r="O606" s="9" t="s">
        <v>9</v>
      </c>
      <c r="P606" s="20">
        <f t="shared" si="49"/>
        <v>17.399999999999999</v>
      </c>
    </row>
    <row r="607" spans="1:16" x14ac:dyDescent="0.25">
      <c r="A607" s="9">
        <v>14555</v>
      </c>
      <c r="B607" s="9">
        <v>85042</v>
      </c>
      <c r="C607" s="9" t="s">
        <v>661</v>
      </c>
      <c r="D607" s="17">
        <f t="shared" si="48"/>
        <v>1</v>
      </c>
      <c r="E607" s="10">
        <f t="shared" si="45"/>
        <v>-1</v>
      </c>
      <c r="F607" s="11">
        <v>-1</v>
      </c>
      <c r="G607" s="9" t="s">
        <v>660</v>
      </c>
      <c r="H607" s="13">
        <v>40359.495833333327</v>
      </c>
      <c r="I607" s="14">
        <v>4.95</v>
      </c>
      <c r="J607" s="23">
        <f t="shared" si="46"/>
        <v>4.95</v>
      </c>
      <c r="K607" s="12">
        <v>40359</v>
      </c>
      <c r="L607" s="24">
        <v>0.49583333333333335</v>
      </c>
      <c r="M607" t="s">
        <v>1014</v>
      </c>
      <c r="N607" s="15" t="str">
        <f t="shared" si="47"/>
        <v>11:54 AM</v>
      </c>
      <c r="O607" s="9" t="s">
        <v>9</v>
      </c>
      <c r="P607" s="20">
        <f t="shared" si="49"/>
        <v>4.95</v>
      </c>
    </row>
    <row r="608" spans="1:16" x14ac:dyDescent="0.25">
      <c r="A608" s="9">
        <v>17191</v>
      </c>
      <c r="B608" s="9">
        <v>82551</v>
      </c>
      <c r="C608" s="9" t="s">
        <v>662</v>
      </c>
      <c r="D608" s="17">
        <f t="shared" si="48"/>
        <v>1</v>
      </c>
      <c r="E608" s="10">
        <f t="shared" si="45"/>
        <v>1</v>
      </c>
      <c r="F608" s="11">
        <v>1</v>
      </c>
      <c r="G608" s="9">
        <v>537400</v>
      </c>
      <c r="H608" s="13">
        <v>40518.60833333333</v>
      </c>
      <c r="I608" s="14">
        <v>1.45</v>
      </c>
      <c r="J608" s="23">
        <f t="shared" si="46"/>
        <v>1.45</v>
      </c>
      <c r="K608" s="12">
        <v>40518</v>
      </c>
      <c r="L608" s="24">
        <v>0.10833333333333334</v>
      </c>
      <c r="M608" t="s">
        <v>1013</v>
      </c>
      <c r="N608" s="15" t="str">
        <f t="shared" si="47"/>
        <v>2:36 PM</v>
      </c>
      <c r="O608" s="9" t="s">
        <v>9</v>
      </c>
      <c r="P608" s="20">
        <f t="shared" si="49"/>
        <v>1.45</v>
      </c>
    </row>
    <row r="609" spans="1:16" x14ac:dyDescent="0.25">
      <c r="A609" s="9">
        <v>13052</v>
      </c>
      <c r="B609" s="9">
        <v>22469</v>
      </c>
      <c r="C609" s="9" t="s">
        <v>663</v>
      </c>
      <c r="D609" s="17">
        <f t="shared" si="48"/>
        <v>2</v>
      </c>
      <c r="E609" s="10">
        <f t="shared" si="45"/>
        <v>2</v>
      </c>
      <c r="F609" s="11">
        <v>2</v>
      </c>
      <c r="G609" s="9">
        <v>527309</v>
      </c>
      <c r="H609" s="13">
        <v>40466.615972222222</v>
      </c>
      <c r="I609" s="14">
        <v>1.65</v>
      </c>
      <c r="J609" s="23">
        <f t="shared" si="46"/>
        <v>1.65</v>
      </c>
      <c r="K609" s="12">
        <v>40466</v>
      </c>
      <c r="L609" s="24">
        <v>0.11597222222222223</v>
      </c>
      <c r="M609" t="s">
        <v>1013</v>
      </c>
      <c r="N609" s="15" t="str">
        <f t="shared" si="47"/>
        <v>2:47 PM</v>
      </c>
      <c r="O609" s="9" t="s">
        <v>9</v>
      </c>
      <c r="P609" s="20">
        <f t="shared" si="49"/>
        <v>3.3</v>
      </c>
    </row>
    <row r="610" spans="1:16" x14ac:dyDescent="0.25">
      <c r="A610" s="9">
        <v>13357</v>
      </c>
      <c r="B610" s="9">
        <v>20773</v>
      </c>
      <c r="C610" s="9" t="s">
        <v>664</v>
      </c>
      <c r="D610" s="17">
        <f t="shared" si="48"/>
        <v>2</v>
      </c>
      <c r="E610" s="10">
        <f t="shared" si="45"/>
        <v>2</v>
      </c>
      <c r="F610" s="11">
        <v>2</v>
      </c>
      <c r="G610" s="9">
        <v>502055</v>
      </c>
      <c r="H610" s="13">
        <v>40259.604166666657</v>
      </c>
      <c r="I610" s="14">
        <v>1.65</v>
      </c>
      <c r="J610" s="23">
        <f t="shared" si="46"/>
        <v>1.65</v>
      </c>
      <c r="K610" s="12">
        <v>40259</v>
      </c>
      <c r="L610" s="24">
        <v>0.10416666666666667</v>
      </c>
      <c r="M610" t="s">
        <v>1013</v>
      </c>
      <c r="N610" s="15" t="str">
        <f t="shared" si="47"/>
        <v>2:30 PM</v>
      </c>
      <c r="O610" s="9" t="s">
        <v>9</v>
      </c>
      <c r="P610" s="20">
        <f t="shared" si="49"/>
        <v>3.3</v>
      </c>
    </row>
    <row r="611" spans="1:16" x14ac:dyDescent="0.25">
      <c r="A611" s="9">
        <v>17618</v>
      </c>
      <c r="B611" s="9">
        <v>20754</v>
      </c>
      <c r="C611" s="9" t="s">
        <v>665</v>
      </c>
      <c r="D611" s="17">
        <f t="shared" si="48"/>
        <v>2</v>
      </c>
      <c r="E611" s="10">
        <f t="shared" si="45"/>
        <v>2</v>
      </c>
      <c r="F611" s="11">
        <v>2</v>
      </c>
      <c r="G611" s="9">
        <v>534155</v>
      </c>
      <c r="H611" s="13">
        <v>40503.521527777782</v>
      </c>
      <c r="I611" s="14">
        <v>2.1</v>
      </c>
      <c r="J611" s="23">
        <f t="shared" si="46"/>
        <v>2.1</v>
      </c>
      <c r="K611" s="12">
        <v>40503</v>
      </c>
      <c r="L611" s="24">
        <v>0.52152777777777781</v>
      </c>
      <c r="M611" t="s">
        <v>1013</v>
      </c>
      <c r="N611" s="15" t="str">
        <f t="shared" si="47"/>
        <v>12:31 PM</v>
      </c>
      <c r="O611" s="9" t="s">
        <v>9</v>
      </c>
      <c r="P611" s="20">
        <f t="shared" si="49"/>
        <v>4.2</v>
      </c>
    </row>
    <row r="612" spans="1:16" x14ac:dyDescent="0.25">
      <c r="A612" s="9">
        <v>16549</v>
      </c>
      <c r="B612" s="9">
        <v>84991</v>
      </c>
      <c r="C612" s="9" t="s">
        <v>666</v>
      </c>
      <c r="D612" s="17">
        <f t="shared" si="48"/>
        <v>2</v>
      </c>
      <c r="E612" s="10">
        <f t="shared" si="45"/>
        <v>2</v>
      </c>
      <c r="F612" s="11">
        <v>2</v>
      </c>
      <c r="G612" s="9">
        <v>504903</v>
      </c>
      <c r="H612" s="13">
        <v>40286.658333333333</v>
      </c>
      <c r="I612" s="14">
        <v>0.55000000000000004</v>
      </c>
      <c r="J612" s="23">
        <f t="shared" si="46"/>
        <v>0.55000000000000004</v>
      </c>
      <c r="K612" s="12">
        <v>40286</v>
      </c>
      <c r="L612" s="24">
        <v>0.15833333333333333</v>
      </c>
      <c r="M612" t="s">
        <v>1013</v>
      </c>
      <c r="N612" s="15" t="str">
        <f t="shared" si="47"/>
        <v>3:48 PM</v>
      </c>
      <c r="O612" s="9" t="s">
        <v>9</v>
      </c>
      <c r="P612" s="20">
        <f t="shared" si="49"/>
        <v>1.1000000000000001</v>
      </c>
    </row>
    <row r="613" spans="1:16" x14ac:dyDescent="0.25">
      <c r="A613" s="9">
        <v>16208</v>
      </c>
      <c r="B613" s="9" t="s">
        <v>667</v>
      </c>
      <c r="C613" s="9" t="s">
        <v>668</v>
      </c>
      <c r="D613" s="17">
        <f t="shared" si="48"/>
        <v>6</v>
      </c>
      <c r="E613" s="10">
        <f t="shared" si="45"/>
        <v>6</v>
      </c>
      <c r="F613" s="11">
        <v>6</v>
      </c>
      <c r="G613" s="9">
        <v>508496</v>
      </c>
      <c r="H613" s="13">
        <v>40314.611805555563</v>
      </c>
      <c r="I613" s="14">
        <v>1.49</v>
      </c>
      <c r="J613" s="23">
        <f t="shared" si="46"/>
        <v>1.49</v>
      </c>
      <c r="K613" s="12">
        <v>40314</v>
      </c>
      <c r="L613" s="24">
        <v>0.11180555555555556</v>
      </c>
      <c r="M613" t="s">
        <v>1013</v>
      </c>
      <c r="N613" s="15" t="str">
        <f t="shared" si="47"/>
        <v>2:41 PM</v>
      </c>
      <c r="O613" s="9" t="s">
        <v>9</v>
      </c>
      <c r="P613" s="20">
        <f t="shared" si="49"/>
        <v>8.94</v>
      </c>
    </row>
    <row r="614" spans="1:16" x14ac:dyDescent="0.25">
      <c r="A614" s="9">
        <v>16225</v>
      </c>
      <c r="B614" s="9">
        <v>21745</v>
      </c>
      <c r="C614" s="9" t="s">
        <v>669</v>
      </c>
      <c r="D614" s="17">
        <f t="shared" si="48"/>
        <v>2</v>
      </c>
      <c r="E614" s="10">
        <f t="shared" si="45"/>
        <v>2</v>
      </c>
      <c r="F614" s="11">
        <v>2</v>
      </c>
      <c r="G614" s="9">
        <v>519658</v>
      </c>
      <c r="H614" s="13">
        <v>40409.480555555558</v>
      </c>
      <c r="I614" s="14">
        <v>3.75</v>
      </c>
      <c r="J614" s="23">
        <f t="shared" si="46"/>
        <v>3.75</v>
      </c>
      <c r="K614" s="12">
        <v>40409</v>
      </c>
      <c r="L614" s="24">
        <v>0.48055555555555557</v>
      </c>
      <c r="M614" t="s">
        <v>1014</v>
      </c>
      <c r="N614" s="15" t="str">
        <f t="shared" si="47"/>
        <v>11:32 AM</v>
      </c>
      <c r="O614" s="9" t="s">
        <v>9</v>
      </c>
      <c r="P614" s="20">
        <f t="shared" si="49"/>
        <v>7.5</v>
      </c>
    </row>
    <row r="615" spans="1:16" x14ac:dyDescent="0.25">
      <c r="A615" s="9">
        <v>14966</v>
      </c>
      <c r="B615" s="9">
        <v>21034</v>
      </c>
      <c r="C615" s="9" t="s">
        <v>414</v>
      </c>
      <c r="D615" s="17">
        <f t="shared" si="48"/>
        <v>1</v>
      </c>
      <c r="E615" s="10">
        <f t="shared" si="45"/>
        <v>1</v>
      </c>
      <c r="F615" s="11">
        <v>1</v>
      </c>
      <c r="G615" s="9">
        <v>492078</v>
      </c>
      <c r="H615" s="13">
        <v>40162.574999999997</v>
      </c>
      <c r="I615" s="14">
        <v>0.95</v>
      </c>
      <c r="J615" s="23">
        <f t="shared" si="46"/>
        <v>0.95</v>
      </c>
      <c r="K615" s="12">
        <v>40162</v>
      </c>
      <c r="L615" s="24">
        <v>7.4999999999999997E-2</v>
      </c>
      <c r="M615" t="s">
        <v>1013</v>
      </c>
      <c r="N615" s="15" t="str">
        <f t="shared" si="47"/>
        <v>1:48 PM</v>
      </c>
      <c r="O615" s="9" t="s">
        <v>9</v>
      </c>
      <c r="P615" s="20">
        <f t="shared" si="49"/>
        <v>0.95</v>
      </c>
    </row>
    <row r="616" spans="1:16" x14ac:dyDescent="0.25">
      <c r="A616" s="9">
        <v>13510</v>
      </c>
      <c r="B616" s="9">
        <v>22966</v>
      </c>
      <c r="C616" s="9" t="s">
        <v>670</v>
      </c>
      <c r="D616" s="17">
        <f t="shared" si="48"/>
        <v>12</v>
      </c>
      <c r="E616" s="10">
        <f t="shared" si="45"/>
        <v>12</v>
      </c>
      <c r="F616" s="11">
        <v>12</v>
      </c>
      <c r="G616" s="9">
        <v>535957</v>
      </c>
      <c r="H616" s="13">
        <v>40511.518055555563</v>
      </c>
      <c r="I616" s="14">
        <v>1.25</v>
      </c>
      <c r="J616" s="23">
        <f t="shared" si="46"/>
        <v>1.25</v>
      </c>
      <c r="K616" s="12">
        <v>40511</v>
      </c>
      <c r="L616" s="24">
        <v>0.5180555555555556</v>
      </c>
      <c r="M616" t="s">
        <v>1013</v>
      </c>
      <c r="N616" s="15" t="str">
        <f t="shared" si="47"/>
        <v>12:26 PM</v>
      </c>
      <c r="O616" s="9" t="s">
        <v>9</v>
      </c>
      <c r="P616" s="20">
        <f t="shared" si="49"/>
        <v>15</v>
      </c>
    </row>
    <row r="617" spans="1:16" x14ac:dyDescent="0.25">
      <c r="A617" s="9">
        <v>17850</v>
      </c>
      <c r="B617" s="9">
        <v>22354</v>
      </c>
      <c r="C617" s="9" t="s">
        <v>671</v>
      </c>
      <c r="D617" s="17">
        <f t="shared" si="48"/>
        <v>8</v>
      </c>
      <c r="E617" s="10">
        <f t="shared" si="45"/>
        <v>8</v>
      </c>
      <c r="F617" s="11">
        <v>8</v>
      </c>
      <c r="G617" s="9">
        <v>499242</v>
      </c>
      <c r="H617" s="13">
        <v>40234.561805555553</v>
      </c>
      <c r="I617" s="14">
        <v>3.39</v>
      </c>
      <c r="J617" s="23">
        <f t="shared" si="46"/>
        <v>3.39</v>
      </c>
      <c r="K617" s="12">
        <v>40234</v>
      </c>
      <c r="L617" s="24">
        <v>6.1805555555555558E-2</v>
      </c>
      <c r="M617" t="s">
        <v>1013</v>
      </c>
      <c r="N617" s="15" t="str">
        <f t="shared" si="47"/>
        <v>1:29 PM</v>
      </c>
      <c r="O617" s="9" t="s">
        <v>9</v>
      </c>
      <c r="P617" s="20">
        <f t="shared" si="49"/>
        <v>27.12</v>
      </c>
    </row>
    <row r="618" spans="1:16" x14ac:dyDescent="0.25">
      <c r="A618" s="9">
        <v>17322</v>
      </c>
      <c r="B618" s="9">
        <v>22150</v>
      </c>
      <c r="C618" s="9" t="s">
        <v>392</v>
      </c>
      <c r="D618" s="17">
        <f t="shared" si="48"/>
        <v>1</v>
      </c>
      <c r="E618" s="10">
        <f t="shared" si="45"/>
        <v>1</v>
      </c>
      <c r="F618" s="11">
        <v>1</v>
      </c>
      <c r="G618" s="9">
        <v>529341</v>
      </c>
      <c r="H618" s="13">
        <v>40478.693055555559</v>
      </c>
      <c r="I618" s="14">
        <v>1.95</v>
      </c>
      <c r="J618" s="23">
        <f t="shared" si="46"/>
        <v>1.95</v>
      </c>
      <c r="K618" s="12">
        <v>40478</v>
      </c>
      <c r="L618" s="24">
        <v>0.19305555555555556</v>
      </c>
      <c r="M618" t="s">
        <v>1013</v>
      </c>
      <c r="N618" s="15" t="str">
        <f t="shared" si="47"/>
        <v>4:38 PM</v>
      </c>
      <c r="O618" s="9" t="s">
        <v>9</v>
      </c>
      <c r="P618" s="20">
        <f t="shared" si="49"/>
        <v>1.95</v>
      </c>
    </row>
    <row r="619" spans="1:16" x14ac:dyDescent="0.25">
      <c r="A619" s="9">
        <v>16720</v>
      </c>
      <c r="B619" s="9">
        <v>22733</v>
      </c>
      <c r="C619" s="9" t="s">
        <v>150</v>
      </c>
      <c r="D619" s="17">
        <f t="shared" si="48"/>
        <v>1</v>
      </c>
      <c r="E619" s="10">
        <f t="shared" si="45"/>
        <v>1</v>
      </c>
      <c r="F619" s="11">
        <v>1</v>
      </c>
      <c r="G619" s="9">
        <v>535799</v>
      </c>
      <c r="H619" s="13">
        <v>40510.617361111108</v>
      </c>
      <c r="I619" s="14">
        <v>1.25</v>
      </c>
      <c r="J619" s="23">
        <f t="shared" si="46"/>
        <v>1.25</v>
      </c>
      <c r="K619" s="12">
        <v>40510</v>
      </c>
      <c r="L619" s="24">
        <v>0.11736111111111111</v>
      </c>
      <c r="M619" t="s">
        <v>1013</v>
      </c>
      <c r="N619" s="15" t="str">
        <f t="shared" si="47"/>
        <v>2:49 PM</v>
      </c>
      <c r="O619" s="9" t="s">
        <v>9</v>
      </c>
      <c r="P619" s="20">
        <f t="shared" si="49"/>
        <v>1.25</v>
      </c>
    </row>
    <row r="620" spans="1:16" x14ac:dyDescent="0.25">
      <c r="A620" s="9">
        <v>14525</v>
      </c>
      <c r="B620" s="9">
        <v>84839</v>
      </c>
      <c r="C620" s="9" t="s">
        <v>130</v>
      </c>
      <c r="D620" s="17">
        <f t="shared" si="48"/>
        <v>1</v>
      </c>
      <c r="E620" s="10">
        <f t="shared" si="45"/>
        <v>1</v>
      </c>
      <c r="F620" s="11">
        <v>1</v>
      </c>
      <c r="G620" s="9">
        <v>522080</v>
      </c>
      <c r="H620" s="13">
        <v>40433.486805555563</v>
      </c>
      <c r="I620" s="14">
        <v>6.75</v>
      </c>
      <c r="J620" s="23">
        <f t="shared" si="46"/>
        <v>6.75</v>
      </c>
      <c r="K620" s="12">
        <v>40433</v>
      </c>
      <c r="L620" s="24">
        <v>0.48680555555555555</v>
      </c>
      <c r="M620" t="s">
        <v>1014</v>
      </c>
      <c r="N620" s="15" t="str">
        <f t="shared" si="47"/>
        <v>11:41 AM</v>
      </c>
      <c r="O620" s="9" t="s">
        <v>9</v>
      </c>
      <c r="P620" s="20">
        <f t="shared" si="49"/>
        <v>6.75</v>
      </c>
    </row>
    <row r="621" spans="1:16" x14ac:dyDescent="0.25">
      <c r="A621" s="9">
        <v>15031</v>
      </c>
      <c r="B621" s="9">
        <v>21107</v>
      </c>
      <c r="C621" s="9" t="s">
        <v>672</v>
      </c>
      <c r="D621" s="17">
        <f t="shared" si="48"/>
        <v>1</v>
      </c>
      <c r="E621" s="10">
        <f t="shared" si="45"/>
        <v>1</v>
      </c>
      <c r="F621" s="11">
        <v>1</v>
      </c>
      <c r="G621" s="9">
        <v>531900</v>
      </c>
      <c r="H621" s="13">
        <v>40492.502083333333</v>
      </c>
      <c r="I621" s="14">
        <v>2.95</v>
      </c>
      <c r="J621" s="23">
        <f t="shared" si="46"/>
        <v>2.95</v>
      </c>
      <c r="K621" s="12">
        <v>40492</v>
      </c>
      <c r="L621" s="24">
        <v>0.50208333333333333</v>
      </c>
      <c r="M621" t="s">
        <v>1013</v>
      </c>
      <c r="N621" s="15" t="str">
        <f t="shared" si="47"/>
        <v>12:03 PM</v>
      </c>
      <c r="O621" s="9" t="s">
        <v>9</v>
      </c>
      <c r="P621" s="20">
        <f t="shared" si="49"/>
        <v>2.95</v>
      </c>
    </row>
    <row r="622" spans="1:16" x14ac:dyDescent="0.25">
      <c r="A622" s="9">
        <v>13687</v>
      </c>
      <c r="B622" s="9">
        <v>21393</v>
      </c>
      <c r="C622" s="9" t="s">
        <v>673</v>
      </c>
      <c r="D622" s="17">
        <f t="shared" si="48"/>
        <v>2496</v>
      </c>
      <c r="E622" s="10">
        <f t="shared" si="45"/>
        <v>2496</v>
      </c>
      <c r="F622" s="11">
        <v>2496</v>
      </c>
      <c r="G622" s="9">
        <v>524174</v>
      </c>
      <c r="H622" s="17" t="s">
        <v>674</v>
      </c>
      <c r="I622" s="14">
        <v>0.13</v>
      </c>
      <c r="J622" s="23">
        <f t="shared" si="46"/>
        <v>0.13</v>
      </c>
      <c r="K622" s="12">
        <v>40448</v>
      </c>
      <c r="L622" s="25">
        <v>0.6875</v>
      </c>
      <c r="N622" s="15" t="str">
        <f t="shared" si="47"/>
        <v xml:space="preserve">16:30 </v>
      </c>
      <c r="O622" s="9" t="s">
        <v>9</v>
      </c>
      <c r="P622" s="20">
        <f t="shared" si="49"/>
        <v>324.48</v>
      </c>
    </row>
    <row r="623" spans="1:16" x14ac:dyDescent="0.25">
      <c r="A623" s="9">
        <v>17585</v>
      </c>
      <c r="B623" s="9">
        <v>82583</v>
      </c>
      <c r="C623" s="9" t="s">
        <v>675</v>
      </c>
      <c r="D623" s="17">
        <f t="shared" si="48"/>
        <v>2</v>
      </c>
      <c r="E623" s="10">
        <f t="shared" si="45"/>
        <v>2</v>
      </c>
      <c r="F623" s="11">
        <v>2</v>
      </c>
      <c r="G623" s="9">
        <v>523149</v>
      </c>
      <c r="H623" s="13">
        <v>40441.617361111108</v>
      </c>
      <c r="I623" s="14">
        <v>2.1</v>
      </c>
      <c r="J623" s="23">
        <f t="shared" si="46"/>
        <v>2.1</v>
      </c>
      <c r="K623" s="12">
        <v>40441</v>
      </c>
      <c r="L623" s="24">
        <v>0.11736111111111111</v>
      </c>
      <c r="M623" t="s">
        <v>1013</v>
      </c>
      <c r="N623" s="15" t="str">
        <f t="shared" si="47"/>
        <v>2:49 PM</v>
      </c>
      <c r="O623" s="9" t="s">
        <v>9</v>
      </c>
      <c r="P623" s="20">
        <f t="shared" si="49"/>
        <v>4.2</v>
      </c>
    </row>
    <row r="624" spans="1:16" x14ac:dyDescent="0.25">
      <c r="A624" s="9">
        <v>14159</v>
      </c>
      <c r="B624" s="9">
        <v>22383</v>
      </c>
      <c r="C624" s="9" t="s">
        <v>676</v>
      </c>
      <c r="D624" s="17">
        <f t="shared" si="48"/>
        <v>6</v>
      </c>
      <c r="E624" s="10">
        <f t="shared" si="45"/>
        <v>6</v>
      </c>
      <c r="F624" s="11">
        <v>6</v>
      </c>
      <c r="G624" s="9">
        <v>501730</v>
      </c>
      <c r="H624" s="13">
        <v>40256.461805555547</v>
      </c>
      <c r="I624" s="14">
        <v>1.65</v>
      </c>
      <c r="J624" s="23">
        <f t="shared" si="46"/>
        <v>1.65</v>
      </c>
      <c r="K624" s="12">
        <v>40256</v>
      </c>
      <c r="L624" s="24">
        <v>0.46180555555555558</v>
      </c>
      <c r="M624" t="s">
        <v>1014</v>
      </c>
      <c r="N624" s="15" t="str">
        <f t="shared" si="47"/>
        <v>11:05 AM</v>
      </c>
      <c r="O624" s="9" t="s">
        <v>9</v>
      </c>
      <c r="P624" s="20">
        <f t="shared" si="49"/>
        <v>9.8999999999999986</v>
      </c>
    </row>
    <row r="625" spans="1:16" x14ac:dyDescent="0.25">
      <c r="A625" s="9">
        <v>18061</v>
      </c>
      <c r="B625" s="9">
        <v>21071</v>
      </c>
      <c r="C625" s="9" t="s">
        <v>677</v>
      </c>
      <c r="D625" s="17">
        <f t="shared" si="48"/>
        <v>12</v>
      </c>
      <c r="E625" s="10">
        <f t="shared" si="45"/>
        <v>12</v>
      </c>
      <c r="F625" s="11">
        <v>12</v>
      </c>
      <c r="G625" s="9">
        <v>506909</v>
      </c>
      <c r="H625" s="13">
        <v>40303.449305555558</v>
      </c>
      <c r="I625" s="14">
        <v>1.25</v>
      </c>
      <c r="J625" s="23">
        <f t="shared" si="46"/>
        <v>1.25</v>
      </c>
      <c r="K625" s="12">
        <v>40303</v>
      </c>
      <c r="L625" s="24">
        <v>0.44930555555555557</v>
      </c>
      <c r="M625" t="s">
        <v>1014</v>
      </c>
      <c r="N625" s="15" t="str">
        <f t="shared" si="47"/>
        <v>10:47 AM</v>
      </c>
      <c r="O625" s="9" t="s">
        <v>9</v>
      </c>
      <c r="P625" s="20">
        <f t="shared" si="49"/>
        <v>15</v>
      </c>
    </row>
    <row r="626" spans="1:16" x14ac:dyDescent="0.25">
      <c r="A626" s="9">
        <v>14530</v>
      </c>
      <c r="B626" s="9">
        <v>21160</v>
      </c>
      <c r="C626" s="9" t="s">
        <v>678</v>
      </c>
      <c r="D626" s="17">
        <f t="shared" si="48"/>
        <v>1</v>
      </c>
      <c r="E626" s="10">
        <f t="shared" si="45"/>
        <v>1</v>
      </c>
      <c r="F626" s="11">
        <v>1</v>
      </c>
      <c r="G626" s="9">
        <v>514023</v>
      </c>
      <c r="H626" s="13">
        <v>40359.463888888888</v>
      </c>
      <c r="I626" s="14">
        <v>1.45</v>
      </c>
      <c r="J626" s="23">
        <f t="shared" si="46"/>
        <v>1.45</v>
      </c>
      <c r="K626" s="12">
        <v>40359</v>
      </c>
      <c r="L626" s="24">
        <v>0.46388888888888891</v>
      </c>
      <c r="M626" t="s">
        <v>1014</v>
      </c>
      <c r="N626" s="15" t="str">
        <f t="shared" si="47"/>
        <v>11:08 AM</v>
      </c>
      <c r="O626" s="9" t="s">
        <v>9</v>
      </c>
      <c r="P626" s="20">
        <f t="shared" si="49"/>
        <v>1.45</v>
      </c>
    </row>
    <row r="627" spans="1:16" x14ac:dyDescent="0.25">
      <c r="A627" s="9">
        <v>15005</v>
      </c>
      <c r="B627" s="9">
        <v>22384</v>
      </c>
      <c r="C627" s="9" t="s">
        <v>305</v>
      </c>
      <c r="D627" s="17">
        <f t="shared" si="48"/>
        <v>4</v>
      </c>
      <c r="E627" s="10">
        <f t="shared" si="45"/>
        <v>4</v>
      </c>
      <c r="F627" s="11">
        <v>4</v>
      </c>
      <c r="G627" s="9">
        <v>498400</v>
      </c>
      <c r="H627" s="13">
        <v>40227.647916666669</v>
      </c>
      <c r="I627" s="14">
        <v>1.65</v>
      </c>
      <c r="J627" s="23">
        <f t="shared" si="46"/>
        <v>1.65</v>
      </c>
      <c r="K627" s="12">
        <v>40227</v>
      </c>
      <c r="L627" s="24">
        <v>0.14791666666666667</v>
      </c>
      <c r="M627" t="s">
        <v>1013</v>
      </c>
      <c r="N627" s="15" t="str">
        <f t="shared" si="47"/>
        <v>3:33 PM</v>
      </c>
      <c r="O627" s="9" t="s">
        <v>9</v>
      </c>
      <c r="P627" s="20">
        <f t="shared" si="49"/>
        <v>6.6</v>
      </c>
    </row>
    <row r="628" spans="1:16" x14ac:dyDescent="0.25">
      <c r="A628" s="9">
        <v>16788</v>
      </c>
      <c r="B628" s="9">
        <v>22425</v>
      </c>
      <c r="C628" s="9" t="s">
        <v>679</v>
      </c>
      <c r="D628" s="17">
        <f t="shared" si="48"/>
        <v>1</v>
      </c>
      <c r="E628" s="10">
        <f t="shared" si="45"/>
        <v>1</v>
      </c>
      <c r="F628" s="11">
        <v>1</v>
      </c>
      <c r="G628" s="9">
        <v>511300</v>
      </c>
      <c r="H628" s="13">
        <v>40336.646527777782</v>
      </c>
      <c r="I628" s="14">
        <v>4.95</v>
      </c>
      <c r="J628" s="23">
        <f t="shared" si="46"/>
        <v>4.95</v>
      </c>
      <c r="K628" s="12">
        <v>40336</v>
      </c>
      <c r="L628" s="24">
        <v>0.14652777777777778</v>
      </c>
      <c r="M628" t="s">
        <v>1013</v>
      </c>
      <c r="N628" s="15" t="str">
        <f t="shared" si="47"/>
        <v>3:31 PM</v>
      </c>
      <c r="O628" s="9" t="s">
        <v>9</v>
      </c>
      <c r="P628" s="20">
        <f t="shared" si="49"/>
        <v>4.95</v>
      </c>
    </row>
    <row r="629" spans="1:16" x14ac:dyDescent="0.25">
      <c r="A629" s="9">
        <v>17672</v>
      </c>
      <c r="B629" s="9">
        <v>48138</v>
      </c>
      <c r="C629" s="9" t="s">
        <v>183</v>
      </c>
      <c r="D629" s="17">
        <f t="shared" si="48"/>
        <v>2</v>
      </c>
      <c r="E629" s="10">
        <f t="shared" si="45"/>
        <v>2</v>
      </c>
      <c r="F629" s="11">
        <v>2</v>
      </c>
      <c r="G629" s="9">
        <v>500498</v>
      </c>
      <c r="H629" s="13">
        <v>40245.553472222222</v>
      </c>
      <c r="I629" s="14">
        <v>7.49</v>
      </c>
      <c r="J629" s="23">
        <f t="shared" si="46"/>
        <v>7.49</v>
      </c>
      <c r="K629" s="12">
        <v>40245</v>
      </c>
      <c r="L629" s="24">
        <v>5.347222222222222E-2</v>
      </c>
      <c r="M629" t="s">
        <v>1013</v>
      </c>
      <c r="N629" s="15" t="str">
        <f t="shared" si="47"/>
        <v>1:17 PM</v>
      </c>
      <c r="O629" s="9" t="s">
        <v>9</v>
      </c>
      <c r="P629" s="20">
        <f t="shared" si="49"/>
        <v>14.98</v>
      </c>
    </row>
    <row r="630" spans="1:16" x14ac:dyDescent="0.25">
      <c r="A630" s="9">
        <v>14493</v>
      </c>
      <c r="B630" s="9">
        <v>22081</v>
      </c>
      <c r="C630" s="9" t="s">
        <v>680</v>
      </c>
      <c r="D630" s="17">
        <f t="shared" si="48"/>
        <v>2</v>
      </c>
      <c r="E630" s="10">
        <f t="shared" si="45"/>
        <v>2</v>
      </c>
      <c r="F630" s="11">
        <v>2</v>
      </c>
      <c r="G630" s="9">
        <v>513050</v>
      </c>
      <c r="H630" s="13">
        <v>40350.554166666669</v>
      </c>
      <c r="I630" s="14">
        <v>1.65</v>
      </c>
      <c r="J630" s="23">
        <f t="shared" si="46"/>
        <v>1.65</v>
      </c>
      <c r="K630" s="12">
        <v>40350</v>
      </c>
      <c r="L630" s="24">
        <v>5.4166666666666669E-2</v>
      </c>
      <c r="M630" t="s">
        <v>1013</v>
      </c>
      <c r="N630" s="15" t="str">
        <f t="shared" si="47"/>
        <v>1:18 PM</v>
      </c>
      <c r="O630" s="9" t="s">
        <v>9</v>
      </c>
      <c r="P630" s="20">
        <f t="shared" si="49"/>
        <v>3.3</v>
      </c>
    </row>
    <row r="631" spans="1:16" x14ac:dyDescent="0.25">
      <c r="A631" s="9">
        <v>13263</v>
      </c>
      <c r="B631" s="9">
        <v>72133</v>
      </c>
      <c r="C631" s="9" t="s">
        <v>681</v>
      </c>
      <c r="D631" s="17">
        <f t="shared" si="48"/>
        <v>2</v>
      </c>
      <c r="E631" s="10">
        <f t="shared" si="45"/>
        <v>2</v>
      </c>
      <c r="F631" s="11">
        <v>2</v>
      </c>
      <c r="G631" s="9">
        <v>528618</v>
      </c>
      <c r="H631" s="13">
        <v>40473.713194444441</v>
      </c>
      <c r="I631" s="14">
        <v>1.25</v>
      </c>
      <c r="J631" s="23">
        <f t="shared" si="46"/>
        <v>1.25</v>
      </c>
      <c r="K631" s="12">
        <v>40473</v>
      </c>
      <c r="L631" s="24">
        <v>0.21319444444444444</v>
      </c>
      <c r="M631" t="s">
        <v>1013</v>
      </c>
      <c r="N631" s="15" t="str">
        <f t="shared" si="47"/>
        <v>5:07 PM</v>
      </c>
      <c r="O631" s="9" t="s">
        <v>9</v>
      </c>
      <c r="P631" s="20">
        <f t="shared" si="49"/>
        <v>2.5</v>
      </c>
    </row>
    <row r="632" spans="1:16" x14ac:dyDescent="0.25">
      <c r="A632" s="9">
        <v>15615</v>
      </c>
      <c r="B632" s="9">
        <v>21931</v>
      </c>
      <c r="C632" s="9" t="s">
        <v>434</v>
      </c>
      <c r="D632" s="17">
        <f t="shared" si="48"/>
        <v>20</v>
      </c>
      <c r="E632" s="10">
        <f t="shared" si="45"/>
        <v>20</v>
      </c>
      <c r="F632" s="11">
        <v>20</v>
      </c>
      <c r="G632" s="9">
        <v>520176</v>
      </c>
      <c r="H632" s="13">
        <v>40414.561111111107</v>
      </c>
      <c r="I632" s="14">
        <v>1.95</v>
      </c>
      <c r="J632" s="23">
        <f t="shared" si="46"/>
        <v>1.95</v>
      </c>
      <c r="K632" s="12">
        <v>40414</v>
      </c>
      <c r="L632" s="24">
        <v>6.1111111111111109E-2</v>
      </c>
      <c r="M632" t="s">
        <v>1013</v>
      </c>
      <c r="N632" s="15" t="str">
        <f t="shared" si="47"/>
        <v>1:28 PM</v>
      </c>
      <c r="O632" s="9" t="s">
        <v>9</v>
      </c>
      <c r="P632" s="20">
        <f t="shared" si="49"/>
        <v>39</v>
      </c>
    </row>
    <row r="633" spans="1:16" x14ac:dyDescent="0.25">
      <c r="A633" s="9">
        <v>13418</v>
      </c>
      <c r="B633" s="9" t="s">
        <v>277</v>
      </c>
      <c r="C633" s="9" t="s">
        <v>682</v>
      </c>
      <c r="D633" s="17">
        <f t="shared" si="48"/>
        <v>10</v>
      </c>
      <c r="E633" s="10">
        <f t="shared" si="45"/>
        <v>10</v>
      </c>
      <c r="F633" s="11">
        <v>10</v>
      </c>
      <c r="G633" s="9">
        <v>504183</v>
      </c>
      <c r="H633" s="13">
        <v>40280.384027777778</v>
      </c>
      <c r="I633" s="14">
        <v>1.95</v>
      </c>
      <c r="J633" s="23">
        <f t="shared" si="46"/>
        <v>1.95</v>
      </c>
      <c r="K633" s="12">
        <v>40280</v>
      </c>
      <c r="L633" s="24">
        <v>0.3840277777777778</v>
      </c>
      <c r="M633" t="s">
        <v>1014</v>
      </c>
      <c r="N633" s="15" t="str">
        <f t="shared" si="47"/>
        <v>9:13 AM</v>
      </c>
      <c r="O633" s="9" t="s">
        <v>9</v>
      </c>
      <c r="P633" s="20">
        <f t="shared" si="49"/>
        <v>19.5</v>
      </c>
    </row>
    <row r="634" spans="1:16" x14ac:dyDescent="0.25">
      <c r="A634" s="9">
        <v>16771</v>
      </c>
      <c r="B634" s="9">
        <v>84975</v>
      </c>
      <c r="C634" s="9" t="s">
        <v>416</v>
      </c>
      <c r="D634" s="17">
        <f t="shared" si="48"/>
        <v>6</v>
      </c>
      <c r="E634" s="10">
        <f t="shared" si="45"/>
        <v>6</v>
      </c>
      <c r="F634" s="11">
        <v>6</v>
      </c>
      <c r="G634" s="9" t="s">
        <v>683</v>
      </c>
      <c r="H634" s="13">
        <v>40241.522222222222</v>
      </c>
      <c r="I634" s="14">
        <v>1.69</v>
      </c>
      <c r="J634" s="23">
        <f t="shared" si="46"/>
        <v>1.69</v>
      </c>
      <c r="K634" s="12">
        <v>40241</v>
      </c>
      <c r="L634" s="24">
        <v>0.52222222222222225</v>
      </c>
      <c r="M634" t="s">
        <v>1013</v>
      </c>
      <c r="N634" s="15" t="str">
        <f t="shared" si="47"/>
        <v>12:32 PM</v>
      </c>
      <c r="O634" s="9" t="s">
        <v>9</v>
      </c>
      <c r="P634" s="20">
        <f t="shared" si="49"/>
        <v>10.14</v>
      </c>
    </row>
    <row r="635" spans="1:16" x14ac:dyDescent="0.25">
      <c r="A635" s="9">
        <v>16476</v>
      </c>
      <c r="B635" s="9">
        <v>22162</v>
      </c>
      <c r="C635" s="9" t="s">
        <v>351</v>
      </c>
      <c r="D635" s="17">
        <f t="shared" si="48"/>
        <v>8</v>
      </c>
      <c r="E635" s="10">
        <f t="shared" si="45"/>
        <v>8</v>
      </c>
      <c r="F635" s="11">
        <v>8</v>
      </c>
      <c r="G635" s="9">
        <v>525104</v>
      </c>
      <c r="H635" s="13">
        <v>40455.436805555553</v>
      </c>
      <c r="I635" s="14">
        <v>2.95</v>
      </c>
      <c r="J635" s="23">
        <f t="shared" si="46"/>
        <v>2.95</v>
      </c>
      <c r="K635" s="12">
        <v>40455</v>
      </c>
      <c r="L635" s="24">
        <v>0.43680555555555556</v>
      </c>
      <c r="M635" t="s">
        <v>1014</v>
      </c>
      <c r="N635" s="15" t="str">
        <f t="shared" si="47"/>
        <v>10:29 AM</v>
      </c>
      <c r="O635" s="9" t="s">
        <v>9</v>
      </c>
      <c r="P635" s="20">
        <f t="shared" si="49"/>
        <v>23.6</v>
      </c>
    </row>
    <row r="636" spans="1:16" x14ac:dyDescent="0.25">
      <c r="A636" s="9">
        <v>17931</v>
      </c>
      <c r="B636" s="9" t="s">
        <v>684</v>
      </c>
      <c r="C636" s="9" t="s">
        <v>685</v>
      </c>
      <c r="D636" s="17">
        <f t="shared" si="48"/>
        <v>4</v>
      </c>
      <c r="E636" s="10">
        <f t="shared" si="45"/>
        <v>4</v>
      </c>
      <c r="F636" s="11">
        <v>4</v>
      </c>
      <c r="G636" s="9">
        <v>512560</v>
      </c>
      <c r="H636" s="13">
        <v>40345.602777777778</v>
      </c>
      <c r="I636" s="14">
        <v>0.85</v>
      </c>
      <c r="J636" s="23">
        <f t="shared" si="46"/>
        <v>0.85</v>
      </c>
      <c r="K636" s="12">
        <v>40345</v>
      </c>
      <c r="L636" s="24">
        <v>0.10277777777777777</v>
      </c>
      <c r="M636" t="s">
        <v>1013</v>
      </c>
      <c r="N636" s="15" t="str">
        <f t="shared" si="47"/>
        <v>2:28 PM</v>
      </c>
      <c r="O636" s="9" t="s">
        <v>9</v>
      </c>
      <c r="P636" s="20">
        <f t="shared" si="49"/>
        <v>3.4</v>
      </c>
    </row>
    <row r="637" spans="1:16" x14ac:dyDescent="0.25">
      <c r="A637" s="9">
        <v>17287</v>
      </c>
      <c r="B637" s="9">
        <v>85063</v>
      </c>
      <c r="C637" s="9" t="s">
        <v>686</v>
      </c>
      <c r="D637" s="17">
        <f t="shared" si="48"/>
        <v>1</v>
      </c>
      <c r="E637" s="10">
        <f t="shared" si="45"/>
        <v>1</v>
      </c>
      <c r="F637" s="11">
        <v>1</v>
      </c>
      <c r="G637" s="9">
        <v>521222</v>
      </c>
      <c r="H637" s="13">
        <v>40424.443749999999</v>
      </c>
      <c r="I637" s="14">
        <v>16.95</v>
      </c>
      <c r="J637" s="23">
        <f t="shared" si="46"/>
        <v>16.95</v>
      </c>
      <c r="K637" s="12">
        <v>40424</v>
      </c>
      <c r="L637" s="24">
        <v>0.44374999999999998</v>
      </c>
      <c r="M637" t="s">
        <v>1014</v>
      </c>
      <c r="N637" s="15" t="str">
        <f t="shared" si="47"/>
        <v>10:39 AM</v>
      </c>
      <c r="O637" s="9" t="s">
        <v>9</v>
      </c>
      <c r="P637" s="20">
        <f t="shared" si="49"/>
        <v>16.95</v>
      </c>
    </row>
    <row r="638" spans="1:16" x14ac:dyDescent="0.25">
      <c r="A638" s="9">
        <v>14136</v>
      </c>
      <c r="B638" s="9">
        <v>21804</v>
      </c>
      <c r="C638" s="9" t="s">
        <v>687</v>
      </c>
      <c r="D638" s="17">
        <f t="shared" si="48"/>
        <v>6</v>
      </c>
      <c r="E638" s="10">
        <f t="shared" si="45"/>
        <v>6</v>
      </c>
      <c r="F638" s="11">
        <v>6</v>
      </c>
      <c r="G638" s="9">
        <v>530742</v>
      </c>
      <c r="H638" s="13">
        <v>40486.495138888888</v>
      </c>
      <c r="I638" s="14">
        <v>3.75</v>
      </c>
      <c r="J638" s="23">
        <f t="shared" si="46"/>
        <v>3.75</v>
      </c>
      <c r="K638" s="12">
        <v>40486</v>
      </c>
      <c r="L638" s="24">
        <v>0.49513888888888891</v>
      </c>
      <c r="M638" t="s">
        <v>1014</v>
      </c>
      <c r="N638" s="15" t="str">
        <f t="shared" si="47"/>
        <v>11:53 AM</v>
      </c>
      <c r="O638" s="9" t="s">
        <v>9</v>
      </c>
      <c r="P638" s="20">
        <f t="shared" si="49"/>
        <v>22.5</v>
      </c>
    </row>
    <row r="639" spans="1:16" x14ac:dyDescent="0.25">
      <c r="A639" s="9">
        <v>13381</v>
      </c>
      <c r="B639" s="9">
        <v>22077</v>
      </c>
      <c r="C639" s="9" t="s">
        <v>196</v>
      </c>
      <c r="D639" s="17">
        <f t="shared" si="48"/>
        <v>12</v>
      </c>
      <c r="E639" s="10">
        <f t="shared" si="45"/>
        <v>12</v>
      </c>
      <c r="F639" s="11">
        <v>12</v>
      </c>
      <c r="G639" s="9">
        <v>509453</v>
      </c>
      <c r="H639" s="13">
        <v>40322.40902777778</v>
      </c>
      <c r="I639" s="14">
        <v>1.65</v>
      </c>
      <c r="J639" s="23">
        <f t="shared" si="46"/>
        <v>1.65</v>
      </c>
      <c r="K639" s="12">
        <v>40322</v>
      </c>
      <c r="L639" s="24">
        <v>0.40902777777777777</v>
      </c>
      <c r="M639" t="s">
        <v>1014</v>
      </c>
      <c r="N639" s="15" t="str">
        <f t="shared" si="47"/>
        <v>9:49 AM</v>
      </c>
      <c r="O639" s="9" t="s">
        <v>9</v>
      </c>
      <c r="P639" s="20">
        <f t="shared" si="49"/>
        <v>19.799999999999997</v>
      </c>
    </row>
    <row r="640" spans="1:16" x14ac:dyDescent="0.25">
      <c r="A640" s="9">
        <v>17448</v>
      </c>
      <c r="B640" s="9">
        <v>20725</v>
      </c>
      <c r="C640" s="9" t="s">
        <v>688</v>
      </c>
      <c r="D640" s="17">
        <f t="shared" si="48"/>
        <v>10</v>
      </c>
      <c r="E640" s="10">
        <f t="shared" si="45"/>
        <v>10</v>
      </c>
      <c r="F640" s="11">
        <v>10</v>
      </c>
      <c r="G640" s="9">
        <v>501508</v>
      </c>
      <c r="H640" s="13">
        <v>40254.481249999997</v>
      </c>
      <c r="I640" s="14">
        <v>1.45</v>
      </c>
      <c r="J640" s="23">
        <f t="shared" si="46"/>
        <v>1.45</v>
      </c>
      <c r="K640" s="12">
        <v>40254</v>
      </c>
      <c r="L640" s="24">
        <v>0.48125000000000001</v>
      </c>
      <c r="M640" t="s">
        <v>1014</v>
      </c>
      <c r="N640" s="15" t="str">
        <f t="shared" si="47"/>
        <v>11:33 AM</v>
      </c>
      <c r="O640" s="9" t="s">
        <v>9</v>
      </c>
      <c r="P640" s="20">
        <f t="shared" si="49"/>
        <v>14.5</v>
      </c>
    </row>
    <row r="641" spans="1:16" x14ac:dyDescent="0.25">
      <c r="A641" s="9">
        <v>17675</v>
      </c>
      <c r="B641" s="9">
        <v>21791</v>
      </c>
      <c r="C641" s="9" t="s">
        <v>689</v>
      </c>
      <c r="D641" s="17">
        <f t="shared" si="48"/>
        <v>24</v>
      </c>
      <c r="E641" s="10">
        <f t="shared" si="45"/>
        <v>24</v>
      </c>
      <c r="F641" s="11">
        <v>24</v>
      </c>
      <c r="G641" s="9">
        <v>529597</v>
      </c>
      <c r="H641" s="13">
        <v>40480.366666666669</v>
      </c>
      <c r="I641" s="14">
        <v>1.25</v>
      </c>
      <c r="J641" s="23">
        <f t="shared" si="46"/>
        <v>1.25</v>
      </c>
      <c r="K641" s="12">
        <v>40480</v>
      </c>
      <c r="L641" s="24">
        <v>0.36666666666666664</v>
      </c>
      <c r="M641" t="s">
        <v>1014</v>
      </c>
      <c r="N641" s="15" t="str">
        <f t="shared" si="47"/>
        <v>8:48 AM</v>
      </c>
      <c r="O641" s="9" t="s">
        <v>9</v>
      </c>
      <c r="P641" s="20">
        <f t="shared" si="49"/>
        <v>30</v>
      </c>
    </row>
    <row r="642" spans="1:16" x14ac:dyDescent="0.25">
      <c r="A642" s="9">
        <v>15013</v>
      </c>
      <c r="B642" s="9">
        <v>21892</v>
      </c>
      <c r="C642" s="9" t="s">
        <v>86</v>
      </c>
      <c r="D642" s="17">
        <f t="shared" si="48"/>
        <v>9</v>
      </c>
      <c r="E642" s="10">
        <f t="shared" ref="E642:E705" si="50">VALUE(F642)</f>
        <v>9</v>
      </c>
      <c r="F642" s="11">
        <v>9</v>
      </c>
      <c r="G642" s="9">
        <v>496313</v>
      </c>
      <c r="H642" s="13">
        <v>40209.510416666657</v>
      </c>
      <c r="I642" s="14">
        <v>1.25</v>
      </c>
      <c r="J642" s="23">
        <f t="shared" ref="J642:J705" si="51">VALUE(I642)</f>
        <v>1.25</v>
      </c>
      <c r="K642" s="12">
        <v>40209</v>
      </c>
      <c r="L642" s="24">
        <v>0.51041666666666663</v>
      </c>
      <c r="M642" t="s">
        <v>1013</v>
      </c>
      <c r="N642" s="15" t="str">
        <f t="shared" ref="N642:N705" si="52">TEXT(L642,"h:mm")&amp;" "&amp;M642</f>
        <v>12:15 PM</v>
      </c>
      <c r="O642" s="9" t="s">
        <v>9</v>
      </c>
      <c r="P642" s="20">
        <f t="shared" si="49"/>
        <v>11.25</v>
      </c>
    </row>
    <row r="643" spans="1:16" x14ac:dyDescent="0.25">
      <c r="A643" s="9">
        <v>16891</v>
      </c>
      <c r="B643" s="9" t="s">
        <v>690</v>
      </c>
      <c r="C643" s="9" t="s">
        <v>691</v>
      </c>
      <c r="D643" s="17">
        <f t="shared" ref="D643:D706" si="53">ABS(E643)</f>
        <v>1</v>
      </c>
      <c r="E643" s="10">
        <f t="shared" si="50"/>
        <v>1</v>
      </c>
      <c r="F643" s="11">
        <v>1</v>
      </c>
      <c r="G643" s="9">
        <v>536874</v>
      </c>
      <c r="H643" s="13">
        <v>40515.482638888891</v>
      </c>
      <c r="I643" s="14">
        <v>0.42</v>
      </c>
      <c r="J643" s="23">
        <f t="shared" si="51"/>
        <v>0.42</v>
      </c>
      <c r="K643" s="12">
        <v>40515</v>
      </c>
      <c r="L643" s="24">
        <v>0.4826388888888889</v>
      </c>
      <c r="M643" t="s">
        <v>1014</v>
      </c>
      <c r="N643" s="15" t="str">
        <f t="shared" si="52"/>
        <v>11:35 AM</v>
      </c>
      <c r="O643" s="9" t="s">
        <v>9</v>
      </c>
      <c r="P643" s="20">
        <f t="shared" ref="P643:P706" si="54">PRODUCT(D643,(J643))</f>
        <v>0.42</v>
      </c>
    </row>
    <row r="644" spans="1:16" x14ac:dyDescent="0.25">
      <c r="A644" s="9">
        <v>13815</v>
      </c>
      <c r="B644" s="9">
        <v>21238</v>
      </c>
      <c r="C644" s="9" t="s">
        <v>692</v>
      </c>
      <c r="D644" s="17">
        <f t="shared" si="53"/>
        <v>8</v>
      </c>
      <c r="E644" s="10">
        <f t="shared" si="50"/>
        <v>8</v>
      </c>
      <c r="F644" s="11">
        <v>8</v>
      </c>
      <c r="G644" s="9">
        <v>511105</v>
      </c>
      <c r="H644" s="13">
        <v>40336.400694444441</v>
      </c>
      <c r="I644" s="14">
        <v>0.85</v>
      </c>
      <c r="J644" s="23">
        <f t="shared" si="51"/>
        <v>0.85</v>
      </c>
      <c r="K644" s="12">
        <v>40336</v>
      </c>
      <c r="L644" s="24">
        <v>0.40069444444444446</v>
      </c>
      <c r="M644" t="s">
        <v>1014</v>
      </c>
      <c r="N644" s="15" t="str">
        <f t="shared" si="52"/>
        <v>9:37 AM</v>
      </c>
      <c r="O644" s="9" t="s">
        <v>17</v>
      </c>
      <c r="P644" s="20">
        <f t="shared" si="54"/>
        <v>6.8</v>
      </c>
    </row>
    <row r="645" spans="1:16" x14ac:dyDescent="0.25">
      <c r="A645" s="9">
        <v>14713</v>
      </c>
      <c r="B645" s="9">
        <v>20971</v>
      </c>
      <c r="C645" s="9" t="s">
        <v>693</v>
      </c>
      <c r="D645" s="17">
        <f t="shared" si="53"/>
        <v>4</v>
      </c>
      <c r="E645" s="10">
        <f t="shared" si="50"/>
        <v>4</v>
      </c>
      <c r="F645" s="11">
        <v>4</v>
      </c>
      <c r="G645" s="9">
        <v>524856</v>
      </c>
      <c r="H645" s="13">
        <v>40451.821527777778</v>
      </c>
      <c r="I645" s="14">
        <v>1.25</v>
      </c>
      <c r="J645" s="23">
        <f t="shared" si="51"/>
        <v>1.25</v>
      </c>
      <c r="K645" s="12">
        <v>40451</v>
      </c>
      <c r="L645" s="24">
        <v>0.3215277777777778</v>
      </c>
      <c r="M645" t="s">
        <v>1013</v>
      </c>
      <c r="N645" s="15" t="str">
        <f t="shared" si="52"/>
        <v>7:43 PM</v>
      </c>
      <c r="O645" s="9" t="s">
        <v>9</v>
      </c>
      <c r="P645" s="20">
        <f t="shared" si="54"/>
        <v>5</v>
      </c>
    </row>
    <row r="646" spans="1:16" x14ac:dyDescent="0.25">
      <c r="A646" s="9">
        <v>16145</v>
      </c>
      <c r="B646" s="9">
        <v>21212</v>
      </c>
      <c r="C646" s="9" t="s">
        <v>497</v>
      </c>
      <c r="D646" s="17">
        <f t="shared" si="53"/>
        <v>24</v>
      </c>
      <c r="E646" s="10">
        <f t="shared" si="50"/>
        <v>24</v>
      </c>
      <c r="F646" s="11">
        <v>24</v>
      </c>
      <c r="G646" s="9">
        <v>533293</v>
      </c>
      <c r="H646" s="17" t="s">
        <v>694</v>
      </c>
      <c r="I646" s="14">
        <v>0.55000000000000004</v>
      </c>
      <c r="J646" s="23">
        <f t="shared" si="51"/>
        <v>0.55000000000000004</v>
      </c>
      <c r="K646" t="s">
        <v>1015</v>
      </c>
      <c r="L646" s="25">
        <v>0.66527777777777775</v>
      </c>
      <c r="N646" s="15" t="str">
        <f t="shared" si="52"/>
        <v xml:space="preserve">15:58 </v>
      </c>
      <c r="O646" s="9" t="s">
        <v>9</v>
      </c>
      <c r="P646" s="20">
        <f t="shared" si="54"/>
        <v>13.200000000000001</v>
      </c>
    </row>
    <row r="647" spans="1:16" x14ac:dyDescent="0.25">
      <c r="A647" s="9">
        <v>17897</v>
      </c>
      <c r="B647" s="9">
        <v>22479</v>
      </c>
      <c r="C647" s="9" t="s">
        <v>695</v>
      </c>
      <c r="D647" s="17">
        <f t="shared" si="53"/>
        <v>10</v>
      </c>
      <c r="E647" s="10">
        <f t="shared" si="50"/>
        <v>10</v>
      </c>
      <c r="F647" s="11">
        <v>10</v>
      </c>
      <c r="G647" s="9">
        <v>511136</v>
      </c>
      <c r="H647" s="13">
        <v>40336.484722222223</v>
      </c>
      <c r="I647" s="14">
        <v>1.25</v>
      </c>
      <c r="J647" s="23">
        <f t="shared" si="51"/>
        <v>1.25</v>
      </c>
      <c r="K647" s="12">
        <v>40336</v>
      </c>
      <c r="L647" s="24">
        <v>0.48472222222222222</v>
      </c>
      <c r="M647" t="s">
        <v>1014</v>
      </c>
      <c r="N647" s="15" t="str">
        <f t="shared" si="52"/>
        <v>11:38 AM</v>
      </c>
      <c r="O647" s="9" t="s">
        <v>9</v>
      </c>
      <c r="P647" s="20">
        <f t="shared" si="54"/>
        <v>12.5</v>
      </c>
    </row>
    <row r="648" spans="1:16" x14ac:dyDescent="0.25">
      <c r="A648" s="9">
        <v>15023</v>
      </c>
      <c r="B648" s="9">
        <v>22139</v>
      </c>
      <c r="C648" s="9" t="s">
        <v>135</v>
      </c>
      <c r="D648" s="17">
        <f t="shared" si="53"/>
        <v>4</v>
      </c>
      <c r="E648" s="10">
        <f t="shared" si="50"/>
        <v>4</v>
      </c>
      <c r="F648" s="11">
        <v>4</v>
      </c>
      <c r="G648" s="9">
        <v>517513</v>
      </c>
      <c r="H648" s="13">
        <v>40388.561111111107</v>
      </c>
      <c r="I648" s="14">
        <v>4.95</v>
      </c>
      <c r="J648" s="23">
        <f t="shared" si="51"/>
        <v>4.95</v>
      </c>
      <c r="K648" s="12">
        <v>40388</v>
      </c>
      <c r="L648" s="24">
        <v>6.1111111111111109E-2</v>
      </c>
      <c r="M648" t="s">
        <v>1013</v>
      </c>
      <c r="N648" s="15" t="str">
        <f t="shared" si="52"/>
        <v>1:28 PM</v>
      </c>
      <c r="O648" s="9" t="s">
        <v>9</v>
      </c>
      <c r="P648" s="20">
        <f t="shared" si="54"/>
        <v>19.8</v>
      </c>
    </row>
    <row r="649" spans="1:16" x14ac:dyDescent="0.25">
      <c r="A649" s="9">
        <v>12701</v>
      </c>
      <c r="B649" s="9">
        <v>22090</v>
      </c>
      <c r="C649" s="9" t="s">
        <v>538</v>
      </c>
      <c r="D649" s="17">
        <f t="shared" si="53"/>
        <v>12</v>
      </c>
      <c r="E649" s="10">
        <f t="shared" si="50"/>
        <v>12</v>
      </c>
      <c r="F649" s="11">
        <v>12</v>
      </c>
      <c r="G649" s="9">
        <v>510936</v>
      </c>
      <c r="H649" s="13">
        <v>40333.440972222219</v>
      </c>
      <c r="I649" s="14">
        <v>2.95</v>
      </c>
      <c r="J649" s="23">
        <f t="shared" si="51"/>
        <v>2.95</v>
      </c>
      <c r="K649" s="12">
        <v>40333</v>
      </c>
      <c r="L649" s="24">
        <v>0.44097222222222221</v>
      </c>
      <c r="M649" t="s">
        <v>1014</v>
      </c>
      <c r="N649" s="15" t="str">
        <f t="shared" si="52"/>
        <v>10:35 AM</v>
      </c>
      <c r="O649" s="9" t="s">
        <v>17</v>
      </c>
      <c r="P649" s="20">
        <f t="shared" si="54"/>
        <v>35.400000000000006</v>
      </c>
    </row>
    <row r="650" spans="1:16" x14ac:dyDescent="0.25">
      <c r="A650" s="9">
        <v>15160</v>
      </c>
      <c r="B650" s="9">
        <v>21484</v>
      </c>
      <c r="C650" s="9" t="s">
        <v>421</v>
      </c>
      <c r="D650" s="17">
        <f t="shared" si="53"/>
        <v>12</v>
      </c>
      <c r="E650" s="10">
        <f t="shared" si="50"/>
        <v>12</v>
      </c>
      <c r="F650" s="11">
        <v>12</v>
      </c>
      <c r="G650" s="9">
        <v>536263</v>
      </c>
      <c r="H650" s="13">
        <v>40512.65347222222</v>
      </c>
      <c r="I650" s="14">
        <v>3.45</v>
      </c>
      <c r="J650" s="23">
        <f t="shared" si="51"/>
        <v>3.45</v>
      </c>
      <c r="K650" s="12">
        <v>40512</v>
      </c>
      <c r="L650" s="24">
        <v>0.15347222222222223</v>
      </c>
      <c r="M650" t="s">
        <v>1013</v>
      </c>
      <c r="N650" s="15" t="str">
        <f t="shared" si="52"/>
        <v>3:41 PM</v>
      </c>
      <c r="O650" s="9" t="s">
        <v>9</v>
      </c>
      <c r="P650" s="20">
        <f t="shared" si="54"/>
        <v>41.400000000000006</v>
      </c>
    </row>
    <row r="651" spans="1:16" x14ac:dyDescent="0.25">
      <c r="A651" s="9">
        <v>13979</v>
      </c>
      <c r="B651" s="9">
        <v>37340</v>
      </c>
      <c r="C651" s="9" t="s">
        <v>696</v>
      </c>
      <c r="D651" s="17">
        <f t="shared" si="53"/>
        <v>6</v>
      </c>
      <c r="E651" s="10">
        <f t="shared" si="50"/>
        <v>6</v>
      </c>
      <c r="F651" s="11">
        <v>6</v>
      </c>
      <c r="G651" s="9">
        <v>532297</v>
      </c>
      <c r="H651" s="13">
        <v>40493.576388888891</v>
      </c>
      <c r="I651" s="14">
        <v>0.85</v>
      </c>
      <c r="J651" s="23">
        <f t="shared" si="51"/>
        <v>0.85</v>
      </c>
      <c r="K651" s="12">
        <v>40493</v>
      </c>
      <c r="L651" s="24">
        <v>7.6388888888888895E-2</v>
      </c>
      <c r="M651" t="s">
        <v>1013</v>
      </c>
      <c r="N651" s="15" t="str">
        <f t="shared" si="52"/>
        <v>1:50 PM</v>
      </c>
      <c r="O651" s="9" t="s">
        <v>9</v>
      </c>
      <c r="P651" s="20">
        <f t="shared" si="54"/>
        <v>5.0999999999999996</v>
      </c>
    </row>
    <row r="652" spans="1:16" x14ac:dyDescent="0.25">
      <c r="A652" s="9">
        <v>12759</v>
      </c>
      <c r="B652" s="9">
        <v>20679</v>
      </c>
      <c r="C652" s="9" t="s">
        <v>697</v>
      </c>
      <c r="D652" s="17">
        <f t="shared" si="53"/>
        <v>3</v>
      </c>
      <c r="E652" s="10">
        <f t="shared" si="50"/>
        <v>3</v>
      </c>
      <c r="F652" s="11">
        <v>3</v>
      </c>
      <c r="G652" s="9">
        <v>490158</v>
      </c>
      <c r="H652" s="13">
        <v>40151.449305555558</v>
      </c>
      <c r="I652" s="14">
        <v>5.95</v>
      </c>
      <c r="J652" s="23">
        <f t="shared" si="51"/>
        <v>5.95</v>
      </c>
      <c r="K652" s="12">
        <v>40151</v>
      </c>
      <c r="L652" s="24">
        <v>0.44930555555555557</v>
      </c>
      <c r="M652" t="s">
        <v>1014</v>
      </c>
      <c r="N652" s="15" t="str">
        <f t="shared" si="52"/>
        <v>10:47 AM</v>
      </c>
      <c r="O652" s="9" t="s">
        <v>116</v>
      </c>
      <c r="P652" s="20">
        <f t="shared" si="54"/>
        <v>17.850000000000001</v>
      </c>
    </row>
    <row r="653" spans="1:16" x14ac:dyDescent="0.25">
      <c r="A653" s="9">
        <v>15078</v>
      </c>
      <c r="B653" s="9">
        <v>82582</v>
      </c>
      <c r="C653" s="9" t="s">
        <v>698</v>
      </c>
      <c r="D653" s="17">
        <f t="shared" si="53"/>
        <v>6</v>
      </c>
      <c r="E653" s="10">
        <f t="shared" si="50"/>
        <v>6</v>
      </c>
      <c r="F653" s="11">
        <v>6</v>
      </c>
      <c r="G653" s="9">
        <v>509965</v>
      </c>
      <c r="H653" s="13">
        <v>40324.553472222222</v>
      </c>
      <c r="I653" s="14" t="s">
        <v>190</v>
      </c>
      <c r="J653" s="23">
        <f t="shared" si="51"/>
        <v>2.1</v>
      </c>
      <c r="K653" s="12">
        <v>40324</v>
      </c>
      <c r="L653" s="24">
        <v>5.347222222222222E-2</v>
      </c>
      <c r="M653" t="s">
        <v>1013</v>
      </c>
      <c r="N653" s="15" t="str">
        <f t="shared" si="52"/>
        <v>1:17 PM</v>
      </c>
      <c r="O653" s="9" t="s">
        <v>9</v>
      </c>
      <c r="P653" s="20">
        <f t="shared" si="54"/>
        <v>12.600000000000001</v>
      </c>
    </row>
    <row r="654" spans="1:16" x14ac:dyDescent="0.25">
      <c r="A654" s="9">
        <v>13370</v>
      </c>
      <c r="B654" s="9">
        <v>22697</v>
      </c>
      <c r="C654" s="9" t="s">
        <v>699</v>
      </c>
      <c r="D654" s="17">
        <f t="shared" si="53"/>
        <v>6</v>
      </c>
      <c r="E654" s="10">
        <f t="shared" si="50"/>
        <v>6</v>
      </c>
      <c r="F654" s="11">
        <v>6</v>
      </c>
      <c r="G654" s="9">
        <v>536856</v>
      </c>
      <c r="H654" s="13">
        <v>40515.43472222222</v>
      </c>
      <c r="I654" s="14">
        <v>2.95</v>
      </c>
      <c r="J654" s="23">
        <f t="shared" si="51"/>
        <v>2.95</v>
      </c>
      <c r="K654" s="12">
        <v>40515</v>
      </c>
      <c r="L654" s="24">
        <v>0.43472222222222223</v>
      </c>
      <c r="M654" t="s">
        <v>1014</v>
      </c>
      <c r="N654" s="15" t="str">
        <f t="shared" si="52"/>
        <v>10:26 AM</v>
      </c>
      <c r="O654" s="9" t="s">
        <v>9</v>
      </c>
      <c r="P654" s="20">
        <f t="shared" si="54"/>
        <v>17.700000000000003</v>
      </c>
    </row>
    <row r="655" spans="1:16" x14ac:dyDescent="0.25">
      <c r="A655" s="9">
        <v>14443</v>
      </c>
      <c r="B655" s="9">
        <v>85175</v>
      </c>
      <c r="C655" s="9" t="s">
        <v>700</v>
      </c>
      <c r="D655" s="17">
        <f t="shared" si="53"/>
        <v>16</v>
      </c>
      <c r="E655" s="10">
        <f t="shared" si="50"/>
        <v>16</v>
      </c>
      <c r="F655" s="11">
        <v>16</v>
      </c>
      <c r="G655" s="9">
        <v>535283</v>
      </c>
      <c r="H655" s="13">
        <v>40507.595833333333</v>
      </c>
      <c r="I655" s="14">
        <v>0.42</v>
      </c>
      <c r="J655" s="23">
        <f t="shared" si="51"/>
        <v>0.42</v>
      </c>
      <c r="K655" s="12">
        <v>40507</v>
      </c>
      <c r="L655" s="24">
        <v>9.583333333333334E-2</v>
      </c>
      <c r="M655" t="s">
        <v>1013</v>
      </c>
      <c r="N655" s="15" t="str">
        <f t="shared" si="52"/>
        <v>2:18 PM</v>
      </c>
      <c r="O655" s="9" t="s">
        <v>9</v>
      </c>
      <c r="P655" s="20">
        <f t="shared" si="54"/>
        <v>6.72</v>
      </c>
    </row>
    <row r="656" spans="1:16" x14ac:dyDescent="0.25">
      <c r="A656" s="9">
        <v>15494</v>
      </c>
      <c r="B656" s="9" t="s">
        <v>701</v>
      </c>
      <c r="C656" s="9" t="s">
        <v>702</v>
      </c>
      <c r="D656" s="17">
        <f t="shared" si="53"/>
        <v>9</v>
      </c>
      <c r="E656" s="10">
        <f t="shared" si="50"/>
        <v>9</v>
      </c>
      <c r="F656" s="11">
        <v>9</v>
      </c>
      <c r="G656" s="9">
        <v>519610</v>
      </c>
      <c r="H656" s="13">
        <v>40408.70416666667</v>
      </c>
      <c r="I656" s="14">
        <v>1.25</v>
      </c>
      <c r="J656" s="23">
        <f t="shared" si="51"/>
        <v>1.25</v>
      </c>
      <c r="K656" s="12">
        <v>40408</v>
      </c>
      <c r="L656" s="24">
        <v>0.20416666666666666</v>
      </c>
      <c r="M656" t="s">
        <v>1013</v>
      </c>
      <c r="N656" s="15" t="str">
        <f t="shared" si="52"/>
        <v>4:54 PM</v>
      </c>
      <c r="O656" s="9" t="s">
        <v>9</v>
      </c>
      <c r="P656" s="20">
        <f t="shared" si="54"/>
        <v>11.25</v>
      </c>
    </row>
    <row r="657" spans="1:16" x14ac:dyDescent="0.25">
      <c r="A657" s="9" t="s">
        <v>704</v>
      </c>
      <c r="B657" s="9">
        <v>21446</v>
      </c>
      <c r="C657" s="9" t="s">
        <v>703</v>
      </c>
      <c r="D657" s="17">
        <f t="shared" si="53"/>
        <v>1</v>
      </c>
      <c r="E657" s="10">
        <f t="shared" si="50"/>
        <v>1</v>
      </c>
      <c r="F657" s="11">
        <v>1</v>
      </c>
      <c r="G657" s="9">
        <v>512657</v>
      </c>
      <c r="H657" s="13">
        <v>40346.474305555559</v>
      </c>
      <c r="I657" s="14">
        <v>1.25</v>
      </c>
      <c r="J657" s="23">
        <f t="shared" si="51"/>
        <v>1.25</v>
      </c>
      <c r="K657" s="12">
        <v>40346</v>
      </c>
      <c r="L657" s="24">
        <v>0.47430555555555554</v>
      </c>
      <c r="M657" t="s">
        <v>1014</v>
      </c>
      <c r="N657" s="15" t="str">
        <f t="shared" si="52"/>
        <v>11:23 AM</v>
      </c>
      <c r="O657" s="9" t="s">
        <v>9</v>
      </c>
      <c r="P657" s="20">
        <f t="shared" si="54"/>
        <v>1.25</v>
      </c>
    </row>
    <row r="658" spans="1:16" x14ac:dyDescent="0.25">
      <c r="A658" s="9">
        <v>14606</v>
      </c>
      <c r="B658" s="9">
        <v>21210</v>
      </c>
      <c r="C658" s="9" t="s">
        <v>518</v>
      </c>
      <c r="D658" s="17">
        <f t="shared" si="53"/>
        <v>6</v>
      </c>
      <c r="E658" s="10">
        <f t="shared" si="50"/>
        <v>6</v>
      </c>
      <c r="F658" s="11">
        <v>6</v>
      </c>
      <c r="G658" s="9">
        <v>506029</v>
      </c>
      <c r="H658" s="13">
        <v>40295.486111111109</v>
      </c>
      <c r="I658" s="14">
        <v>1.45</v>
      </c>
      <c r="J658" s="23">
        <f t="shared" si="51"/>
        <v>1.45</v>
      </c>
      <c r="K658" s="12">
        <v>40295</v>
      </c>
      <c r="L658" s="24">
        <v>0.4861111111111111</v>
      </c>
      <c r="M658" t="s">
        <v>1014</v>
      </c>
      <c r="N658" s="15" t="str">
        <f t="shared" si="52"/>
        <v>11:40 AM</v>
      </c>
      <c r="O658" s="9" t="s">
        <v>9</v>
      </c>
      <c r="P658" s="20">
        <f t="shared" si="54"/>
        <v>8.6999999999999993</v>
      </c>
    </row>
    <row r="659" spans="1:16" x14ac:dyDescent="0.25">
      <c r="A659" s="9">
        <v>16382</v>
      </c>
      <c r="B659" s="9" t="s">
        <v>705</v>
      </c>
      <c r="C659" s="9" t="s">
        <v>706</v>
      </c>
      <c r="D659" s="17">
        <f t="shared" si="53"/>
        <v>1</v>
      </c>
      <c r="E659" s="10">
        <f t="shared" si="50"/>
        <v>1</v>
      </c>
      <c r="F659" s="11">
        <v>1</v>
      </c>
      <c r="G659" s="9">
        <v>529339</v>
      </c>
      <c r="H659" s="13">
        <v>40478.682638888888</v>
      </c>
      <c r="I659" s="14">
        <v>0.85</v>
      </c>
      <c r="J659" s="23">
        <f t="shared" si="51"/>
        <v>0.85</v>
      </c>
      <c r="K659" s="12">
        <v>40478</v>
      </c>
      <c r="L659" s="24">
        <v>0.18263888888888888</v>
      </c>
      <c r="M659" t="s">
        <v>1013</v>
      </c>
      <c r="N659" s="15" t="str">
        <f t="shared" si="52"/>
        <v>4:23 PM</v>
      </c>
      <c r="O659" s="9" t="s">
        <v>9</v>
      </c>
      <c r="P659" s="20">
        <f t="shared" si="54"/>
        <v>0.85</v>
      </c>
    </row>
    <row r="660" spans="1:16" x14ac:dyDescent="0.25">
      <c r="A660" s="9">
        <v>17023</v>
      </c>
      <c r="B660" s="9">
        <v>21106</v>
      </c>
      <c r="C660" s="9" t="s">
        <v>591</v>
      </c>
      <c r="D660" s="17">
        <f t="shared" si="53"/>
        <v>6</v>
      </c>
      <c r="E660" s="10">
        <f t="shared" si="50"/>
        <v>6</v>
      </c>
      <c r="F660" s="11">
        <v>6</v>
      </c>
      <c r="G660" s="9">
        <v>518561</v>
      </c>
      <c r="H660" s="13">
        <v>40400.431944444441</v>
      </c>
      <c r="I660" s="14">
        <v>2.95</v>
      </c>
      <c r="J660" s="23">
        <f t="shared" si="51"/>
        <v>2.95</v>
      </c>
      <c r="K660" s="12">
        <v>40400</v>
      </c>
      <c r="L660" s="24">
        <v>0.43194444444444446</v>
      </c>
      <c r="M660" t="s">
        <v>1014</v>
      </c>
      <c r="N660" s="15" t="str">
        <f t="shared" si="52"/>
        <v>10:22 AM</v>
      </c>
      <c r="O660" s="9" t="s">
        <v>9</v>
      </c>
      <c r="P660" s="20">
        <f t="shared" si="54"/>
        <v>17.700000000000003</v>
      </c>
    </row>
    <row r="661" spans="1:16" x14ac:dyDescent="0.25">
      <c r="A661" s="9">
        <v>14606</v>
      </c>
      <c r="B661" s="9">
        <v>22196</v>
      </c>
      <c r="C661" s="9" t="s">
        <v>62</v>
      </c>
      <c r="D661" s="17">
        <f t="shared" si="53"/>
        <v>1</v>
      </c>
      <c r="E661" s="10">
        <f t="shared" si="50"/>
        <v>1</v>
      </c>
      <c r="F661" s="11">
        <v>1</v>
      </c>
      <c r="G661" s="9">
        <v>514676</v>
      </c>
      <c r="H661" s="13">
        <v>40364.56527777778</v>
      </c>
      <c r="I661" s="14">
        <v>0.85</v>
      </c>
      <c r="J661" s="23">
        <f t="shared" si="51"/>
        <v>0.85</v>
      </c>
      <c r="K661" s="12">
        <v>40364</v>
      </c>
      <c r="L661" s="24">
        <v>6.5277777777777782E-2</v>
      </c>
      <c r="M661" t="s">
        <v>1013</v>
      </c>
      <c r="N661" s="15" t="str">
        <f t="shared" si="52"/>
        <v>1:34 PM</v>
      </c>
      <c r="O661" s="9" t="s">
        <v>9</v>
      </c>
      <c r="P661" s="20">
        <f t="shared" si="54"/>
        <v>0.85</v>
      </c>
    </row>
    <row r="662" spans="1:16" x14ac:dyDescent="0.25">
      <c r="A662" s="9">
        <v>16550</v>
      </c>
      <c r="B662" s="9">
        <v>21658</v>
      </c>
      <c r="C662" s="9" t="s">
        <v>210</v>
      </c>
      <c r="D662" s="17">
        <f t="shared" si="53"/>
        <v>1</v>
      </c>
      <c r="E662" s="10">
        <f t="shared" si="50"/>
        <v>-1</v>
      </c>
      <c r="F662" s="11">
        <v>-1</v>
      </c>
      <c r="G662" s="9" t="s">
        <v>707</v>
      </c>
      <c r="H662" s="13">
        <v>40518.553472222222</v>
      </c>
      <c r="I662" s="14">
        <v>3.95</v>
      </c>
      <c r="J662" s="23">
        <f t="shared" si="51"/>
        <v>3.95</v>
      </c>
      <c r="K662" s="12">
        <v>40518</v>
      </c>
      <c r="L662" s="24">
        <v>5.347222222222222E-2</v>
      </c>
      <c r="M662" t="s">
        <v>1013</v>
      </c>
      <c r="N662" s="15" t="str">
        <f t="shared" si="52"/>
        <v>1:17 PM</v>
      </c>
      <c r="O662" s="9" t="s">
        <v>9</v>
      </c>
      <c r="P662" s="20">
        <f t="shared" si="54"/>
        <v>3.95</v>
      </c>
    </row>
    <row r="663" spans="1:16" x14ac:dyDescent="0.25">
      <c r="A663" s="9">
        <v>12714</v>
      </c>
      <c r="B663" s="9">
        <v>21915</v>
      </c>
      <c r="C663" s="9" t="s">
        <v>347</v>
      </c>
      <c r="D663" s="17">
        <f t="shared" si="53"/>
        <v>12</v>
      </c>
      <c r="E663" s="10">
        <f t="shared" si="50"/>
        <v>12</v>
      </c>
      <c r="F663" s="11">
        <v>12</v>
      </c>
      <c r="G663" s="9">
        <v>514165</v>
      </c>
      <c r="H663" s="13">
        <v>40359.649305555547</v>
      </c>
      <c r="I663" s="14">
        <v>1.25</v>
      </c>
      <c r="J663" s="23">
        <f t="shared" si="51"/>
        <v>1.25</v>
      </c>
      <c r="K663" s="12">
        <v>40359</v>
      </c>
      <c r="L663" s="24">
        <v>0.14930555555555555</v>
      </c>
      <c r="M663" t="s">
        <v>1013</v>
      </c>
      <c r="N663" s="15" t="str">
        <f t="shared" si="52"/>
        <v>3:35 PM</v>
      </c>
      <c r="O663" s="9" t="s">
        <v>28</v>
      </c>
      <c r="P663" s="20">
        <f t="shared" si="54"/>
        <v>15</v>
      </c>
    </row>
    <row r="664" spans="1:16" x14ac:dyDescent="0.25">
      <c r="A664" s="9">
        <v>15601</v>
      </c>
      <c r="B664" s="9">
        <v>22431</v>
      </c>
      <c r="C664" s="9" t="s">
        <v>477</v>
      </c>
      <c r="D664" s="17">
        <f t="shared" si="53"/>
        <v>6</v>
      </c>
      <c r="E664" s="10">
        <f t="shared" si="50"/>
        <v>6</v>
      </c>
      <c r="F664" s="11">
        <v>6</v>
      </c>
      <c r="G664" s="9">
        <v>536623</v>
      </c>
      <c r="H664" s="13">
        <v>40514.443749999999</v>
      </c>
      <c r="I664" s="14">
        <v>1.95</v>
      </c>
      <c r="J664" s="23">
        <f t="shared" si="51"/>
        <v>1.95</v>
      </c>
      <c r="K664" s="12">
        <v>40514</v>
      </c>
      <c r="L664" s="24">
        <v>0.44374999999999998</v>
      </c>
      <c r="M664" t="s">
        <v>1014</v>
      </c>
      <c r="N664" s="15" t="str">
        <f t="shared" si="52"/>
        <v>10:39 AM</v>
      </c>
      <c r="O664" s="9" t="s">
        <v>9</v>
      </c>
      <c r="P664" s="20">
        <f t="shared" si="54"/>
        <v>11.7</v>
      </c>
    </row>
    <row r="665" spans="1:16" x14ac:dyDescent="0.25">
      <c r="A665" s="9">
        <v>17320</v>
      </c>
      <c r="B665" s="9">
        <v>21955</v>
      </c>
      <c r="C665" s="9" t="s">
        <v>708</v>
      </c>
      <c r="D665" s="17">
        <f t="shared" si="53"/>
        <v>0</v>
      </c>
      <c r="E665" s="10">
        <f t="shared" si="50"/>
        <v>0</v>
      </c>
      <c r="F665" s="11"/>
      <c r="G665" s="9">
        <v>524179</v>
      </c>
      <c r="H665" s="13">
        <v>40448.693749999999</v>
      </c>
      <c r="I665" s="14">
        <v>7.95</v>
      </c>
      <c r="J665" s="23">
        <f t="shared" si="51"/>
        <v>7.95</v>
      </c>
      <c r="K665" s="12">
        <v>40448</v>
      </c>
      <c r="L665" s="24">
        <v>0.19375000000000001</v>
      </c>
      <c r="M665" t="s">
        <v>1013</v>
      </c>
      <c r="N665" s="15" t="str">
        <f t="shared" si="52"/>
        <v>4:39 PM</v>
      </c>
      <c r="O665" s="9" t="s">
        <v>9</v>
      </c>
      <c r="P665" s="20">
        <f t="shared" si="54"/>
        <v>0</v>
      </c>
    </row>
    <row r="666" spans="1:16" x14ac:dyDescent="0.25">
      <c r="A666" s="9">
        <v>14439</v>
      </c>
      <c r="B666" s="9">
        <v>85187</v>
      </c>
      <c r="C666" s="9" t="s">
        <v>709</v>
      </c>
      <c r="D666" s="17">
        <f t="shared" si="53"/>
        <v>12</v>
      </c>
      <c r="E666" s="10">
        <f t="shared" si="50"/>
        <v>12</v>
      </c>
      <c r="F666" s="11">
        <v>12</v>
      </c>
      <c r="G666" s="9">
        <v>495185</v>
      </c>
      <c r="H666" s="13">
        <v>40199.584027777782</v>
      </c>
      <c r="I666" s="14">
        <v>1.65</v>
      </c>
      <c r="J666" s="23">
        <f t="shared" si="51"/>
        <v>1.65</v>
      </c>
      <c r="K666" s="12">
        <v>40199</v>
      </c>
      <c r="L666" s="24">
        <v>8.4027777777777785E-2</v>
      </c>
      <c r="M666" t="s">
        <v>1013</v>
      </c>
      <c r="N666" s="15" t="str">
        <f t="shared" si="52"/>
        <v>2:01 PM</v>
      </c>
      <c r="O666" s="9" t="s">
        <v>339</v>
      </c>
      <c r="P666" s="20">
        <f t="shared" si="54"/>
        <v>19.799999999999997</v>
      </c>
    </row>
    <row r="667" spans="1:16" x14ac:dyDescent="0.25">
      <c r="A667" s="9">
        <v>15514</v>
      </c>
      <c r="B667" s="9">
        <v>21691</v>
      </c>
      <c r="C667" s="9" t="s">
        <v>710</v>
      </c>
      <c r="D667" s="17">
        <f t="shared" si="53"/>
        <v>2</v>
      </c>
      <c r="E667" s="10">
        <f t="shared" si="50"/>
        <v>2</v>
      </c>
      <c r="F667" s="11" t="s">
        <v>711</v>
      </c>
      <c r="G667" s="9">
        <v>493375</v>
      </c>
      <c r="H667" s="13">
        <v>40170.504861111112</v>
      </c>
      <c r="I667" s="14">
        <v>3.75</v>
      </c>
      <c r="J667" s="23">
        <f t="shared" si="51"/>
        <v>3.75</v>
      </c>
      <c r="K667" s="12">
        <v>40170</v>
      </c>
      <c r="L667" s="24">
        <v>0.50486111111111109</v>
      </c>
      <c r="M667" t="s">
        <v>1013</v>
      </c>
      <c r="N667" s="15" t="str">
        <f t="shared" si="52"/>
        <v>12:07 PM</v>
      </c>
      <c r="O667" s="9" t="s">
        <v>9</v>
      </c>
      <c r="P667" s="20">
        <f t="shared" si="54"/>
        <v>7.5</v>
      </c>
    </row>
    <row r="668" spans="1:16" x14ac:dyDescent="0.25">
      <c r="A668" s="9">
        <v>15003</v>
      </c>
      <c r="B668" s="9" t="s">
        <v>712</v>
      </c>
      <c r="C668" s="9" t="s">
        <v>713</v>
      </c>
      <c r="D668" s="17">
        <f t="shared" si="53"/>
        <v>1</v>
      </c>
      <c r="E668" s="10">
        <f t="shared" si="50"/>
        <v>1</v>
      </c>
      <c r="F668" s="11">
        <v>1</v>
      </c>
      <c r="G668" s="9">
        <v>495706</v>
      </c>
      <c r="H668" s="13">
        <v>40204.544444444437</v>
      </c>
      <c r="I668" s="14">
        <v>4.25</v>
      </c>
      <c r="J668" s="23">
        <f t="shared" si="51"/>
        <v>4.25</v>
      </c>
      <c r="K668" s="12">
        <v>40204</v>
      </c>
      <c r="L668" s="24">
        <v>4.4444444444444446E-2</v>
      </c>
      <c r="M668" t="s">
        <v>1013</v>
      </c>
      <c r="N668" s="15" t="str">
        <f t="shared" si="52"/>
        <v>1:04 PM</v>
      </c>
      <c r="O668" s="9" t="s">
        <v>9</v>
      </c>
      <c r="P668" s="20">
        <f t="shared" si="54"/>
        <v>4.25</v>
      </c>
    </row>
    <row r="669" spans="1:16" x14ac:dyDescent="0.25">
      <c r="A669" s="9">
        <v>14307</v>
      </c>
      <c r="B669" s="9">
        <v>22619</v>
      </c>
      <c r="C669" s="9" t="s">
        <v>714</v>
      </c>
      <c r="D669" s="17">
        <f t="shared" si="53"/>
        <v>4</v>
      </c>
      <c r="E669" s="10">
        <f t="shared" si="50"/>
        <v>4</v>
      </c>
      <c r="F669" s="11">
        <v>4</v>
      </c>
      <c r="G669" s="9">
        <v>536408</v>
      </c>
      <c r="H669" s="13">
        <v>40513.486805555563</v>
      </c>
      <c r="I669" s="14">
        <v>3.75</v>
      </c>
      <c r="J669" s="23">
        <f t="shared" si="51"/>
        <v>3.75</v>
      </c>
      <c r="K669" s="12">
        <v>40513</v>
      </c>
      <c r="L669" s="24">
        <v>0.48680555555555555</v>
      </c>
      <c r="M669" t="s">
        <v>1014</v>
      </c>
      <c r="N669" s="15" t="str">
        <f t="shared" si="52"/>
        <v>11:41 AM</v>
      </c>
      <c r="O669" s="9" t="s">
        <v>9</v>
      </c>
      <c r="P669" s="20">
        <f t="shared" si="54"/>
        <v>15</v>
      </c>
    </row>
    <row r="670" spans="1:16" x14ac:dyDescent="0.25">
      <c r="A670" s="9">
        <v>14410</v>
      </c>
      <c r="B670" s="9">
        <v>22988</v>
      </c>
      <c r="C670" s="9" t="s">
        <v>715</v>
      </c>
      <c r="D670" s="17">
        <f t="shared" si="53"/>
        <v>24</v>
      </c>
      <c r="E670" s="10">
        <f t="shared" si="50"/>
        <v>24</v>
      </c>
      <c r="F670" s="11">
        <v>24</v>
      </c>
      <c r="G670" s="9">
        <v>535803</v>
      </c>
      <c r="H670" s="13">
        <v>40510.622916666667</v>
      </c>
      <c r="I670" s="14">
        <v>1.25</v>
      </c>
      <c r="J670" s="23">
        <f t="shared" si="51"/>
        <v>1.25</v>
      </c>
      <c r="K670" s="12">
        <v>40510</v>
      </c>
      <c r="L670" s="24">
        <v>0.12291666666666666</v>
      </c>
      <c r="M670" t="s">
        <v>1013</v>
      </c>
      <c r="N670" s="15" t="str">
        <f t="shared" si="52"/>
        <v>2:57 PM</v>
      </c>
      <c r="O670" s="9" t="s">
        <v>9</v>
      </c>
      <c r="P670" s="20">
        <f t="shared" si="54"/>
        <v>30</v>
      </c>
    </row>
    <row r="671" spans="1:16" x14ac:dyDescent="0.25">
      <c r="A671" s="9">
        <v>13769</v>
      </c>
      <c r="B671" s="9">
        <v>22588</v>
      </c>
      <c r="C671" s="9" t="s">
        <v>273</v>
      </c>
      <c r="D671" s="17">
        <f t="shared" si="53"/>
        <v>6</v>
      </c>
      <c r="E671" s="10">
        <f t="shared" si="50"/>
        <v>6</v>
      </c>
      <c r="F671" s="11">
        <v>6</v>
      </c>
      <c r="G671" s="9">
        <v>521546</v>
      </c>
      <c r="H671" s="13">
        <v>40427.644444444442</v>
      </c>
      <c r="I671" s="14">
        <v>2.5499999999999998</v>
      </c>
      <c r="J671" s="23">
        <f t="shared" si="51"/>
        <v>2.5499999999999998</v>
      </c>
      <c r="K671" s="12">
        <v>40427</v>
      </c>
      <c r="L671" s="24">
        <v>0.14444444444444443</v>
      </c>
      <c r="M671" t="s">
        <v>1013</v>
      </c>
      <c r="N671" s="15" t="str">
        <f t="shared" si="52"/>
        <v>3:28 PM</v>
      </c>
      <c r="O671" s="9" t="s">
        <v>9</v>
      </c>
      <c r="P671" s="20">
        <f t="shared" si="54"/>
        <v>15.299999999999999</v>
      </c>
    </row>
    <row r="672" spans="1:16" x14ac:dyDescent="0.25">
      <c r="A672" s="9">
        <v>16843</v>
      </c>
      <c r="B672" s="9">
        <v>20914</v>
      </c>
      <c r="C672" s="9" t="s">
        <v>78</v>
      </c>
      <c r="D672" s="17">
        <f t="shared" si="53"/>
        <v>32</v>
      </c>
      <c r="E672" s="10">
        <f t="shared" si="50"/>
        <v>32</v>
      </c>
      <c r="F672" s="11">
        <v>32</v>
      </c>
      <c r="G672" s="9">
        <v>516788</v>
      </c>
      <c r="H672" s="13">
        <v>40382.416666666657</v>
      </c>
      <c r="I672" s="14">
        <v>2.5499999999999998</v>
      </c>
      <c r="J672" s="23">
        <f t="shared" si="51"/>
        <v>2.5499999999999998</v>
      </c>
      <c r="K672" s="12">
        <v>40382</v>
      </c>
      <c r="L672" s="24">
        <v>0.41666666666666669</v>
      </c>
      <c r="M672" t="s">
        <v>1014</v>
      </c>
      <c r="N672" s="15" t="str">
        <f t="shared" si="52"/>
        <v>10:00 AM</v>
      </c>
      <c r="O672" s="9" t="s">
        <v>9</v>
      </c>
      <c r="P672" s="20">
        <f t="shared" si="54"/>
        <v>81.599999999999994</v>
      </c>
    </row>
    <row r="673" spans="1:16" x14ac:dyDescent="0.25">
      <c r="A673" s="9">
        <v>17738</v>
      </c>
      <c r="B673" s="9">
        <v>22151</v>
      </c>
      <c r="C673" s="9" t="s">
        <v>227</v>
      </c>
      <c r="D673" s="17">
        <f t="shared" si="53"/>
        <v>24</v>
      </c>
      <c r="E673" s="10">
        <f t="shared" si="50"/>
        <v>24</v>
      </c>
      <c r="F673" s="11">
        <v>24</v>
      </c>
      <c r="G673" s="9">
        <v>501710</v>
      </c>
      <c r="H673" s="13">
        <v>40256.421527777777</v>
      </c>
      <c r="I673" s="14">
        <v>0.42</v>
      </c>
      <c r="J673" s="23">
        <f t="shared" si="51"/>
        <v>0.42</v>
      </c>
      <c r="K673" s="12">
        <v>40256</v>
      </c>
      <c r="L673" s="24">
        <v>0.42152777777777778</v>
      </c>
      <c r="M673" t="s">
        <v>1014</v>
      </c>
      <c r="N673" s="15" t="str">
        <f t="shared" si="52"/>
        <v>10:07 AM</v>
      </c>
      <c r="O673" s="9" t="s">
        <v>9</v>
      </c>
      <c r="P673" s="20">
        <f t="shared" si="54"/>
        <v>10.08</v>
      </c>
    </row>
    <row r="674" spans="1:16" x14ac:dyDescent="0.25">
      <c r="A674" s="9">
        <v>15998</v>
      </c>
      <c r="B674" s="9" t="s">
        <v>577</v>
      </c>
      <c r="C674" s="9" t="s">
        <v>578</v>
      </c>
      <c r="D674" s="17">
        <f t="shared" si="53"/>
        <v>12</v>
      </c>
      <c r="E674" s="10">
        <f t="shared" si="50"/>
        <v>12</v>
      </c>
      <c r="F674" s="11">
        <v>12</v>
      </c>
      <c r="G674" s="9">
        <v>494870</v>
      </c>
      <c r="H674" s="13">
        <v>40197.510416666657</v>
      </c>
      <c r="I674" s="14">
        <v>0.85</v>
      </c>
      <c r="J674" s="23">
        <f t="shared" si="51"/>
        <v>0.85</v>
      </c>
      <c r="K674" s="12">
        <v>40197</v>
      </c>
      <c r="L674" s="24">
        <v>0.51041666666666663</v>
      </c>
      <c r="M674" t="s">
        <v>1013</v>
      </c>
      <c r="N674" s="15" t="str">
        <f t="shared" si="52"/>
        <v>12:15 PM</v>
      </c>
      <c r="O674" s="9" t="s">
        <v>9</v>
      </c>
      <c r="P674" s="20">
        <f t="shared" si="54"/>
        <v>10.199999999999999</v>
      </c>
    </row>
    <row r="675" spans="1:16" x14ac:dyDescent="0.25">
      <c r="A675" s="9">
        <v>13093</v>
      </c>
      <c r="B675" s="9">
        <v>84692</v>
      </c>
      <c r="C675" s="9" t="s">
        <v>716</v>
      </c>
      <c r="D675" s="17">
        <f t="shared" si="53"/>
        <v>50</v>
      </c>
      <c r="E675" s="10">
        <f t="shared" si="50"/>
        <v>50</v>
      </c>
      <c r="F675" s="11">
        <v>50</v>
      </c>
      <c r="G675" s="9">
        <v>490156</v>
      </c>
      <c r="H675" s="13">
        <v>40151.438888888893</v>
      </c>
      <c r="I675" s="14">
        <v>0.42</v>
      </c>
      <c r="J675" s="23">
        <f t="shared" si="51"/>
        <v>0.42</v>
      </c>
      <c r="K675" s="12">
        <v>40151</v>
      </c>
      <c r="L675" s="24">
        <v>0.43888888888888888</v>
      </c>
      <c r="M675" t="s">
        <v>1014</v>
      </c>
      <c r="N675" s="15" t="str">
        <f t="shared" si="52"/>
        <v>10:32 AM</v>
      </c>
      <c r="O675" s="9" t="s">
        <v>9</v>
      </c>
      <c r="P675" s="20">
        <f t="shared" si="54"/>
        <v>21</v>
      </c>
    </row>
    <row r="676" spans="1:16" x14ac:dyDescent="0.25">
      <c r="A676" s="9">
        <v>15633</v>
      </c>
      <c r="B676" s="9">
        <v>21213</v>
      </c>
      <c r="C676" s="9" t="s">
        <v>243</v>
      </c>
      <c r="D676" s="17">
        <f t="shared" si="53"/>
        <v>24</v>
      </c>
      <c r="E676" s="10">
        <f t="shared" si="50"/>
        <v>24</v>
      </c>
      <c r="F676" s="11">
        <v>24</v>
      </c>
      <c r="G676" s="9">
        <v>494632</v>
      </c>
      <c r="H676" s="17" t="s">
        <v>717</v>
      </c>
      <c r="I676" s="14" t="s">
        <v>718</v>
      </c>
      <c r="J676" s="23">
        <f t="shared" si="51"/>
        <v>0.55000000000000004</v>
      </c>
      <c r="K676" s="12">
        <v>40193</v>
      </c>
      <c r="L676" s="25">
        <v>0.70347222222222228</v>
      </c>
      <c r="N676" s="15" t="str">
        <f t="shared" si="52"/>
        <v xml:space="preserve">16:53 </v>
      </c>
      <c r="O676" s="9" t="s">
        <v>9</v>
      </c>
      <c r="P676" s="20">
        <f t="shared" si="54"/>
        <v>13.200000000000001</v>
      </c>
    </row>
    <row r="677" spans="1:16" x14ac:dyDescent="0.25">
      <c r="A677" s="9">
        <v>16161</v>
      </c>
      <c r="B677" s="9" t="s">
        <v>719</v>
      </c>
      <c r="C677" s="9" t="s">
        <v>720</v>
      </c>
      <c r="D677" s="17">
        <f t="shared" si="53"/>
        <v>3</v>
      </c>
      <c r="E677" s="10">
        <f t="shared" si="50"/>
        <v>3</v>
      </c>
      <c r="F677" s="11">
        <v>3</v>
      </c>
      <c r="G677" s="9">
        <v>520196</v>
      </c>
      <c r="H677" s="13">
        <v>40414.624305555553</v>
      </c>
      <c r="I677" s="14">
        <v>3.75</v>
      </c>
      <c r="J677" s="23">
        <f t="shared" si="51"/>
        <v>3.75</v>
      </c>
      <c r="K677" s="12">
        <v>40414</v>
      </c>
      <c r="L677" s="24">
        <v>0.12430555555555556</v>
      </c>
      <c r="M677" t="s">
        <v>1013</v>
      </c>
      <c r="N677" s="15" t="str">
        <f t="shared" si="52"/>
        <v>2:59 PM</v>
      </c>
      <c r="O677" s="9" t="s">
        <v>9</v>
      </c>
      <c r="P677" s="20">
        <f t="shared" si="54"/>
        <v>11.25</v>
      </c>
    </row>
    <row r="678" spans="1:16" x14ac:dyDescent="0.25">
      <c r="A678" s="9">
        <v>17603</v>
      </c>
      <c r="B678" s="9">
        <v>21700</v>
      </c>
      <c r="C678" s="9" t="s">
        <v>721</v>
      </c>
      <c r="D678" s="17">
        <f t="shared" si="53"/>
        <v>12</v>
      </c>
      <c r="E678" s="10">
        <f t="shared" si="50"/>
        <v>12</v>
      </c>
      <c r="F678" s="11">
        <v>12</v>
      </c>
      <c r="G678" s="9">
        <v>496288</v>
      </c>
      <c r="H678" s="13">
        <v>40207.725694444453</v>
      </c>
      <c r="I678" s="14">
        <v>0.85</v>
      </c>
      <c r="J678" s="23">
        <f t="shared" si="51"/>
        <v>0.85</v>
      </c>
      <c r="K678" s="12">
        <v>40207</v>
      </c>
      <c r="L678" s="24">
        <v>0.22569444444444445</v>
      </c>
      <c r="M678" t="s">
        <v>1013</v>
      </c>
      <c r="N678" s="15" t="str">
        <f t="shared" si="52"/>
        <v>5:25 PM</v>
      </c>
      <c r="O678" s="9" t="s">
        <v>9</v>
      </c>
      <c r="P678" s="20">
        <f t="shared" si="54"/>
        <v>10.199999999999999</v>
      </c>
    </row>
    <row r="679" spans="1:16" x14ac:dyDescent="0.25">
      <c r="A679" s="9">
        <v>13110</v>
      </c>
      <c r="B679" s="9">
        <v>84674</v>
      </c>
      <c r="C679" s="9" t="s">
        <v>722</v>
      </c>
      <c r="D679" s="17">
        <f t="shared" si="53"/>
        <v>2</v>
      </c>
      <c r="E679" s="10">
        <f t="shared" si="50"/>
        <v>2</v>
      </c>
      <c r="F679" s="11">
        <v>2</v>
      </c>
      <c r="G679" s="9">
        <v>510546</v>
      </c>
      <c r="H679" s="13">
        <v>40330.65625</v>
      </c>
      <c r="I679" s="14">
        <v>2.95</v>
      </c>
      <c r="J679" s="23">
        <f t="shared" si="51"/>
        <v>2.95</v>
      </c>
      <c r="K679" s="12">
        <v>40330</v>
      </c>
      <c r="L679" s="24">
        <v>0.15625</v>
      </c>
      <c r="M679" t="s">
        <v>1013</v>
      </c>
      <c r="N679" s="15" t="str">
        <f t="shared" si="52"/>
        <v>3:45 PM</v>
      </c>
      <c r="O679" s="9" t="s">
        <v>9</v>
      </c>
      <c r="P679" s="20">
        <f t="shared" si="54"/>
        <v>5.9</v>
      </c>
    </row>
    <row r="680" spans="1:16" x14ac:dyDescent="0.25">
      <c r="A680" s="9">
        <v>17841</v>
      </c>
      <c r="B680" s="9" t="s">
        <v>395</v>
      </c>
      <c r="C680" s="9" t="s">
        <v>401</v>
      </c>
      <c r="D680" s="17">
        <f t="shared" si="53"/>
        <v>1</v>
      </c>
      <c r="E680" s="10">
        <f t="shared" si="50"/>
        <v>1</v>
      </c>
      <c r="F680" s="11">
        <v>1</v>
      </c>
      <c r="G680" s="9">
        <v>508483</v>
      </c>
      <c r="H680" s="13">
        <v>40314.535416666673</v>
      </c>
      <c r="I680" s="14">
        <v>3.75</v>
      </c>
      <c r="J680" s="23">
        <f t="shared" si="51"/>
        <v>3.75</v>
      </c>
      <c r="K680" s="12">
        <v>40314</v>
      </c>
      <c r="L680" s="24">
        <v>0.53541666666666665</v>
      </c>
      <c r="M680" t="s">
        <v>1013</v>
      </c>
      <c r="N680" s="15" t="str">
        <f t="shared" si="52"/>
        <v>12:51 PM</v>
      </c>
      <c r="O680" s="9" t="s">
        <v>9</v>
      </c>
      <c r="P680" s="20">
        <f t="shared" si="54"/>
        <v>3.75</v>
      </c>
    </row>
    <row r="681" spans="1:16" x14ac:dyDescent="0.25">
      <c r="A681" s="9">
        <v>13823</v>
      </c>
      <c r="B681" s="9">
        <v>82600</v>
      </c>
      <c r="C681" s="9" t="s">
        <v>268</v>
      </c>
      <c r="D681" s="17">
        <f t="shared" si="53"/>
        <v>12</v>
      </c>
      <c r="E681" s="10">
        <f t="shared" si="50"/>
        <v>12</v>
      </c>
      <c r="F681" s="11">
        <v>12</v>
      </c>
      <c r="G681" s="9">
        <v>496977</v>
      </c>
      <c r="H681" s="13">
        <v>40214.40902777778</v>
      </c>
      <c r="I681" s="14">
        <v>2.1</v>
      </c>
      <c r="J681" s="23">
        <f t="shared" si="51"/>
        <v>2.1</v>
      </c>
      <c r="K681" s="12">
        <v>40214</v>
      </c>
      <c r="L681" s="24">
        <v>0.40902777777777777</v>
      </c>
      <c r="M681" t="s">
        <v>1014</v>
      </c>
      <c r="N681" s="15" t="str">
        <f t="shared" si="52"/>
        <v>9:49 AM</v>
      </c>
      <c r="O681" s="9" t="s">
        <v>9</v>
      </c>
      <c r="P681" s="20">
        <f t="shared" si="54"/>
        <v>25.200000000000003</v>
      </c>
    </row>
    <row r="682" spans="1:16" x14ac:dyDescent="0.25">
      <c r="A682" s="9">
        <v>14606</v>
      </c>
      <c r="B682" s="9" t="s">
        <v>723</v>
      </c>
      <c r="C682" s="9" t="s">
        <v>724</v>
      </c>
      <c r="D682" s="17">
        <f t="shared" si="53"/>
        <v>1</v>
      </c>
      <c r="E682" s="10">
        <f t="shared" si="50"/>
        <v>1</v>
      </c>
      <c r="F682" s="11">
        <v>1</v>
      </c>
      <c r="G682" s="9">
        <v>509151</v>
      </c>
      <c r="H682" s="13">
        <v>40318.54583333333</v>
      </c>
      <c r="I682" s="14">
        <v>2.95</v>
      </c>
      <c r="J682" s="23">
        <f t="shared" si="51"/>
        <v>2.95</v>
      </c>
      <c r="K682" s="12">
        <v>40318</v>
      </c>
      <c r="L682" s="24">
        <v>4.583333333333333E-2</v>
      </c>
      <c r="M682" t="s">
        <v>1013</v>
      </c>
      <c r="N682" s="15" t="str">
        <f t="shared" si="52"/>
        <v>1:06 PM</v>
      </c>
      <c r="O682" s="9" t="s">
        <v>9</v>
      </c>
      <c r="P682" s="20">
        <f t="shared" si="54"/>
        <v>2.95</v>
      </c>
    </row>
    <row r="683" spans="1:16" x14ac:dyDescent="0.25">
      <c r="A683" s="9">
        <v>16458</v>
      </c>
      <c r="B683" s="9">
        <v>82581</v>
      </c>
      <c r="C683" s="9" t="s">
        <v>725</v>
      </c>
      <c r="D683" s="17">
        <f t="shared" si="53"/>
        <v>6</v>
      </c>
      <c r="E683" s="10">
        <f t="shared" si="50"/>
        <v>6</v>
      </c>
      <c r="F683" s="11">
        <v>6</v>
      </c>
      <c r="G683" s="9">
        <v>514630</v>
      </c>
      <c r="H683" s="13">
        <v>40364.523611111108</v>
      </c>
      <c r="I683" s="14">
        <v>0.55000000000000004</v>
      </c>
      <c r="J683" s="23">
        <f t="shared" si="51"/>
        <v>0.55000000000000004</v>
      </c>
      <c r="K683" s="12">
        <v>40364</v>
      </c>
      <c r="L683" s="24">
        <v>0.52361111111111114</v>
      </c>
      <c r="M683" t="s">
        <v>1013</v>
      </c>
      <c r="N683" s="15" t="str">
        <f t="shared" si="52"/>
        <v>12:34 PM</v>
      </c>
      <c r="O683" s="9" t="s">
        <v>9</v>
      </c>
      <c r="P683" s="20">
        <f t="shared" si="54"/>
        <v>3.3000000000000003</v>
      </c>
    </row>
    <row r="684" spans="1:16" x14ac:dyDescent="0.25">
      <c r="A684" s="9">
        <v>17582</v>
      </c>
      <c r="B684" s="9">
        <v>22061</v>
      </c>
      <c r="C684" s="9" t="s">
        <v>473</v>
      </c>
      <c r="D684" s="17">
        <f t="shared" si="53"/>
        <v>1</v>
      </c>
      <c r="E684" s="10">
        <f t="shared" si="50"/>
        <v>1</v>
      </c>
      <c r="F684" s="11">
        <v>1</v>
      </c>
      <c r="G684" s="9">
        <v>508484</v>
      </c>
      <c r="H684" s="13">
        <v>40314.537499999999</v>
      </c>
      <c r="I684" s="14">
        <v>9.9499999999999993</v>
      </c>
      <c r="J684" s="23">
        <f t="shared" si="51"/>
        <v>9.9499999999999993</v>
      </c>
      <c r="K684" s="12">
        <v>40314</v>
      </c>
      <c r="L684" s="24">
        <v>0.53749999999999998</v>
      </c>
      <c r="M684" t="s">
        <v>1013</v>
      </c>
      <c r="N684" s="15" t="str">
        <f t="shared" si="52"/>
        <v>12:54 PM</v>
      </c>
      <c r="O684" s="9" t="s">
        <v>9</v>
      </c>
      <c r="P684" s="20">
        <f t="shared" si="54"/>
        <v>9.9499999999999993</v>
      </c>
    </row>
    <row r="685" spans="1:16" x14ac:dyDescent="0.25">
      <c r="A685" s="9">
        <v>16774</v>
      </c>
      <c r="B685" s="9">
        <v>21410</v>
      </c>
      <c r="C685" s="9" t="s">
        <v>726</v>
      </c>
      <c r="D685" s="17">
        <f t="shared" si="53"/>
        <v>1</v>
      </c>
      <c r="E685" s="10">
        <f t="shared" si="50"/>
        <v>1</v>
      </c>
      <c r="F685" s="11">
        <v>1</v>
      </c>
      <c r="G685" s="9">
        <v>498132</v>
      </c>
      <c r="H685" s="13">
        <v>40225.703472222223</v>
      </c>
      <c r="I685" s="14">
        <v>4.25</v>
      </c>
      <c r="J685" s="23">
        <f t="shared" si="51"/>
        <v>4.25</v>
      </c>
      <c r="K685" s="12">
        <v>40225</v>
      </c>
      <c r="L685" s="24">
        <v>0.20347222222222222</v>
      </c>
      <c r="M685" t="s">
        <v>1013</v>
      </c>
      <c r="N685" s="15" t="str">
        <f t="shared" si="52"/>
        <v>4:53 PM</v>
      </c>
      <c r="O685" s="9" t="s">
        <v>9</v>
      </c>
      <c r="P685" s="20">
        <f t="shared" si="54"/>
        <v>4.25</v>
      </c>
    </row>
    <row r="686" spans="1:16" x14ac:dyDescent="0.25">
      <c r="A686" s="9">
        <v>14276</v>
      </c>
      <c r="B686" s="9">
        <v>21212</v>
      </c>
      <c r="C686" s="9" t="s">
        <v>497</v>
      </c>
      <c r="D686" s="17">
        <f t="shared" si="53"/>
        <v>24</v>
      </c>
      <c r="E686" s="10">
        <f t="shared" si="50"/>
        <v>24</v>
      </c>
      <c r="F686" s="11">
        <v>24</v>
      </c>
      <c r="G686" s="9">
        <v>529547</v>
      </c>
      <c r="H686" s="13">
        <v>40479.717361111107</v>
      </c>
      <c r="I686" s="14">
        <v>0.55000000000000004</v>
      </c>
      <c r="J686" s="23">
        <f t="shared" si="51"/>
        <v>0.55000000000000004</v>
      </c>
      <c r="K686" s="12">
        <v>40479</v>
      </c>
      <c r="L686" s="24">
        <v>0.21736111111111112</v>
      </c>
      <c r="M686" t="s">
        <v>1013</v>
      </c>
      <c r="N686" s="15" t="str">
        <f t="shared" si="52"/>
        <v>5:13 PM</v>
      </c>
      <c r="O686" s="9" t="s">
        <v>9</v>
      </c>
      <c r="P686" s="20">
        <f t="shared" si="54"/>
        <v>13.200000000000001</v>
      </c>
    </row>
    <row r="687" spans="1:16" x14ac:dyDescent="0.25">
      <c r="A687" s="9">
        <v>18101</v>
      </c>
      <c r="B687" s="9">
        <v>20655</v>
      </c>
      <c r="C687" s="9" t="s">
        <v>727</v>
      </c>
      <c r="D687" s="17">
        <f t="shared" si="53"/>
        <v>2</v>
      </c>
      <c r="E687" s="10">
        <f t="shared" si="50"/>
        <v>2</v>
      </c>
      <c r="F687" s="11">
        <v>2</v>
      </c>
      <c r="G687" s="9">
        <v>536235</v>
      </c>
      <c r="H687" s="13">
        <v>40512.597916666673</v>
      </c>
      <c r="I687" s="14" t="s">
        <v>42</v>
      </c>
      <c r="J687" s="23">
        <f t="shared" si="51"/>
        <v>1.25</v>
      </c>
      <c r="K687" s="12">
        <v>40512</v>
      </c>
      <c r="L687" s="24">
        <v>9.7916666666666666E-2</v>
      </c>
      <c r="M687" t="s">
        <v>1013</v>
      </c>
      <c r="N687" s="15" t="str">
        <f t="shared" si="52"/>
        <v>2:21 PM</v>
      </c>
      <c r="O687" s="9" t="s">
        <v>9</v>
      </c>
      <c r="P687" s="20">
        <f t="shared" si="54"/>
        <v>2.5</v>
      </c>
    </row>
    <row r="688" spans="1:16" x14ac:dyDescent="0.25">
      <c r="A688" s="9">
        <v>16919</v>
      </c>
      <c r="B688" s="9">
        <v>21486</v>
      </c>
      <c r="C688" s="9" t="s">
        <v>728</v>
      </c>
      <c r="D688" s="17">
        <f t="shared" si="53"/>
        <v>2</v>
      </c>
      <c r="E688" s="10">
        <f t="shared" si="50"/>
        <v>2</v>
      </c>
      <c r="F688" s="11">
        <v>2</v>
      </c>
      <c r="G688" s="9">
        <v>523065</v>
      </c>
      <c r="H688" s="13">
        <v>40441.503472222219</v>
      </c>
      <c r="I688" s="14">
        <v>3.75</v>
      </c>
      <c r="J688" s="23">
        <f t="shared" si="51"/>
        <v>3.75</v>
      </c>
      <c r="K688" s="12">
        <v>40441</v>
      </c>
      <c r="L688" s="24">
        <v>0.50347222222222221</v>
      </c>
      <c r="M688" t="s">
        <v>1013</v>
      </c>
      <c r="N688" s="15" t="str">
        <f t="shared" si="52"/>
        <v>12:05 PM</v>
      </c>
      <c r="O688" s="9" t="s">
        <v>9</v>
      </c>
      <c r="P688" s="20">
        <f t="shared" si="54"/>
        <v>7.5</v>
      </c>
    </row>
    <row r="689" spans="1:16" x14ac:dyDescent="0.25">
      <c r="A689" s="9">
        <v>16725</v>
      </c>
      <c r="B689" s="9" t="s">
        <v>729</v>
      </c>
      <c r="C689" s="9" t="s">
        <v>730</v>
      </c>
      <c r="D689" s="17">
        <f t="shared" si="53"/>
        <v>1</v>
      </c>
      <c r="E689" s="10">
        <f t="shared" si="50"/>
        <v>1</v>
      </c>
      <c r="F689" s="11">
        <v>1</v>
      </c>
      <c r="G689" s="9">
        <v>491717</v>
      </c>
      <c r="H689" s="13">
        <v>40160.662499999999</v>
      </c>
      <c r="I689" s="14">
        <v>1.25</v>
      </c>
      <c r="J689" s="23">
        <f t="shared" si="51"/>
        <v>1.25</v>
      </c>
      <c r="K689" s="12">
        <v>40160</v>
      </c>
      <c r="L689" s="24">
        <v>0.16250000000000001</v>
      </c>
      <c r="M689" t="s">
        <v>1013</v>
      </c>
      <c r="N689" s="15" t="str">
        <f t="shared" si="52"/>
        <v>3:54 PM</v>
      </c>
      <c r="O689" s="9" t="s">
        <v>9</v>
      </c>
      <c r="P689" s="20">
        <f t="shared" si="54"/>
        <v>1.25</v>
      </c>
    </row>
    <row r="690" spans="1:16" x14ac:dyDescent="0.25">
      <c r="A690" s="9">
        <v>14156</v>
      </c>
      <c r="B690" s="9">
        <v>21777</v>
      </c>
      <c r="C690" s="9" t="s">
        <v>14</v>
      </c>
      <c r="D690" s="17">
        <f t="shared" si="53"/>
        <v>48</v>
      </c>
      <c r="E690" s="10">
        <f t="shared" si="50"/>
        <v>48</v>
      </c>
      <c r="F690" s="11">
        <v>48</v>
      </c>
      <c r="G690" s="9">
        <v>512411</v>
      </c>
      <c r="H690" s="13">
        <v>40344.554861111108</v>
      </c>
      <c r="I690" s="14">
        <v>6.95</v>
      </c>
      <c r="J690" s="23">
        <f t="shared" si="51"/>
        <v>6.95</v>
      </c>
      <c r="K690" s="12">
        <v>40344</v>
      </c>
      <c r="L690" s="24">
        <v>5.486111111111111E-2</v>
      </c>
      <c r="M690" t="s">
        <v>1013</v>
      </c>
      <c r="N690" s="15" t="str">
        <f t="shared" si="52"/>
        <v>1:19 PM</v>
      </c>
      <c r="O690" s="9" t="s">
        <v>11</v>
      </c>
      <c r="P690" s="20">
        <f t="shared" si="54"/>
        <v>333.6</v>
      </c>
    </row>
    <row r="691" spans="1:16" x14ac:dyDescent="0.25">
      <c r="A691" s="9">
        <v>14667</v>
      </c>
      <c r="B691" s="9" t="s">
        <v>701</v>
      </c>
      <c r="C691" s="9" t="s">
        <v>702</v>
      </c>
      <c r="D691" s="17">
        <f t="shared" si="53"/>
        <v>11</v>
      </c>
      <c r="E691" s="10">
        <f t="shared" si="50"/>
        <v>11</v>
      </c>
      <c r="F691" s="11">
        <v>11</v>
      </c>
      <c r="G691" s="9">
        <v>526889</v>
      </c>
      <c r="H691" s="13">
        <v>40464.61041666667</v>
      </c>
      <c r="I691" s="14">
        <v>1.25</v>
      </c>
      <c r="J691" s="23">
        <f t="shared" si="51"/>
        <v>1.25</v>
      </c>
      <c r="K691" s="12">
        <v>40464</v>
      </c>
      <c r="L691" s="24">
        <v>0.11041666666666666</v>
      </c>
      <c r="M691" t="s">
        <v>1013</v>
      </c>
      <c r="N691" s="15" t="str">
        <f t="shared" si="52"/>
        <v>2:39 PM</v>
      </c>
      <c r="O691" s="9" t="s">
        <v>9</v>
      </c>
      <c r="P691" s="20">
        <f t="shared" si="54"/>
        <v>13.75</v>
      </c>
    </row>
    <row r="692" spans="1:16" x14ac:dyDescent="0.25">
      <c r="A692" s="9">
        <v>14688</v>
      </c>
      <c r="B692" s="9">
        <v>21989</v>
      </c>
      <c r="C692" s="9" t="s">
        <v>731</v>
      </c>
      <c r="D692" s="17">
        <f t="shared" si="53"/>
        <v>3</v>
      </c>
      <c r="E692" s="10">
        <f t="shared" si="50"/>
        <v>3</v>
      </c>
      <c r="F692" s="11">
        <v>3</v>
      </c>
      <c r="G692" s="9">
        <v>521901</v>
      </c>
      <c r="H692" s="13">
        <v>40430.525694444441</v>
      </c>
      <c r="I692" s="14">
        <v>0.85</v>
      </c>
      <c r="J692" s="23">
        <f t="shared" si="51"/>
        <v>0.85</v>
      </c>
      <c r="K692" s="12">
        <v>40430</v>
      </c>
      <c r="L692" s="24">
        <v>0.52569444444444446</v>
      </c>
      <c r="M692" t="s">
        <v>1013</v>
      </c>
      <c r="N692" s="15" t="str">
        <f t="shared" si="52"/>
        <v>12:37 PM</v>
      </c>
      <c r="O692" s="9" t="s">
        <v>9</v>
      </c>
      <c r="P692" s="20">
        <f t="shared" si="54"/>
        <v>2.5499999999999998</v>
      </c>
    </row>
    <row r="693" spans="1:16" x14ac:dyDescent="0.25">
      <c r="A693" s="9">
        <v>17710</v>
      </c>
      <c r="B693" s="9">
        <v>22403</v>
      </c>
      <c r="C693" s="9" t="s">
        <v>732</v>
      </c>
      <c r="D693" s="17">
        <f t="shared" si="53"/>
        <v>12</v>
      </c>
      <c r="E693" s="10">
        <f t="shared" si="50"/>
        <v>12</v>
      </c>
      <c r="F693" s="11">
        <v>12</v>
      </c>
      <c r="G693" s="9">
        <v>526484</v>
      </c>
      <c r="H693" s="13">
        <v>40463.325694444437</v>
      </c>
      <c r="I693" s="14">
        <v>1.25</v>
      </c>
      <c r="J693" s="23">
        <f t="shared" si="51"/>
        <v>1.25</v>
      </c>
      <c r="K693" s="12">
        <v>40463</v>
      </c>
      <c r="L693" s="24">
        <v>0.32569444444444445</v>
      </c>
      <c r="M693" t="s">
        <v>1014</v>
      </c>
      <c r="N693" s="15" t="str">
        <f t="shared" si="52"/>
        <v>7:49 AM</v>
      </c>
      <c r="O693" s="9" t="s">
        <v>9</v>
      </c>
      <c r="P693" s="20">
        <f t="shared" si="54"/>
        <v>15</v>
      </c>
    </row>
    <row r="694" spans="1:16" x14ac:dyDescent="0.25">
      <c r="A694" s="9">
        <v>15039</v>
      </c>
      <c r="B694" s="9">
        <v>22411</v>
      </c>
      <c r="C694" s="9" t="s">
        <v>206</v>
      </c>
      <c r="D694" s="17">
        <f t="shared" si="53"/>
        <v>10</v>
      </c>
      <c r="E694" s="10">
        <f t="shared" si="50"/>
        <v>10</v>
      </c>
      <c r="F694" s="11">
        <v>10</v>
      </c>
      <c r="G694" s="9">
        <v>514563</v>
      </c>
      <c r="H694" s="13">
        <v>40364.491666666669</v>
      </c>
      <c r="I694" s="14">
        <v>1.95</v>
      </c>
      <c r="J694" s="23">
        <f t="shared" si="51"/>
        <v>1.95</v>
      </c>
      <c r="K694" s="12">
        <v>40364</v>
      </c>
      <c r="L694" s="24">
        <v>0.49166666666666664</v>
      </c>
      <c r="M694" t="s">
        <v>1014</v>
      </c>
      <c r="N694" s="15" t="str">
        <f t="shared" si="52"/>
        <v>11:48 AM</v>
      </c>
      <c r="O694" s="9" t="s">
        <v>9</v>
      </c>
      <c r="P694" s="20">
        <f t="shared" si="54"/>
        <v>19.5</v>
      </c>
    </row>
    <row r="695" spans="1:16" x14ac:dyDescent="0.25">
      <c r="A695" s="9">
        <v>17264</v>
      </c>
      <c r="B695" s="9">
        <v>21669</v>
      </c>
      <c r="C695" s="9" t="s">
        <v>733</v>
      </c>
      <c r="D695" s="17">
        <f t="shared" si="53"/>
        <v>1</v>
      </c>
      <c r="E695" s="10">
        <f t="shared" si="50"/>
        <v>1</v>
      </c>
      <c r="F695" s="11">
        <v>1</v>
      </c>
      <c r="G695" s="9">
        <v>526388</v>
      </c>
      <c r="H695" s="13">
        <v>40462.536111111112</v>
      </c>
      <c r="I695" s="14">
        <v>1.25</v>
      </c>
      <c r="J695" s="23">
        <f t="shared" si="51"/>
        <v>1.25</v>
      </c>
      <c r="K695" s="12">
        <v>40462</v>
      </c>
      <c r="L695" s="24">
        <v>0.53611111111111109</v>
      </c>
      <c r="M695" t="s">
        <v>1013</v>
      </c>
      <c r="N695" s="15" t="str">
        <f t="shared" si="52"/>
        <v>12:52 PM</v>
      </c>
      <c r="O695" s="9" t="s">
        <v>9</v>
      </c>
      <c r="P695" s="20">
        <f t="shared" si="54"/>
        <v>1.25</v>
      </c>
    </row>
    <row r="696" spans="1:16" x14ac:dyDescent="0.25">
      <c r="A696" s="9">
        <v>15998</v>
      </c>
      <c r="B696" s="9">
        <v>21843</v>
      </c>
      <c r="C696" s="9" t="s">
        <v>734</v>
      </c>
      <c r="D696" s="17">
        <f t="shared" si="53"/>
        <v>2</v>
      </c>
      <c r="E696" s="10">
        <f t="shared" si="50"/>
        <v>2</v>
      </c>
      <c r="F696" s="11">
        <v>2</v>
      </c>
      <c r="G696" s="9">
        <v>513615</v>
      </c>
      <c r="H696" s="13">
        <v>40356.517361111109</v>
      </c>
      <c r="I696" s="14">
        <v>10.95</v>
      </c>
      <c r="J696" s="23">
        <f t="shared" si="51"/>
        <v>10.95</v>
      </c>
      <c r="K696" s="12">
        <v>40356</v>
      </c>
      <c r="L696" s="24">
        <v>0.51736111111111116</v>
      </c>
      <c r="M696" t="s">
        <v>1013</v>
      </c>
      <c r="N696" s="15" t="str">
        <f t="shared" si="52"/>
        <v>12:25 PM</v>
      </c>
      <c r="O696" s="9" t="s">
        <v>9</v>
      </c>
      <c r="P696" s="20">
        <f t="shared" si="54"/>
        <v>21.9</v>
      </c>
    </row>
    <row r="697" spans="1:16" x14ac:dyDescent="0.25">
      <c r="A697" s="9">
        <v>16032</v>
      </c>
      <c r="B697" s="9">
        <v>21982</v>
      </c>
      <c r="C697" s="9" t="s">
        <v>735</v>
      </c>
      <c r="D697" s="17">
        <f t="shared" si="53"/>
        <v>12</v>
      </c>
      <c r="E697" s="10">
        <f t="shared" si="50"/>
        <v>12</v>
      </c>
      <c r="F697" s="11">
        <v>12</v>
      </c>
      <c r="G697" s="9">
        <v>514511</v>
      </c>
      <c r="H697" s="13">
        <v>40363.563194444447</v>
      </c>
      <c r="I697" s="14">
        <v>0.28999999999999998</v>
      </c>
      <c r="J697" s="23">
        <f t="shared" si="51"/>
        <v>0.28999999999999998</v>
      </c>
      <c r="K697" s="12">
        <v>40363</v>
      </c>
      <c r="L697" s="24">
        <v>6.3194444444444442E-2</v>
      </c>
      <c r="M697" t="s">
        <v>1013</v>
      </c>
      <c r="N697" s="15" t="str">
        <f t="shared" si="52"/>
        <v>1:31 PM</v>
      </c>
      <c r="O697" s="9" t="s">
        <v>9</v>
      </c>
      <c r="P697" s="20">
        <f t="shared" si="54"/>
        <v>3.4799999999999995</v>
      </c>
    </row>
    <row r="698" spans="1:16" x14ac:dyDescent="0.25">
      <c r="A698" s="9">
        <v>16940</v>
      </c>
      <c r="B698" s="9">
        <v>22318</v>
      </c>
      <c r="C698" s="9" t="s">
        <v>10</v>
      </c>
      <c r="D698" s="17">
        <f t="shared" si="53"/>
        <v>4</v>
      </c>
      <c r="E698" s="10">
        <f t="shared" si="50"/>
        <v>4</v>
      </c>
      <c r="F698" s="11">
        <v>4</v>
      </c>
      <c r="G698" s="9">
        <v>498095</v>
      </c>
      <c r="H698" s="13">
        <v>40225.534722222219</v>
      </c>
      <c r="I698" s="14">
        <v>2.95</v>
      </c>
      <c r="J698" s="23">
        <f t="shared" si="51"/>
        <v>2.95</v>
      </c>
      <c r="K698" s="12">
        <v>40225</v>
      </c>
      <c r="L698" s="24">
        <v>0.53472222222222221</v>
      </c>
      <c r="M698" t="s">
        <v>1013</v>
      </c>
      <c r="N698" s="15" t="str">
        <f t="shared" si="52"/>
        <v>12:50 PM</v>
      </c>
      <c r="O698" s="9" t="s">
        <v>9</v>
      </c>
      <c r="P698" s="20">
        <f t="shared" si="54"/>
        <v>11.8</v>
      </c>
    </row>
    <row r="699" spans="1:16" x14ac:dyDescent="0.25">
      <c r="A699" s="9">
        <v>15109</v>
      </c>
      <c r="B699" s="9">
        <v>72741</v>
      </c>
      <c r="C699" s="9" t="s">
        <v>397</v>
      </c>
      <c r="D699" s="17">
        <f t="shared" si="53"/>
        <v>18</v>
      </c>
      <c r="E699" s="10">
        <f t="shared" si="50"/>
        <v>18</v>
      </c>
      <c r="F699" s="11">
        <v>18</v>
      </c>
      <c r="G699" s="9">
        <v>507405</v>
      </c>
      <c r="H699" s="13">
        <v>40307.572222222218</v>
      </c>
      <c r="I699" s="14">
        <v>1.45</v>
      </c>
      <c r="J699" s="23">
        <f t="shared" si="51"/>
        <v>1.45</v>
      </c>
      <c r="K699" s="12">
        <v>40307</v>
      </c>
      <c r="L699" s="24">
        <v>7.2222222222222215E-2</v>
      </c>
      <c r="M699" t="s">
        <v>1013</v>
      </c>
      <c r="N699" s="15" t="str">
        <f t="shared" si="52"/>
        <v>1:44 PM</v>
      </c>
      <c r="O699" s="9" t="s">
        <v>9</v>
      </c>
      <c r="P699" s="20">
        <f t="shared" si="54"/>
        <v>26.099999999999998</v>
      </c>
    </row>
    <row r="700" spans="1:16" x14ac:dyDescent="0.25">
      <c r="A700" s="9">
        <v>15555</v>
      </c>
      <c r="B700" s="9">
        <v>21034</v>
      </c>
      <c r="C700" s="9" t="s">
        <v>414</v>
      </c>
      <c r="D700" s="17">
        <f t="shared" si="53"/>
        <v>1</v>
      </c>
      <c r="E700" s="10">
        <f t="shared" si="50"/>
        <v>1</v>
      </c>
      <c r="F700" s="11">
        <v>1</v>
      </c>
      <c r="G700" s="9">
        <v>512949</v>
      </c>
      <c r="H700" s="13">
        <v>40349.67083333333</v>
      </c>
      <c r="I700" s="14">
        <v>0.95</v>
      </c>
      <c r="J700" s="23">
        <f t="shared" si="51"/>
        <v>0.95</v>
      </c>
      <c r="K700" s="12">
        <v>40349</v>
      </c>
      <c r="L700" s="24">
        <v>0.17083333333333334</v>
      </c>
      <c r="M700" t="s">
        <v>1013</v>
      </c>
      <c r="N700" s="15" t="str">
        <f t="shared" si="52"/>
        <v>4:06 PM</v>
      </c>
      <c r="O700" s="9" t="s">
        <v>9</v>
      </c>
      <c r="P700" s="20">
        <f t="shared" si="54"/>
        <v>0.95</v>
      </c>
    </row>
    <row r="701" spans="1:16" x14ac:dyDescent="0.25">
      <c r="A701" s="9">
        <v>17188</v>
      </c>
      <c r="B701" s="9">
        <v>85060</v>
      </c>
      <c r="C701" s="9" t="s">
        <v>736</v>
      </c>
      <c r="D701" s="17">
        <f t="shared" si="53"/>
        <v>24</v>
      </c>
      <c r="E701" s="10">
        <f t="shared" si="50"/>
        <v>24</v>
      </c>
      <c r="F701" s="11">
        <v>24</v>
      </c>
      <c r="G701" s="9">
        <v>506873</v>
      </c>
      <c r="H701" s="13">
        <v>40302.679166666669</v>
      </c>
      <c r="I701" s="14">
        <v>1.25</v>
      </c>
      <c r="J701" s="23">
        <f t="shared" si="51"/>
        <v>1.25</v>
      </c>
      <c r="K701" s="12">
        <v>40302</v>
      </c>
      <c r="L701" s="24">
        <v>0.17916666666666667</v>
      </c>
      <c r="M701" t="s">
        <v>1013</v>
      </c>
      <c r="N701" s="15" t="str">
        <f t="shared" si="52"/>
        <v>4:18 PM</v>
      </c>
      <c r="O701" s="9" t="s">
        <v>9</v>
      </c>
      <c r="P701" s="20">
        <f t="shared" si="54"/>
        <v>30</v>
      </c>
    </row>
    <row r="702" spans="1:16" x14ac:dyDescent="0.25">
      <c r="A702" s="9">
        <v>16600</v>
      </c>
      <c r="B702" s="9">
        <v>22149</v>
      </c>
      <c r="C702" s="9" t="s">
        <v>450</v>
      </c>
      <c r="D702" s="17">
        <f t="shared" si="53"/>
        <v>6</v>
      </c>
      <c r="E702" s="10">
        <f t="shared" si="50"/>
        <v>6</v>
      </c>
      <c r="F702" s="11">
        <v>6</v>
      </c>
      <c r="G702" s="9">
        <v>536214</v>
      </c>
      <c r="H702" s="13">
        <v>40512.56527777778</v>
      </c>
      <c r="I702" s="14">
        <v>2.1</v>
      </c>
      <c r="J702" s="23">
        <f t="shared" si="51"/>
        <v>2.1</v>
      </c>
      <c r="K702" s="12">
        <v>40512</v>
      </c>
      <c r="L702" s="24">
        <v>6.5277777777777782E-2</v>
      </c>
      <c r="M702" t="s">
        <v>1013</v>
      </c>
      <c r="N702" s="15" t="str">
        <f t="shared" si="52"/>
        <v>1:34 PM</v>
      </c>
      <c r="O702" s="9" t="s">
        <v>9</v>
      </c>
      <c r="P702" s="20">
        <f t="shared" si="54"/>
        <v>12.600000000000001</v>
      </c>
    </row>
    <row r="703" spans="1:16" x14ac:dyDescent="0.25">
      <c r="A703" s="9">
        <v>16554</v>
      </c>
      <c r="B703" s="9" t="s">
        <v>738</v>
      </c>
      <c r="C703" s="9" t="s">
        <v>739</v>
      </c>
      <c r="D703" s="17">
        <f t="shared" si="53"/>
        <v>1</v>
      </c>
      <c r="E703" s="10">
        <f t="shared" si="50"/>
        <v>-1</v>
      </c>
      <c r="F703" s="11">
        <v>-1</v>
      </c>
      <c r="G703" s="9">
        <v>504182</v>
      </c>
      <c r="H703" s="13">
        <v>40280.374305555553</v>
      </c>
      <c r="I703" s="14">
        <v>4.25</v>
      </c>
      <c r="J703" s="23">
        <f t="shared" si="51"/>
        <v>4.25</v>
      </c>
      <c r="K703" s="12">
        <v>40280</v>
      </c>
      <c r="L703" s="24">
        <v>0.37430555555555556</v>
      </c>
      <c r="M703" t="s">
        <v>1014</v>
      </c>
      <c r="N703" s="15" t="str">
        <f t="shared" si="52"/>
        <v>8:59 AM</v>
      </c>
      <c r="O703" s="9" t="s">
        <v>9</v>
      </c>
      <c r="P703" s="20">
        <f t="shared" si="54"/>
        <v>4.25</v>
      </c>
    </row>
    <row r="704" spans="1:16" x14ac:dyDescent="0.25">
      <c r="A704" s="9">
        <v>13206</v>
      </c>
      <c r="B704" s="9" t="s">
        <v>740</v>
      </c>
      <c r="C704" s="9" t="s">
        <v>741</v>
      </c>
      <c r="D704" s="17">
        <f t="shared" si="53"/>
        <v>32</v>
      </c>
      <c r="E704" s="10">
        <f t="shared" si="50"/>
        <v>32</v>
      </c>
      <c r="F704" s="11">
        <v>32</v>
      </c>
      <c r="G704" s="9">
        <v>490685</v>
      </c>
      <c r="H704" s="13">
        <v>40154.574999999997</v>
      </c>
      <c r="I704" s="14">
        <v>1.95</v>
      </c>
      <c r="J704" s="23">
        <f t="shared" si="51"/>
        <v>1.95</v>
      </c>
      <c r="K704" s="12">
        <v>40154</v>
      </c>
      <c r="L704" s="24">
        <v>7.4999999999999997E-2</v>
      </c>
      <c r="M704" t="s">
        <v>1013</v>
      </c>
      <c r="N704" s="15" t="str">
        <f t="shared" si="52"/>
        <v>1:48 PM</v>
      </c>
      <c r="O704" s="9" t="s">
        <v>9</v>
      </c>
      <c r="P704" s="20">
        <f t="shared" si="54"/>
        <v>62.4</v>
      </c>
    </row>
    <row r="705" spans="1:16" x14ac:dyDescent="0.25">
      <c r="A705" s="9">
        <v>16713</v>
      </c>
      <c r="B705" s="9">
        <v>22697</v>
      </c>
      <c r="C705" s="9" t="s">
        <v>699</v>
      </c>
      <c r="D705" s="17">
        <f t="shared" si="53"/>
        <v>3</v>
      </c>
      <c r="E705" s="10">
        <f t="shared" si="50"/>
        <v>3</v>
      </c>
      <c r="F705" s="11">
        <v>3</v>
      </c>
      <c r="G705" s="9">
        <v>529323</v>
      </c>
      <c r="H705" s="17" t="s">
        <v>742</v>
      </c>
      <c r="I705" s="14">
        <v>2.95</v>
      </c>
      <c r="J705" s="23">
        <f t="shared" si="51"/>
        <v>2.95</v>
      </c>
      <c r="K705" t="s">
        <v>1016</v>
      </c>
      <c r="L705" s="25">
        <v>0.58680555555555558</v>
      </c>
      <c r="N705" s="15" t="str">
        <f t="shared" si="52"/>
        <v xml:space="preserve">14:05 </v>
      </c>
      <c r="O705" s="9" t="s">
        <v>9</v>
      </c>
      <c r="P705" s="20">
        <f t="shared" si="54"/>
        <v>8.8500000000000014</v>
      </c>
    </row>
    <row r="706" spans="1:16" x14ac:dyDescent="0.25">
      <c r="A706" s="9">
        <v>13564</v>
      </c>
      <c r="B706" s="9" t="s">
        <v>743</v>
      </c>
      <c r="C706" s="9" t="s">
        <v>744</v>
      </c>
      <c r="D706" s="17">
        <f t="shared" si="53"/>
        <v>6</v>
      </c>
      <c r="E706" s="10">
        <f t="shared" ref="E706:E769" si="55">VALUE(F706)</f>
        <v>6</v>
      </c>
      <c r="F706" s="11">
        <v>6</v>
      </c>
      <c r="G706" s="9">
        <v>517712</v>
      </c>
      <c r="H706" s="13">
        <v>40391.470138888893</v>
      </c>
      <c r="I706" s="14">
        <v>4.95</v>
      </c>
      <c r="J706" s="23">
        <f t="shared" ref="J706:J769" si="56">VALUE(I706)</f>
        <v>4.95</v>
      </c>
      <c r="K706" s="12">
        <v>40391</v>
      </c>
      <c r="L706" s="24">
        <v>0.47013888888888888</v>
      </c>
      <c r="M706" t="s">
        <v>1014</v>
      </c>
      <c r="N706" s="15" t="str">
        <f t="shared" ref="N706:N769" si="57">TEXT(L706,"h:mm")&amp;" "&amp;M706</f>
        <v>11:17 AM</v>
      </c>
      <c r="O706" s="9" t="s">
        <v>9</v>
      </c>
      <c r="P706" s="20">
        <f t="shared" si="54"/>
        <v>29.700000000000003</v>
      </c>
    </row>
    <row r="707" spans="1:16" x14ac:dyDescent="0.25">
      <c r="A707" s="9">
        <v>12678</v>
      </c>
      <c r="B707" s="9">
        <v>22636</v>
      </c>
      <c r="C707" s="9" t="s">
        <v>745</v>
      </c>
      <c r="D707" s="17">
        <f t="shared" ref="D707:D770" si="58">ABS(E707)</f>
        <v>52</v>
      </c>
      <c r="E707" s="10">
        <f t="shared" si="55"/>
        <v>52</v>
      </c>
      <c r="F707" s="11">
        <v>52</v>
      </c>
      <c r="G707" s="9">
        <v>514809</v>
      </c>
      <c r="H707" s="13">
        <v>40365.488888888889</v>
      </c>
      <c r="I707" s="14">
        <v>7.65</v>
      </c>
      <c r="J707" s="23">
        <f t="shared" si="56"/>
        <v>7.65</v>
      </c>
      <c r="K707" s="12">
        <v>40365</v>
      </c>
      <c r="L707" s="24">
        <v>0.48888888888888887</v>
      </c>
      <c r="M707" t="s">
        <v>1014</v>
      </c>
      <c r="N707" s="15" t="str">
        <f t="shared" si="57"/>
        <v>11:44 AM</v>
      </c>
      <c r="O707" s="9" t="s">
        <v>28</v>
      </c>
      <c r="P707" s="20">
        <f t="shared" ref="P707:P770" si="59">PRODUCT(D707,(J707))</f>
        <v>397.8</v>
      </c>
    </row>
    <row r="708" spans="1:16" x14ac:dyDescent="0.25">
      <c r="A708" s="9">
        <v>12913</v>
      </c>
      <c r="B708" s="9">
        <v>22083</v>
      </c>
      <c r="C708" s="9" t="s">
        <v>20</v>
      </c>
      <c r="D708" s="17">
        <f t="shared" si="58"/>
        <v>40</v>
      </c>
      <c r="E708" s="10">
        <f t="shared" si="55"/>
        <v>40</v>
      </c>
      <c r="F708" s="11">
        <v>40</v>
      </c>
      <c r="G708" s="9">
        <v>490705</v>
      </c>
      <c r="H708" s="13">
        <v>40154.62222222222</v>
      </c>
      <c r="I708" s="14">
        <v>2.5499999999999998</v>
      </c>
      <c r="J708" s="23">
        <f t="shared" si="56"/>
        <v>2.5499999999999998</v>
      </c>
      <c r="K708" s="12">
        <v>40154</v>
      </c>
      <c r="L708" s="24">
        <v>0.12222222222222222</v>
      </c>
      <c r="M708" t="s">
        <v>1013</v>
      </c>
      <c r="N708" s="15" t="str">
        <f t="shared" si="57"/>
        <v>2:56 PM</v>
      </c>
      <c r="O708" s="9" t="s">
        <v>9</v>
      </c>
      <c r="P708" s="20">
        <f t="shared" si="59"/>
        <v>102</v>
      </c>
    </row>
    <row r="709" spans="1:16" x14ac:dyDescent="0.25">
      <c r="A709" s="9">
        <v>17563</v>
      </c>
      <c r="B709" s="9">
        <v>84691</v>
      </c>
      <c r="C709" s="9" t="s">
        <v>746</v>
      </c>
      <c r="D709" s="17">
        <f t="shared" si="58"/>
        <v>12</v>
      </c>
      <c r="E709" s="10">
        <f t="shared" si="55"/>
        <v>12</v>
      </c>
      <c r="F709" s="11">
        <v>12</v>
      </c>
      <c r="G709" s="9">
        <v>503730</v>
      </c>
      <c r="H709" s="17" t="s">
        <v>747</v>
      </c>
      <c r="I709" s="14">
        <v>0.85</v>
      </c>
      <c r="J709" s="23">
        <f t="shared" si="56"/>
        <v>0.85</v>
      </c>
      <c r="K709" s="12">
        <v>40275</v>
      </c>
      <c r="L709" s="25">
        <v>0.41805555555555557</v>
      </c>
      <c r="N709" s="15" t="str">
        <f t="shared" si="57"/>
        <v xml:space="preserve">10:02 </v>
      </c>
      <c r="O709" s="9" t="s">
        <v>9</v>
      </c>
      <c r="P709" s="20">
        <f t="shared" si="59"/>
        <v>10.199999999999999</v>
      </c>
    </row>
    <row r="710" spans="1:16" x14ac:dyDescent="0.25">
      <c r="A710" s="9">
        <v>13295</v>
      </c>
      <c r="B710" s="9">
        <v>22969</v>
      </c>
      <c r="C710" s="9" t="s">
        <v>748</v>
      </c>
      <c r="D710" s="17">
        <f t="shared" si="58"/>
        <v>12</v>
      </c>
      <c r="E710" s="10">
        <f t="shared" si="55"/>
        <v>12</v>
      </c>
      <c r="F710" s="11">
        <v>12</v>
      </c>
      <c r="G710" s="9">
        <v>535787</v>
      </c>
      <c r="H710" s="13">
        <v>40510.593055555553</v>
      </c>
      <c r="I710" s="14">
        <v>1.45</v>
      </c>
      <c r="J710" s="23">
        <f t="shared" si="56"/>
        <v>1.45</v>
      </c>
      <c r="K710" s="12">
        <v>40510</v>
      </c>
      <c r="L710" s="24">
        <v>9.3055555555555558E-2</v>
      </c>
      <c r="M710" t="s">
        <v>1013</v>
      </c>
      <c r="N710" s="15" t="str">
        <f t="shared" si="57"/>
        <v>2:14 PM</v>
      </c>
      <c r="O710" s="9" t="s">
        <v>9</v>
      </c>
      <c r="P710" s="20">
        <f t="shared" si="59"/>
        <v>17.399999999999999</v>
      </c>
    </row>
    <row r="711" spans="1:16" x14ac:dyDescent="0.25">
      <c r="A711" s="9">
        <v>12793</v>
      </c>
      <c r="B711" s="9" t="s">
        <v>594</v>
      </c>
      <c r="C711" s="9" t="s">
        <v>595</v>
      </c>
      <c r="D711" s="17">
        <f t="shared" si="58"/>
        <v>10</v>
      </c>
      <c r="E711" s="10">
        <f t="shared" si="55"/>
        <v>10</v>
      </c>
      <c r="F711" s="11">
        <v>10</v>
      </c>
      <c r="G711" s="9">
        <v>530540</v>
      </c>
      <c r="H711" s="13">
        <v>40485.545138888891</v>
      </c>
      <c r="I711" s="14">
        <v>1.95</v>
      </c>
      <c r="J711" s="23">
        <f t="shared" si="56"/>
        <v>1.95</v>
      </c>
      <c r="K711" s="12">
        <v>40485</v>
      </c>
      <c r="L711" s="24">
        <v>4.5138888888888888E-2</v>
      </c>
      <c r="M711" t="s">
        <v>1013</v>
      </c>
      <c r="N711" s="15" t="str">
        <f t="shared" si="57"/>
        <v>1:05 PM</v>
      </c>
      <c r="O711" s="9" t="s">
        <v>245</v>
      </c>
      <c r="P711" s="20">
        <f t="shared" si="59"/>
        <v>19.5</v>
      </c>
    </row>
    <row r="712" spans="1:16" x14ac:dyDescent="0.25">
      <c r="A712" s="9">
        <v>17231</v>
      </c>
      <c r="B712" s="9">
        <v>22171</v>
      </c>
      <c r="C712" s="9" t="s">
        <v>749</v>
      </c>
      <c r="D712" s="17">
        <f t="shared" si="58"/>
        <v>1</v>
      </c>
      <c r="E712" s="10">
        <f t="shared" si="55"/>
        <v>1</v>
      </c>
      <c r="F712" s="11">
        <v>1</v>
      </c>
      <c r="G712" s="9">
        <v>505969</v>
      </c>
      <c r="H712" s="13">
        <v>40294.691666666673</v>
      </c>
      <c r="I712" s="14">
        <v>8.5</v>
      </c>
      <c r="J712" s="23">
        <f t="shared" si="56"/>
        <v>8.5</v>
      </c>
      <c r="K712" s="12">
        <v>40294</v>
      </c>
      <c r="L712" s="24">
        <v>0.19166666666666668</v>
      </c>
      <c r="M712" t="s">
        <v>1013</v>
      </c>
      <c r="N712" s="15" t="str">
        <f t="shared" si="57"/>
        <v>4:36 PM</v>
      </c>
      <c r="O712" s="9" t="s">
        <v>9</v>
      </c>
      <c r="P712" s="20">
        <f t="shared" si="59"/>
        <v>8.5</v>
      </c>
    </row>
    <row r="713" spans="1:16" x14ac:dyDescent="0.25">
      <c r="A713" s="9">
        <v>16487</v>
      </c>
      <c r="B713" s="9">
        <v>21175</v>
      </c>
      <c r="C713" s="9" t="s">
        <v>118</v>
      </c>
      <c r="D713" s="17">
        <f t="shared" si="58"/>
        <v>3</v>
      </c>
      <c r="E713" s="10">
        <f t="shared" si="55"/>
        <v>3</v>
      </c>
      <c r="F713" s="11">
        <v>3</v>
      </c>
      <c r="G713" s="9">
        <v>507840</v>
      </c>
      <c r="H713" s="13">
        <v>40309.568055555559</v>
      </c>
      <c r="I713" s="14">
        <v>2.1</v>
      </c>
      <c r="J713" s="23">
        <f t="shared" si="56"/>
        <v>2.1</v>
      </c>
      <c r="K713" s="12">
        <v>40309</v>
      </c>
      <c r="L713" s="24">
        <v>6.805555555555555E-2</v>
      </c>
      <c r="M713" t="s">
        <v>1013</v>
      </c>
      <c r="N713" s="15" t="str">
        <f t="shared" si="57"/>
        <v>1:38 PM</v>
      </c>
      <c r="O713" s="9" t="s">
        <v>9</v>
      </c>
      <c r="P713" s="20">
        <f t="shared" si="59"/>
        <v>6.3000000000000007</v>
      </c>
    </row>
    <row r="714" spans="1:16" x14ac:dyDescent="0.25">
      <c r="A714" s="9">
        <v>16675</v>
      </c>
      <c r="B714" s="9">
        <v>21770</v>
      </c>
      <c r="C714" s="9" t="s">
        <v>750</v>
      </c>
      <c r="D714" s="17">
        <f t="shared" si="58"/>
        <v>1</v>
      </c>
      <c r="E714" s="10">
        <f t="shared" si="55"/>
        <v>1</v>
      </c>
      <c r="F714" s="11">
        <v>1</v>
      </c>
      <c r="G714" s="9">
        <v>519580</v>
      </c>
      <c r="H714" s="13">
        <v>40408.549305555563</v>
      </c>
      <c r="I714" s="14">
        <v>4.95</v>
      </c>
      <c r="J714" s="23">
        <f t="shared" si="56"/>
        <v>4.95</v>
      </c>
      <c r="K714" s="12">
        <v>40408</v>
      </c>
      <c r="L714" s="24">
        <v>4.9305555555555554E-2</v>
      </c>
      <c r="M714" t="s">
        <v>1013</v>
      </c>
      <c r="N714" s="15" t="str">
        <f t="shared" si="57"/>
        <v>1:11 PM</v>
      </c>
      <c r="O714" s="9" t="s">
        <v>9</v>
      </c>
      <c r="P714" s="20">
        <f t="shared" si="59"/>
        <v>4.95</v>
      </c>
    </row>
    <row r="715" spans="1:16" x14ac:dyDescent="0.25">
      <c r="A715" s="9">
        <v>17841</v>
      </c>
      <c r="B715" s="9" t="s">
        <v>751</v>
      </c>
      <c r="C715" s="9" t="s">
        <v>752</v>
      </c>
      <c r="D715" s="17">
        <f t="shared" si="58"/>
        <v>1</v>
      </c>
      <c r="E715" s="10">
        <f t="shared" si="55"/>
        <v>1</v>
      </c>
      <c r="F715" s="11">
        <v>1</v>
      </c>
      <c r="G715" s="9">
        <v>519691</v>
      </c>
      <c r="H715" s="13">
        <v>40409.563888888893</v>
      </c>
      <c r="I715" s="14">
        <v>3.75</v>
      </c>
      <c r="J715" s="23">
        <f t="shared" si="56"/>
        <v>3.75</v>
      </c>
      <c r="K715" s="12">
        <v>40409</v>
      </c>
      <c r="L715" s="24">
        <v>6.3888888888888884E-2</v>
      </c>
      <c r="M715" t="s">
        <v>1013</v>
      </c>
      <c r="N715" s="15" t="str">
        <f t="shared" si="57"/>
        <v>1:32 PM</v>
      </c>
      <c r="O715" s="9" t="s">
        <v>9</v>
      </c>
      <c r="P715" s="20">
        <f t="shared" si="59"/>
        <v>3.75</v>
      </c>
    </row>
    <row r="716" spans="1:16" x14ac:dyDescent="0.25">
      <c r="A716" s="9">
        <v>17998</v>
      </c>
      <c r="B716" s="9">
        <v>22139</v>
      </c>
      <c r="C716" s="9" t="s">
        <v>135</v>
      </c>
      <c r="D716" s="17">
        <f t="shared" si="58"/>
        <v>1</v>
      </c>
      <c r="E716" s="10">
        <f t="shared" si="55"/>
        <v>1</v>
      </c>
      <c r="F716" s="11">
        <v>1</v>
      </c>
      <c r="G716" s="9">
        <v>489562</v>
      </c>
      <c r="H716" s="13">
        <v>40148.546527777777</v>
      </c>
      <c r="I716" s="14">
        <v>4.95</v>
      </c>
      <c r="J716" s="23">
        <f t="shared" si="56"/>
        <v>4.95</v>
      </c>
      <c r="K716" s="12">
        <v>40148</v>
      </c>
      <c r="L716" s="24">
        <v>4.6527777777777779E-2</v>
      </c>
      <c r="M716" t="s">
        <v>1013</v>
      </c>
      <c r="N716" s="15" t="str">
        <f t="shared" si="57"/>
        <v>1:07 PM</v>
      </c>
      <c r="O716" s="9" t="s">
        <v>9</v>
      </c>
      <c r="P716" s="20">
        <f t="shared" si="59"/>
        <v>4.95</v>
      </c>
    </row>
    <row r="717" spans="1:16" x14ac:dyDescent="0.25">
      <c r="A717" s="9">
        <v>13394</v>
      </c>
      <c r="B717" s="9">
        <v>22086</v>
      </c>
      <c r="C717" s="9" t="s">
        <v>753</v>
      </c>
      <c r="D717" s="17">
        <f t="shared" si="58"/>
        <v>6</v>
      </c>
      <c r="E717" s="10">
        <f t="shared" si="55"/>
        <v>6</v>
      </c>
      <c r="F717" s="11">
        <v>6</v>
      </c>
      <c r="G717" s="9">
        <v>524708</v>
      </c>
      <c r="H717" s="13">
        <v>40451.526388888888</v>
      </c>
      <c r="I717" s="14">
        <v>2.95</v>
      </c>
      <c r="J717" s="23">
        <f t="shared" si="56"/>
        <v>2.95</v>
      </c>
      <c r="K717" s="12">
        <v>40451</v>
      </c>
      <c r="L717" s="24">
        <v>0.52638888888888891</v>
      </c>
      <c r="M717" t="s">
        <v>1013</v>
      </c>
      <c r="N717" s="15" t="str">
        <f t="shared" si="57"/>
        <v>12:38 PM</v>
      </c>
      <c r="O717" s="9" t="s">
        <v>9</v>
      </c>
      <c r="P717" s="20">
        <f t="shared" si="59"/>
        <v>17.700000000000003</v>
      </c>
    </row>
    <row r="718" spans="1:16" x14ac:dyDescent="0.25">
      <c r="A718" s="9">
        <v>16004</v>
      </c>
      <c r="B718" s="9">
        <v>22356</v>
      </c>
      <c r="C718" s="9" t="s">
        <v>754</v>
      </c>
      <c r="D718" s="17">
        <f t="shared" si="58"/>
        <v>30</v>
      </c>
      <c r="E718" s="10">
        <f t="shared" si="55"/>
        <v>30</v>
      </c>
      <c r="F718" s="11">
        <v>30</v>
      </c>
      <c r="G718" s="9">
        <v>501542</v>
      </c>
      <c r="H718" s="13">
        <v>40254.602083333331</v>
      </c>
      <c r="I718" s="14">
        <v>0.85</v>
      </c>
      <c r="J718" s="23">
        <f t="shared" si="56"/>
        <v>0.85</v>
      </c>
      <c r="K718" s="12">
        <v>40254</v>
      </c>
      <c r="L718" s="24">
        <v>0.10208333333333333</v>
      </c>
      <c r="M718" t="s">
        <v>1013</v>
      </c>
      <c r="N718" s="15" t="str">
        <f t="shared" si="57"/>
        <v>2:27 PM</v>
      </c>
      <c r="O718" s="9" t="s">
        <v>9</v>
      </c>
      <c r="P718" s="20">
        <f t="shared" si="59"/>
        <v>25.5</v>
      </c>
    </row>
    <row r="719" spans="1:16" x14ac:dyDescent="0.25">
      <c r="A719" s="9">
        <v>12714</v>
      </c>
      <c r="B719" s="9">
        <v>21156</v>
      </c>
      <c r="C719" s="9" t="s">
        <v>88</v>
      </c>
      <c r="D719" s="17">
        <f t="shared" si="58"/>
        <v>16</v>
      </c>
      <c r="E719" s="10">
        <f t="shared" si="55"/>
        <v>16</v>
      </c>
      <c r="F719" s="11">
        <v>16</v>
      </c>
      <c r="G719" s="9">
        <v>506254</v>
      </c>
      <c r="H719" s="13">
        <v>40296.582638888889</v>
      </c>
      <c r="I719" s="14">
        <v>1.95</v>
      </c>
      <c r="J719" s="23">
        <f t="shared" si="56"/>
        <v>1.95</v>
      </c>
      <c r="K719" s="12">
        <v>40296</v>
      </c>
      <c r="L719" s="24">
        <v>8.2638888888888887E-2</v>
      </c>
      <c r="M719" t="s">
        <v>1013</v>
      </c>
      <c r="N719" s="15" t="str">
        <f t="shared" si="57"/>
        <v>1:59 PM</v>
      </c>
      <c r="O719" s="9" t="s">
        <v>28</v>
      </c>
      <c r="P719" s="20">
        <f t="shared" si="59"/>
        <v>31.2</v>
      </c>
    </row>
    <row r="720" spans="1:16" x14ac:dyDescent="0.25">
      <c r="A720" s="9">
        <v>15051</v>
      </c>
      <c r="B720" s="9">
        <v>21283</v>
      </c>
      <c r="C720" s="9" t="s">
        <v>755</v>
      </c>
      <c r="D720" s="17">
        <f t="shared" si="58"/>
        <v>4</v>
      </c>
      <c r="E720" s="10">
        <f t="shared" si="55"/>
        <v>4</v>
      </c>
      <c r="F720" s="11">
        <v>4</v>
      </c>
      <c r="G720" s="9">
        <v>498046</v>
      </c>
      <c r="H720" s="13">
        <v>40225.447222222218</v>
      </c>
      <c r="I720" s="14">
        <v>3.25</v>
      </c>
      <c r="J720" s="23">
        <f t="shared" si="56"/>
        <v>3.25</v>
      </c>
      <c r="K720" s="12">
        <v>40225</v>
      </c>
      <c r="L720" s="24">
        <v>0.44722222222222224</v>
      </c>
      <c r="M720" t="s">
        <v>1014</v>
      </c>
      <c r="N720" s="15" t="str">
        <f t="shared" si="57"/>
        <v>10:44 AM</v>
      </c>
      <c r="O720" s="9" t="s">
        <v>9</v>
      </c>
      <c r="P720" s="20">
        <f t="shared" si="59"/>
        <v>13</v>
      </c>
    </row>
    <row r="721" spans="1:16" x14ac:dyDescent="0.25">
      <c r="A721" s="9">
        <v>16938</v>
      </c>
      <c r="B721" s="9">
        <v>22666</v>
      </c>
      <c r="C721" s="9" t="s">
        <v>756</v>
      </c>
      <c r="D721" s="17">
        <f t="shared" si="58"/>
        <v>1</v>
      </c>
      <c r="E721" s="10">
        <f t="shared" si="55"/>
        <v>1</v>
      </c>
      <c r="F721" s="11">
        <v>1</v>
      </c>
      <c r="G721" s="9">
        <v>517977</v>
      </c>
      <c r="H721" s="13">
        <v>40393.599305555559</v>
      </c>
      <c r="I721" s="14">
        <v>2.95</v>
      </c>
      <c r="J721" s="23">
        <f t="shared" si="56"/>
        <v>2.95</v>
      </c>
      <c r="K721" s="12">
        <v>40393</v>
      </c>
      <c r="L721" s="24">
        <v>9.930555555555555E-2</v>
      </c>
      <c r="M721" t="s">
        <v>1013</v>
      </c>
      <c r="N721" s="15" t="str">
        <f t="shared" si="57"/>
        <v>2:23 PM</v>
      </c>
      <c r="O721" s="9" t="s">
        <v>9</v>
      </c>
      <c r="P721" s="20">
        <f t="shared" si="59"/>
        <v>2.95</v>
      </c>
    </row>
    <row r="722" spans="1:16" x14ac:dyDescent="0.25">
      <c r="A722" s="9">
        <v>12583</v>
      </c>
      <c r="B722" s="9">
        <v>21039</v>
      </c>
      <c r="C722" s="9" t="s">
        <v>757</v>
      </c>
      <c r="D722" s="17">
        <f t="shared" si="58"/>
        <v>6</v>
      </c>
      <c r="E722" s="10">
        <f t="shared" si="55"/>
        <v>6</v>
      </c>
      <c r="F722" s="11">
        <v>6</v>
      </c>
      <c r="G722" s="9">
        <v>532088</v>
      </c>
      <c r="H722" s="17" t="s">
        <v>758</v>
      </c>
      <c r="I722" s="14">
        <v>2.5499999999999998</v>
      </c>
      <c r="J722" s="23">
        <f t="shared" si="56"/>
        <v>2.5499999999999998</v>
      </c>
      <c r="K722" s="12">
        <v>40462</v>
      </c>
      <c r="L722" s="25">
        <v>0.64861111111111114</v>
      </c>
      <c r="N722" s="15" t="str">
        <f t="shared" si="57"/>
        <v xml:space="preserve">15:34 </v>
      </c>
      <c r="O722" s="9" t="s">
        <v>28</v>
      </c>
      <c r="P722" s="20">
        <f t="shared" si="59"/>
        <v>15.299999999999999</v>
      </c>
    </row>
    <row r="723" spans="1:16" x14ac:dyDescent="0.25">
      <c r="A723" s="9">
        <v>17544</v>
      </c>
      <c r="B723" s="9" t="s">
        <v>759</v>
      </c>
      <c r="C723" s="9" t="s">
        <v>760</v>
      </c>
      <c r="D723" s="17">
        <f t="shared" si="58"/>
        <v>4</v>
      </c>
      <c r="E723" s="10">
        <f t="shared" si="55"/>
        <v>4</v>
      </c>
      <c r="F723" s="11">
        <v>4</v>
      </c>
      <c r="G723" s="9">
        <v>532803</v>
      </c>
      <c r="H723" s="13">
        <v>40496.622916666667</v>
      </c>
      <c r="I723" s="14">
        <v>7.95</v>
      </c>
      <c r="J723" s="23">
        <f t="shared" si="56"/>
        <v>7.95</v>
      </c>
      <c r="K723" s="12">
        <v>40496</v>
      </c>
      <c r="L723" s="24">
        <v>0.12291666666666666</v>
      </c>
      <c r="M723" t="s">
        <v>1013</v>
      </c>
      <c r="N723" s="15" t="str">
        <f t="shared" si="57"/>
        <v>2:57 PM</v>
      </c>
      <c r="O723" s="9" t="s">
        <v>9</v>
      </c>
      <c r="P723" s="20">
        <f t="shared" si="59"/>
        <v>31.8</v>
      </c>
    </row>
    <row r="724" spans="1:16" x14ac:dyDescent="0.25">
      <c r="A724" s="9">
        <v>14415</v>
      </c>
      <c r="B724" s="9">
        <v>22098</v>
      </c>
      <c r="C724" s="9" t="s">
        <v>761</v>
      </c>
      <c r="D724" s="17">
        <f t="shared" si="58"/>
        <v>1</v>
      </c>
      <c r="E724" s="10">
        <f t="shared" si="55"/>
        <v>1</v>
      </c>
      <c r="F724" s="11">
        <v>1</v>
      </c>
      <c r="G724" s="9">
        <v>504890</v>
      </c>
      <c r="H724" s="13">
        <v>40286.578472222223</v>
      </c>
      <c r="I724" s="14">
        <v>1.25</v>
      </c>
      <c r="J724" s="23">
        <f t="shared" si="56"/>
        <v>1.25</v>
      </c>
      <c r="K724" s="12">
        <v>40286</v>
      </c>
      <c r="L724" s="24">
        <v>7.8472222222222221E-2</v>
      </c>
      <c r="M724" t="s">
        <v>1013</v>
      </c>
      <c r="N724" s="15" t="str">
        <f t="shared" si="57"/>
        <v>1:53 PM</v>
      </c>
      <c r="O724" s="9" t="s">
        <v>9</v>
      </c>
      <c r="P724" s="20">
        <f t="shared" si="59"/>
        <v>1.25</v>
      </c>
    </row>
    <row r="725" spans="1:16" x14ac:dyDescent="0.25">
      <c r="A725" s="9">
        <v>14572</v>
      </c>
      <c r="B725" s="9">
        <v>21181</v>
      </c>
      <c r="C725" s="9" t="s">
        <v>498</v>
      </c>
      <c r="D725" s="17">
        <f t="shared" si="58"/>
        <v>24</v>
      </c>
      <c r="E725" s="10">
        <f t="shared" si="55"/>
        <v>24</v>
      </c>
      <c r="F725" s="11">
        <v>24</v>
      </c>
      <c r="G725" s="9">
        <v>527759</v>
      </c>
      <c r="H725" s="13">
        <v>40469.71597222222</v>
      </c>
      <c r="I725" s="14">
        <v>2.1</v>
      </c>
      <c r="J725" s="23">
        <f t="shared" si="56"/>
        <v>2.1</v>
      </c>
      <c r="K725" s="12">
        <v>40469</v>
      </c>
      <c r="L725" s="24">
        <v>0.21597222222222223</v>
      </c>
      <c r="M725" t="s">
        <v>1013</v>
      </c>
      <c r="N725" s="15" t="str">
        <f t="shared" si="57"/>
        <v>5:11 PM</v>
      </c>
      <c r="O725" s="9" t="s">
        <v>9</v>
      </c>
      <c r="P725" s="20">
        <f t="shared" si="59"/>
        <v>50.400000000000006</v>
      </c>
    </row>
    <row r="726" spans="1:16" x14ac:dyDescent="0.25">
      <c r="A726" s="9">
        <v>12647</v>
      </c>
      <c r="B726" s="9">
        <v>22244</v>
      </c>
      <c r="C726" s="9" t="s">
        <v>762</v>
      </c>
      <c r="D726" s="17">
        <f t="shared" si="58"/>
        <v>12</v>
      </c>
      <c r="E726" s="10">
        <f t="shared" si="55"/>
        <v>12</v>
      </c>
      <c r="F726" s="11">
        <v>12</v>
      </c>
      <c r="G726" s="9">
        <v>537594</v>
      </c>
      <c r="H726" s="13">
        <v>40519.519444444442</v>
      </c>
      <c r="I726" s="14">
        <v>1.95</v>
      </c>
      <c r="J726" s="23">
        <f t="shared" si="56"/>
        <v>1.95</v>
      </c>
      <c r="K726" s="12">
        <v>40519</v>
      </c>
      <c r="L726" s="24">
        <v>0.51944444444444449</v>
      </c>
      <c r="M726" t="s">
        <v>1013</v>
      </c>
      <c r="N726" s="15" t="str">
        <f t="shared" si="57"/>
        <v>12:28 PM</v>
      </c>
      <c r="O726" s="9" t="s">
        <v>17</v>
      </c>
      <c r="P726" s="20">
        <f t="shared" si="59"/>
        <v>23.4</v>
      </c>
    </row>
    <row r="727" spans="1:16" x14ac:dyDescent="0.25">
      <c r="A727" s="9">
        <v>18231</v>
      </c>
      <c r="B727" s="9">
        <v>22719</v>
      </c>
      <c r="C727" s="9" t="s">
        <v>763</v>
      </c>
      <c r="D727" s="17">
        <f t="shared" si="58"/>
        <v>3</v>
      </c>
      <c r="E727" s="10">
        <f t="shared" si="55"/>
        <v>3</v>
      </c>
      <c r="F727" s="11">
        <v>3</v>
      </c>
      <c r="G727" s="9">
        <v>506957</v>
      </c>
      <c r="H727" s="13">
        <v>40303.495138888888</v>
      </c>
      <c r="I727" s="14">
        <v>1.25</v>
      </c>
      <c r="J727" s="23">
        <f t="shared" si="56"/>
        <v>1.25</v>
      </c>
      <c r="K727" s="12">
        <v>40303</v>
      </c>
      <c r="L727" s="24">
        <v>0.49513888888888891</v>
      </c>
      <c r="M727" t="s">
        <v>1014</v>
      </c>
      <c r="N727" s="15" t="str">
        <f t="shared" si="57"/>
        <v>11:53 AM</v>
      </c>
      <c r="O727" s="9" t="s">
        <v>9</v>
      </c>
      <c r="P727" s="20">
        <f t="shared" si="59"/>
        <v>3.75</v>
      </c>
    </row>
    <row r="728" spans="1:16" x14ac:dyDescent="0.25">
      <c r="A728" s="9">
        <v>14821</v>
      </c>
      <c r="B728" s="9">
        <v>22158</v>
      </c>
      <c r="C728" s="9" t="s">
        <v>764</v>
      </c>
      <c r="D728" s="17">
        <f t="shared" si="58"/>
        <v>3</v>
      </c>
      <c r="E728" s="10">
        <f t="shared" si="55"/>
        <v>3</v>
      </c>
      <c r="F728" s="11">
        <v>3</v>
      </c>
      <c r="G728" s="9">
        <v>531468</v>
      </c>
      <c r="H728" s="13">
        <v>40490.581944444442</v>
      </c>
      <c r="I728" s="14">
        <v>2.95</v>
      </c>
      <c r="J728" s="23">
        <f t="shared" si="56"/>
        <v>2.95</v>
      </c>
      <c r="K728" s="12">
        <v>40490</v>
      </c>
      <c r="L728" s="24">
        <v>8.1944444444444445E-2</v>
      </c>
      <c r="M728" t="s">
        <v>1013</v>
      </c>
      <c r="N728" s="15" t="str">
        <f t="shared" si="57"/>
        <v>1:58 PM</v>
      </c>
      <c r="O728" s="9" t="s">
        <v>9</v>
      </c>
      <c r="P728" s="20">
        <f t="shared" si="59"/>
        <v>8.8500000000000014</v>
      </c>
    </row>
    <row r="729" spans="1:16" x14ac:dyDescent="0.25">
      <c r="A729" s="9">
        <v>13527</v>
      </c>
      <c r="B729" s="9">
        <v>84879</v>
      </c>
      <c r="C729" s="9" t="s">
        <v>143</v>
      </c>
      <c r="D729" s="17">
        <f t="shared" si="58"/>
        <v>16</v>
      </c>
      <c r="E729" s="10">
        <f t="shared" si="55"/>
        <v>16</v>
      </c>
      <c r="F729" s="11">
        <v>16</v>
      </c>
      <c r="G729" s="9">
        <v>495369</v>
      </c>
      <c r="H729" s="13">
        <v>40202.521527777782</v>
      </c>
      <c r="I729" s="14">
        <v>1.69</v>
      </c>
      <c r="J729" s="23">
        <f t="shared" si="56"/>
        <v>1.69</v>
      </c>
      <c r="K729" s="12">
        <v>40202</v>
      </c>
      <c r="L729" s="24">
        <v>0.52152777777777781</v>
      </c>
      <c r="M729" t="s">
        <v>1013</v>
      </c>
      <c r="N729" s="15" t="str">
        <f t="shared" si="57"/>
        <v>12:31 PM</v>
      </c>
      <c r="O729" s="9" t="s">
        <v>9</v>
      </c>
      <c r="P729" s="20">
        <f t="shared" si="59"/>
        <v>27.04</v>
      </c>
    </row>
    <row r="730" spans="1:16" x14ac:dyDescent="0.25">
      <c r="A730" s="9">
        <v>14584</v>
      </c>
      <c r="B730" s="9">
        <v>72741</v>
      </c>
      <c r="C730" s="9" t="s">
        <v>397</v>
      </c>
      <c r="D730" s="17">
        <f t="shared" si="58"/>
        <v>9</v>
      </c>
      <c r="E730" s="10">
        <f t="shared" si="55"/>
        <v>9</v>
      </c>
      <c r="F730" s="11">
        <v>9</v>
      </c>
      <c r="G730" s="9">
        <v>498222</v>
      </c>
      <c r="H730" s="13">
        <v>40226.584027777782</v>
      </c>
      <c r="I730" s="14">
        <v>1.45</v>
      </c>
      <c r="J730" s="23">
        <f t="shared" si="56"/>
        <v>1.45</v>
      </c>
      <c r="K730" s="12">
        <v>40226</v>
      </c>
      <c r="L730" s="24">
        <v>8.4027777777777785E-2</v>
      </c>
      <c r="M730" t="s">
        <v>1013</v>
      </c>
      <c r="N730" s="15" t="str">
        <f t="shared" si="57"/>
        <v>2:01 PM</v>
      </c>
      <c r="O730" s="9" t="s">
        <v>9</v>
      </c>
      <c r="P730" s="20">
        <f t="shared" si="59"/>
        <v>13.049999999999999</v>
      </c>
    </row>
    <row r="731" spans="1:16" x14ac:dyDescent="0.25">
      <c r="A731" s="9">
        <v>17735</v>
      </c>
      <c r="B731" s="9">
        <v>21084</v>
      </c>
      <c r="C731" s="9" t="s">
        <v>765</v>
      </c>
      <c r="D731" s="17">
        <f t="shared" si="58"/>
        <v>12</v>
      </c>
      <c r="E731" s="10">
        <f t="shared" si="55"/>
        <v>12</v>
      </c>
      <c r="F731" s="11">
        <v>12</v>
      </c>
      <c r="G731" s="9">
        <v>523626</v>
      </c>
      <c r="H731" s="13">
        <v>40444.476388888892</v>
      </c>
      <c r="I731" s="14">
        <v>0.65</v>
      </c>
      <c r="J731" s="23">
        <f t="shared" si="56"/>
        <v>0.65</v>
      </c>
      <c r="K731" s="12">
        <v>40444</v>
      </c>
      <c r="L731" s="24">
        <v>0.47638888888888886</v>
      </c>
      <c r="M731" t="s">
        <v>1014</v>
      </c>
      <c r="N731" s="15" t="str">
        <f t="shared" si="57"/>
        <v>11:26 AM</v>
      </c>
      <c r="O731" s="9" t="s">
        <v>9</v>
      </c>
      <c r="P731" s="20">
        <f t="shared" si="59"/>
        <v>7.8000000000000007</v>
      </c>
    </row>
    <row r="732" spans="1:16" x14ac:dyDescent="0.25">
      <c r="A732" s="9">
        <v>16779</v>
      </c>
      <c r="B732" s="9" t="s">
        <v>277</v>
      </c>
      <c r="C732" s="9" t="s">
        <v>278</v>
      </c>
      <c r="D732" s="17">
        <f t="shared" si="58"/>
        <v>30</v>
      </c>
      <c r="E732" s="10">
        <f t="shared" si="55"/>
        <v>30</v>
      </c>
      <c r="F732" s="11">
        <v>30</v>
      </c>
      <c r="G732" s="9">
        <v>521159</v>
      </c>
      <c r="H732" s="13">
        <v>40423.581250000003</v>
      </c>
      <c r="I732" s="14">
        <v>1.95</v>
      </c>
      <c r="J732" s="23">
        <f t="shared" si="56"/>
        <v>1.95</v>
      </c>
      <c r="K732" s="12">
        <v>40423</v>
      </c>
      <c r="L732" s="24">
        <v>8.1250000000000003E-2</v>
      </c>
      <c r="M732" t="s">
        <v>1013</v>
      </c>
      <c r="N732" s="15" t="str">
        <f t="shared" si="57"/>
        <v>1:57 PM</v>
      </c>
      <c r="O732" s="9" t="s">
        <v>9</v>
      </c>
      <c r="P732" s="20">
        <f t="shared" si="59"/>
        <v>58.5</v>
      </c>
    </row>
    <row r="733" spans="1:16" x14ac:dyDescent="0.25">
      <c r="A733" s="9">
        <v>12766</v>
      </c>
      <c r="B733" s="9">
        <v>22355</v>
      </c>
      <c r="C733" s="9" t="s">
        <v>766</v>
      </c>
      <c r="D733" s="17">
        <f t="shared" si="58"/>
        <v>10</v>
      </c>
      <c r="E733" s="10">
        <f t="shared" si="55"/>
        <v>10</v>
      </c>
      <c r="F733" s="11">
        <v>10</v>
      </c>
      <c r="G733" s="9">
        <v>533143</v>
      </c>
      <c r="H733" s="13">
        <v>40498.561111111107</v>
      </c>
      <c r="I733" s="14">
        <v>0.85</v>
      </c>
      <c r="J733" s="23">
        <f t="shared" si="56"/>
        <v>0.85</v>
      </c>
      <c r="K733" s="12">
        <v>40498</v>
      </c>
      <c r="L733" s="24">
        <v>6.1111111111111109E-2</v>
      </c>
      <c r="M733" t="s">
        <v>1013</v>
      </c>
      <c r="N733" s="15" t="str">
        <f t="shared" si="57"/>
        <v>1:28 PM</v>
      </c>
      <c r="O733" s="9" t="s">
        <v>245</v>
      </c>
      <c r="P733" s="20">
        <f t="shared" si="59"/>
        <v>8.5</v>
      </c>
    </row>
    <row r="734" spans="1:16" x14ac:dyDescent="0.25">
      <c r="A734" s="9">
        <v>17871</v>
      </c>
      <c r="B734" s="9">
        <v>85141</v>
      </c>
      <c r="C734" s="9" t="s">
        <v>767</v>
      </c>
      <c r="D734" s="17">
        <f t="shared" si="58"/>
        <v>2</v>
      </c>
      <c r="E734" s="10">
        <f t="shared" si="55"/>
        <v>2</v>
      </c>
      <c r="F734" s="11">
        <v>2</v>
      </c>
      <c r="G734" s="9">
        <v>507664</v>
      </c>
      <c r="H734" s="13">
        <v>40308.710416666669</v>
      </c>
      <c r="I734" s="14">
        <v>10.75</v>
      </c>
      <c r="J734" s="23">
        <f t="shared" si="56"/>
        <v>10.75</v>
      </c>
      <c r="K734" s="12">
        <v>40308</v>
      </c>
      <c r="L734" s="24">
        <v>0.21041666666666667</v>
      </c>
      <c r="M734" t="s">
        <v>1013</v>
      </c>
      <c r="N734" s="15" t="str">
        <f t="shared" si="57"/>
        <v>5:03 PM</v>
      </c>
      <c r="O734" s="9" t="s">
        <v>9</v>
      </c>
      <c r="P734" s="20">
        <f t="shared" si="59"/>
        <v>21.5</v>
      </c>
    </row>
    <row r="735" spans="1:16" x14ac:dyDescent="0.25">
      <c r="A735" s="9">
        <v>15298</v>
      </c>
      <c r="B735" s="9">
        <v>21463</v>
      </c>
      <c r="C735" s="9" t="s">
        <v>600</v>
      </c>
      <c r="D735" s="17">
        <f t="shared" si="58"/>
        <v>2</v>
      </c>
      <c r="E735" s="10">
        <f t="shared" si="55"/>
        <v>2</v>
      </c>
      <c r="F735" s="11">
        <v>2</v>
      </c>
      <c r="G735" s="9">
        <v>518848</v>
      </c>
      <c r="H735" s="13">
        <v>40402.493055555547</v>
      </c>
      <c r="I735" s="14">
        <v>5.95</v>
      </c>
      <c r="J735" s="23">
        <f t="shared" si="56"/>
        <v>5.95</v>
      </c>
      <c r="K735" s="12">
        <v>40402</v>
      </c>
      <c r="L735" s="24">
        <v>0.49305555555555558</v>
      </c>
      <c r="M735" t="s">
        <v>1014</v>
      </c>
      <c r="N735" s="15" t="str">
        <f t="shared" si="57"/>
        <v>11:50 AM</v>
      </c>
      <c r="O735" s="9" t="s">
        <v>9</v>
      </c>
      <c r="P735" s="20">
        <f t="shared" si="59"/>
        <v>11.9</v>
      </c>
    </row>
    <row r="736" spans="1:16" x14ac:dyDescent="0.25">
      <c r="A736" s="9">
        <v>14060</v>
      </c>
      <c r="B736" s="9">
        <v>22430</v>
      </c>
      <c r="C736" s="9" t="s">
        <v>768</v>
      </c>
      <c r="D736" s="17">
        <f t="shared" si="58"/>
        <v>5</v>
      </c>
      <c r="E736" s="10">
        <f t="shared" si="55"/>
        <v>5</v>
      </c>
      <c r="F736" s="11">
        <v>5</v>
      </c>
      <c r="G736" s="9">
        <v>508468</v>
      </c>
      <c r="H736" s="13">
        <v>40314.448611111111</v>
      </c>
      <c r="I736" s="14">
        <v>4.95</v>
      </c>
      <c r="J736" s="23">
        <f t="shared" si="56"/>
        <v>4.95</v>
      </c>
      <c r="K736" s="12">
        <v>40314</v>
      </c>
      <c r="L736" s="24">
        <v>0.44861111111111113</v>
      </c>
      <c r="M736" t="s">
        <v>1014</v>
      </c>
      <c r="N736" s="15" t="str">
        <f t="shared" si="57"/>
        <v>10:46 AM</v>
      </c>
      <c r="O736" s="9" t="s">
        <v>9</v>
      </c>
      <c r="P736" s="20">
        <f t="shared" si="59"/>
        <v>24.75</v>
      </c>
    </row>
    <row r="737" spans="1:16" x14ac:dyDescent="0.25">
      <c r="A737" s="9">
        <v>14753</v>
      </c>
      <c r="B737" s="9">
        <v>20972</v>
      </c>
      <c r="C737" s="9" t="s">
        <v>512</v>
      </c>
      <c r="D737" s="17">
        <f t="shared" si="58"/>
        <v>12</v>
      </c>
      <c r="E737" s="10">
        <f t="shared" si="55"/>
        <v>12</v>
      </c>
      <c r="F737" s="11">
        <v>12</v>
      </c>
      <c r="G737" s="9">
        <v>521367</v>
      </c>
      <c r="H737" s="13">
        <v>40426.461111111108</v>
      </c>
      <c r="I737" s="14">
        <v>1.25</v>
      </c>
      <c r="J737" s="23">
        <f t="shared" si="56"/>
        <v>1.25</v>
      </c>
      <c r="K737" s="12">
        <v>40426</v>
      </c>
      <c r="L737" s="24">
        <v>0.46111111111111114</v>
      </c>
      <c r="M737" t="s">
        <v>1014</v>
      </c>
      <c r="N737" s="15" t="str">
        <f t="shared" si="57"/>
        <v>11:04 AM</v>
      </c>
      <c r="O737" s="9" t="s">
        <v>9</v>
      </c>
      <c r="P737" s="20">
        <f t="shared" si="59"/>
        <v>15</v>
      </c>
    </row>
    <row r="738" spans="1:16" x14ac:dyDescent="0.25">
      <c r="A738" s="9">
        <v>13316</v>
      </c>
      <c r="B738" s="9">
        <v>22806</v>
      </c>
      <c r="C738" s="9" t="s">
        <v>770</v>
      </c>
      <c r="D738" s="17">
        <f t="shared" si="58"/>
        <v>48</v>
      </c>
      <c r="E738" s="10">
        <f t="shared" si="55"/>
        <v>-48</v>
      </c>
      <c r="F738" s="11">
        <v>-48</v>
      </c>
      <c r="G738" s="9">
        <v>528587</v>
      </c>
      <c r="H738" s="13">
        <v>40473.585416666669</v>
      </c>
      <c r="I738" s="14">
        <v>2.5499999999999998</v>
      </c>
      <c r="J738" s="23">
        <f t="shared" si="56"/>
        <v>2.5499999999999998</v>
      </c>
      <c r="K738" s="12">
        <v>40473</v>
      </c>
      <c r="L738" s="24">
        <v>8.5416666666666669E-2</v>
      </c>
      <c r="M738" t="s">
        <v>1013</v>
      </c>
      <c r="N738" s="15" t="str">
        <f t="shared" si="57"/>
        <v>2:03 PM</v>
      </c>
      <c r="O738" s="9" t="s">
        <v>9</v>
      </c>
      <c r="P738" s="20">
        <f t="shared" si="59"/>
        <v>122.39999999999999</v>
      </c>
    </row>
    <row r="739" spans="1:16" x14ac:dyDescent="0.25">
      <c r="A739" s="9">
        <v>15898</v>
      </c>
      <c r="B739" s="9">
        <v>22149</v>
      </c>
      <c r="C739" s="9" t="s">
        <v>450</v>
      </c>
      <c r="D739" s="17">
        <f t="shared" si="58"/>
        <v>2</v>
      </c>
      <c r="E739" s="10">
        <f t="shared" si="55"/>
        <v>2</v>
      </c>
      <c r="F739" s="11">
        <v>2</v>
      </c>
      <c r="G739" s="9">
        <v>537254</v>
      </c>
      <c r="H739" s="13">
        <v>40518.459027777782</v>
      </c>
      <c r="I739" s="14">
        <v>2.1</v>
      </c>
      <c r="J739" s="23">
        <f t="shared" si="56"/>
        <v>2.1</v>
      </c>
      <c r="K739" s="12">
        <v>40518</v>
      </c>
      <c r="L739" s="24">
        <v>0.45902777777777776</v>
      </c>
      <c r="M739" t="s">
        <v>1014</v>
      </c>
      <c r="N739" s="15" t="str">
        <f t="shared" si="57"/>
        <v>11:01 AM</v>
      </c>
      <c r="O739" s="9" t="s">
        <v>9</v>
      </c>
      <c r="P739" s="20">
        <f t="shared" si="59"/>
        <v>4.2</v>
      </c>
    </row>
    <row r="740" spans="1:16" x14ac:dyDescent="0.25">
      <c r="A740" s="9">
        <v>14606</v>
      </c>
      <c r="B740" s="9" t="s">
        <v>21</v>
      </c>
      <c r="C740" s="9" t="s">
        <v>22</v>
      </c>
      <c r="D740" s="17">
        <f t="shared" si="58"/>
        <v>1</v>
      </c>
      <c r="E740" s="10">
        <f t="shared" si="55"/>
        <v>1</v>
      </c>
      <c r="F740" s="11">
        <v>1</v>
      </c>
      <c r="G740" s="9">
        <v>515335</v>
      </c>
      <c r="H740" s="13">
        <v>40370.59652777778</v>
      </c>
      <c r="I740" s="14">
        <v>5.95</v>
      </c>
      <c r="J740" s="23">
        <f t="shared" si="56"/>
        <v>5.95</v>
      </c>
      <c r="K740" s="12">
        <v>40370</v>
      </c>
      <c r="L740" s="24">
        <v>9.6527777777777782E-2</v>
      </c>
      <c r="M740" t="s">
        <v>1013</v>
      </c>
      <c r="N740" s="15" t="str">
        <f t="shared" si="57"/>
        <v>2:19 PM</v>
      </c>
      <c r="O740" s="9" t="s">
        <v>9</v>
      </c>
      <c r="P740" s="20">
        <f t="shared" si="59"/>
        <v>5.95</v>
      </c>
    </row>
    <row r="741" spans="1:16" x14ac:dyDescent="0.25">
      <c r="A741" s="9">
        <v>17625</v>
      </c>
      <c r="B741" s="9" t="s">
        <v>771</v>
      </c>
      <c r="C741" s="9" t="s">
        <v>772</v>
      </c>
      <c r="D741" s="17">
        <f t="shared" si="58"/>
        <v>4</v>
      </c>
      <c r="E741" s="10">
        <f t="shared" si="55"/>
        <v>4</v>
      </c>
      <c r="F741" s="11">
        <v>4</v>
      </c>
      <c r="G741" s="9">
        <v>512946</v>
      </c>
      <c r="H741" s="13">
        <v>40349.647222222222</v>
      </c>
      <c r="I741" s="14">
        <v>0.85</v>
      </c>
      <c r="J741" s="23">
        <f t="shared" si="56"/>
        <v>0.85</v>
      </c>
      <c r="K741" s="12">
        <v>40349</v>
      </c>
      <c r="L741" s="24">
        <v>0.14722222222222223</v>
      </c>
      <c r="M741" t="s">
        <v>1013</v>
      </c>
      <c r="N741" s="15" t="str">
        <f t="shared" si="57"/>
        <v>3:32 PM</v>
      </c>
      <c r="O741" s="9" t="s">
        <v>9</v>
      </c>
      <c r="P741" s="20">
        <f t="shared" si="59"/>
        <v>3.4</v>
      </c>
    </row>
    <row r="742" spans="1:16" x14ac:dyDescent="0.25">
      <c r="A742" s="9">
        <v>13243</v>
      </c>
      <c r="B742" s="9">
        <v>21894</v>
      </c>
      <c r="C742" s="9" t="s">
        <v>773</v>
      </c>
      <c r="D742" s="17">
        <f t="shared" si="58"/>
        <v>1</v>
      </c>
      <c r="E742" s="10">
        <f t="shared" si="55"/>
        <v>1</v>
      </c>
      <c r="F742" s="11">
        <v>1</v>
      </c>
      <c r="G742" s="9">
        <v>501657</v>
      </c>
      <c r="H742" s="13">
        <v>40255.548611111109</v>
      </c>
      <c r="I742" s="14">
        <v>1.25</v>
      </c>
      <c r="J742" s="23">
        <f t="shared" si="56"/>
        <v>1.25</v>
      </c>
      <c r="K742" s="12">
        <v>40255</v>
      </c>
      <c r="L742" s="24">
        <v>4.8611111111111112E-2</v>
      </c>
      <c r="M742" t="s">
        <v>1013</v>
      </c>
      <c r="N742" s="15" t="str">
        <f t="shared" si="57"/>
        <v>1:10 PM</v>
      </c>
      <c r="O742" s="9" t="s">
        <v>9</v>
      </c>
      <c r="P742" s="20">
        <f t="shared" si="59"/>
        <v>1.25</v>
      </c>
    </row>
    <row r="743" spans="1:16" x14ac:dyDescent="0.25">
      <c r="A743" s="9">
        <v>15039</v>
      </c>
      <c r="B743" s="9" t="s">
        <v>277</v>
      </c>
      <c r="C743" s="9" t="s">
        <v>278</v>
      </c>
      <c r="D743" s="17">
        <f t="shared" si="58"/>
        <v>10</v>
      </c>
      <c r="E743" s="10">
        <f t="shared" si="55"/>
        <v>10</v>
      </c>
      <c r="F743" s="11">
        <v>10</v>
      </c>
      <c r="G743" s="9">
        <v>535953</v>
      </c>
      <c r="H743" s="13">
        <v>40511.509027777778</v>
      </c>
      <c r="I743" s="14">
        <v>1.95</v>
      </c>
      <c r="J743" s="23">
        <f t="shared" si="56"/>
        <v>1.95</v>
      </c>
      <c r="K743" s="12">
        <v>40511</v>
      </c>
      <c r="L743" s="24">
        <v>0.50902777777777775</v>
      </c>
      <c r="M743" t="s">
        <v>1013</v>
      </c>
      <c r="N743" s="15" t="str">
        <f t="shared" si="57"/>
        <v>12:13 PM</v>
      </c>
      <c r="O743" s="9" t="s">
        <v>9</v>
      </c>
      <c r="P743" s="20">
        <f t="shared" si="59"/>
        <v>19.5</v>
      </c>
    </row>
    <row r="744" spans="1:16" x14ac:dyDescent="0.25">
      <c r="A744" s="9">
        <v>12670</v>
      </c>
      <c r="B744" s="9">
        <v>22543</v>
      </c>
      <c r="C744" s="9" t="s">
        <v>774</v>
      </c>
      <c r="D744" s="17">
        <f t="shared" si="58"/>
        <v>24</v>
      </c>
      <c r="E744" s="10">
        <f t="shared" si="55"/>
        <v>24</v>
      </c>
      <c r="F744" s="11">
        <v>24</v>
      </c>
      <c r="G744" s="9">
        <v>533827</v>
      </c>
      <c r="H744" s="13">
        <v>40501.420138888891</v>
      </c>
      <c r="I744" s="14">
        <v>0.42</v>
      </c>
      <c r="J744" s="23">
        <f t="shared" si="56"/>
        <v>0.42</v>
      </c>
      <c r="K744" s="12">
        <v>40501</v>
      </c>
      <c r="L744" s="24">
        <v>0.4201388888888889</v>
      </c>
      <c r="M744" t="s">
        <v>1014</v>
      </c>
      <c r="N744" s="15" t="str">
        <f t="shared" si="57"/>
        <v>10:05 AM</v>
      </c>
      <c r="O744" s="9" t="s">
        <v>28</v>
      </c>
      <c r="P744" s="20">
        <f t="shared" si="59"/>
        <v>10.08</v>
      </c>
    </row>
    <row r="745" spans="1:16" x14ac:dyDescent="0.25">
      <c r="A745" s="9">
        <v>17255</v>
      </c>
      <c r="B745" s="9">
        <v>84692</v>
      </c>
      <c r="C745" s="9" t="s">
        <v>716</v>
      </c>
      <c r="D745" s="17">
        <f t="shared" si="58"/>
        <v>3</v>
      </c>
      <c r="E745" s="10">
        <f t="shared" si="55"/>
        <v>3</v>
      </c>
      <c r="F745" s="11">
        <v>3</v>
      </c>
      <c r="G745" s="9">
        <v>532802</v>
      </c>
      <c r="H745" s="13">
        <v>40496.62222222222</v>
      </c>
      <c r="I745" s="14">
        <v>0.42</v>
      </c>
      <c r="J745" s="23">
        <f t="shared" si="56"/>
        <v>0.42</v>
      </c>
      <c r="K745" s="12">
        <v>40496</v>
      </c>
      <c r="L745" s="24">
        <v>0.12222222222222222</v>
      </c>
      <c r="M745" t="s">
        <v>1013</v>
      </c>
      <c r="N745" s="15" t="str">
        <f t="shared" si="57"/>
        <v>2:56 PM</v>
      </c>
      <c r="O745" s="9" t="s">
        <v>9</v>
      </c>
      <c r="P745" s="20">
        <f t="shared" si="59"/>
        <v>1.26</v>
      </c>
    </row>
    <row r="746" spans="1:16" x14ac:dyDescent="0.25">
      <c r="A746" s="9">
        <v>13097</v>
      </c>
      <c r="B746" s="9">
        <v>21893</v>
      </c>
      <c r="C746" s="9" t="s">
        <v>775</v>
      </c>
      <c r="D746" s="17">
        <f t="shared" si="58"/>
        <v>3</v>
      </c>
      <c r="E746" s="10">
        <f t="shared" si="55"/>
        <v>3</v>
      </c>
      <c r="F746" s="11">
        <v>3</v>
      </c>
      <c r="G746" s="9">
        <v>489574</v>
      </c>
      <c r="H746" s="13">
        <v>40148.563194444447</v>
      </c>
      <c r="I746" s="14">
        <v>4.25</v>
      </c>
      <c r="J746" s="23">
        <f t="shared" si="56"/>
        <v>4.25</v>
      </c>
      <c r="K746" s="12">
        <v>40148</v>
      </c>
      <c r="L746" s="24">
        <v>6.3194444444444442E-2</v>
      </c>
      <c r="M746" t="s">
        <v>1013</v>
      </c>
      <c r="N746" s="15" t="str">
        <f t="shared" si="57"/>
        <v>1:31 PM</v>
      </c>
      <c r="O746" s="9" t="s">
        <v>9</v>
      </c>
      <c r="P746" s="20">
        <f t="shared" si="59"/>
        <v>12.75</v>
      </c>
    </row>
    <row r="747" spans="1:16" x14ac:dyDescent="0.25">
      <c r="A747" s="9">
        <v>12877</v>
      </c>
      <c r="B747" s="9">
        <v>22179</v>
      </c>
      <c r="C747" s="9" t="s">
        <v>628</v>
      </c>
      <c r="D747" s="17">
        <f t="shared" si="58"/>
        <v>2</v>
      </c>
      <c r="E747" s="10">
        <f t="shared" si="55"/>
        <v>2</v>
      </c>
      <c r="F747" s="11">
        <v>2</v>
      </c>
      <c r="G747" s="9">
        <v>494679</v>
      </c>
      <c r="H747" s="13">
        <v>40196.432638888888</v>
      </c>
      <c r="I747" s="14">
        <v>6.75</v>
      </c>
      <c r="J747" s="23">
        <f t="shared" si="56"/>
        <v>6.75</v>
      </c>
      <c r="K747" s="12">
        <v>40196</v>
      </c>
      <c r="L747" s="24">
        <v>0.43263888888888891</v>
      </c>
      <c r="M747" t="s">
        <v>1014</v>
      </c>
      <c r="N747" s="15" t="str">
        <f t="shared" si="57"/>
        <v>10:23 AM</v>
      </c>
      <c r="O747" s="9" t="s">
        <v>9</v>
      </c>
      <c r="P747" s="20">
        <f t="shared" si="59"/>
        <v>13.5</v>
      </c>
    </row>
    <row r="748" spans="1:16" x14ac:dyDescent="0.25">
      <c r="A748" s="9">
        <v>12748</v>
      </c>
      <c r="B748" s="9">
        <v>85161</v>
      </c>
      <c r="C748" s="9" t="s">
        <v>776</v>
      </c>
      <c r="D748" s="17">
        <f t="shared" si="58"/>
        <v>1</v>
      </c>
      <c r="E748" s="10">
        <f t="shared" si="55"/>
        <v>1</v>
      </c>
      <c r="F748" s="11">
        <v>1</v>
      </c>
      <c r="G748" s="9">
        <v>527284</v>
      </c>
      <c r="H748" s="13">
        <v>40466.571527777778</v>
      </c>
      <c r="I748" s="14">
        <v>18.95</v>
      </c>
      <c r="J748" s="23">
        <f t="shared" si="56"/>
        <v>18.95</v>
      </c>
      <c r="K748" s="12">
        <v>40466</v>
      </c>
      <c r="L748" s="24">
        <v>7.1527777777777773E-2</v>
      </c>
      <c r="M748" t="s">
        <v>1013</v>
      </c>
      <c r="N748" s="15" t="str">
        <f t="shared" si="57"/>
        <v>1:43 PM</v>
      </c>
      <c r="O748" s="9" t="s">
        <v>9</v>
      </c>
      <c r="P748" s="20">
        <f t="shared" si="59"/>
        <v>18.95</v>
      </c>
    </row>
    <row r="749" spans="1:16" x14ac:dyDescent="0.25">
      <c r="A749" s="9">
        <v>17160</v>
      </c>
      <c r="B749" s="9">
        <v>22355</v>
      </c>
      <c r="C749" s="9" t="s">
        <v>97</v>
      </c>
      <c r="D749" s="17">
        <f t="shared" si="58"/>
        <v>10</v>
      </c>
      <c r="E749" s="10">
        <f t="shared" si="55"/>
        <v>10</v>
      </c>
      <c r="F749" s="11">
        <v>10</v>
      </c>
      <c r="G749" s="9">
        <v>495237</v>
      </c>
      <c r="H749" s="13">
        <v>40200.405555555553</v>
      </c>
      <c r="I749" s="14">
        <v>0.85</v>
      </c>
      <c r="J749" s="23">
        <f t="shared" si="56"/>
        <v>0.85</v>
      </c>
      <c r="K749" s="12">
        <v>40200</v>
      </c>
      <c r="L749" s="24">
        <v>0.40555555555555556</v>
      </c>
      <c r="M749" t="s">
        <v>1014</v>
      </c>
      <c r="N749" s="15" t="str">
        <f t="shared" si="57"/>
        <v>9:44 AM</v>
      </c>
      <c r="O749" s="9" t="s">
        <v>9</v>
      </c>
      <c r="P749" s="20">
        <f t="shared" si="59"/>
        <v>8.5</v>
      </c>
    </row>
    <row r="750" spans="1:16" x14ac:dyDescent="0.25">
      <c r="A750" s="9">
        <v>17675</v>
      </c>
      <c r="B750" s="9">
        <v>22677</v>
      </c>
      <c r="C750" s="9" t="s">
        <v>777</v>
      </c>
      <c r="D750" s="17">
        <f t="shared" si="58"/>
        <v>10</v>
      </c>
      <c r="E750" s="10">
        <f t="shared" si="55"/>
        <v>10</v>
      </c>
      <c r="F750" s="11">
        <v>10</v>
      </c>
      <c r="G750" s="9">
        <v>532290</v>
      </c>
      <c r="H750" s="13">
        <v>40493.55972222222</v>
      </c>
      <c r="I750" s="14">
        <v>1.25</v>
      </c>
      <c r="J750" s="23">
        <f t="shared" si="56"/>
        <v>1.25</v>
      </c>
      <c r="K750" s="12">
        <v>40493</v>
      </c>
      <c r="L750" s="24">
        <v>5.9722222222222225E-2</v>
      </c>
      <c r="M750" t="s">
        <v>1013</v>
      </c>
      <c r="N750" s="15" t="str">
        <f t="shared" si="57"/>
        <v>1:26 PM</v>
      </c>
      <c r="O750" s="9" t="s">
        <v>9</v>
      </c>
      <c r="P750" s="20">
        <f t="shared" si="59"/>
        <v>12.5</v>
      </c>
    </row>
    <row r="751" spans="1:16" x14ac:dyDescent="0.25">
      <c r="A751" s="9">
        <v>14680</v>
      </c>
      <c r="B751" s="9" t="s">
        <v>778</v>
      </c>
      <c r="C751" s="9" t="s">
        <v>779</v>
      </c>
      <c r="D751" s="17">
        <f t="shared" si="58"/>
        <v>2</v>
      </c>
      <c r="E751" s="10">
        <f t="shared" si="55"/>
        <v>2</v>
      </c>
      <c r="F751" s="11">
        <v>2</v>
      </c>
      <c r="G751" s="9">
        <v>493432</v>
      </c>
      <c r="H751" s="13">
        <v>40182.520833333343</v>
      </c>
      <c r="I751" s="14">
        <v>9.9499999999999993</v>
      </c>
      <c r="J751" s="23">
        <f t="shared" si="56"/>
        <v>9.9499999999999993</v>
      </c>
      <c r="K751" s="12">
        <v>40182</v>
      </c>
      <c r="L751" s="24">
        <v>0.52083333333333337</v>
      </c>
      <c r="M751" t="s">
        <v>1013</v>
      </c>
      <c r="N751" s="15" t="str">
        <f t="shared" si="57"/>
        <v>12:30 PM</v>
      </c>
      <c r="O751" s="9" t="s">
        <v>9</v>
      </c>
      <c r="P751" s="20">
        <f t="shared" si="59"/>
        <v>19.899999999999999</v>
      </c>
    </row>
    <row r="752" spans="1:16" x14ac:dyDescent="0.25">
      <c r="A752" s="9">
        <v>17019</v>
      </c>
      <c r="B752" s="9">
        <v>22534</v>
      </c>
      <c r="C752" s="9" t="s">
        <v>780</v>
      </c>
      <c r="D752" s="17">
        <f t="shared" si="58"/>
        <v>2</v>
      </c>
      <c r="E752" s="10">
        <f t="shared" si="55"/>
        <v>2</v>
      </c>
      <c r="F752" s="11">
        <v>2</v>
      </c>
      <c r="G752" s="9">
        <v>513750</v>
      </c>
      <c r="H752" s="13">
        <v>40357.526388888888</v>
      </c>
      <c r="I752" s="14">
        <v>0.42</v>
      </c>
      <c r="J752" s="23">
        <f t="shared" si="56"/>
        <v>0.42</v>
      </c>
      <c r="K752" s="12">
        <v>40357</v>
      </c>
      <c r="L752" s="24">
        <v>0.52638888888888891</v>
      </c>
      <c r="M752" t="s">
        <v>1013</v>
      </c>
      <c r="N752" s="15" t="str">
        <f t="shared" si="57"/>
        <v>12:38 PM</v>
      </c>
      <c r="O752" s="9" t="s">
        <v>9</v>
      </c>
      <c r="P752" s="20">
        <f t="shared" si="59"/>
        <v>0.84</v>
      </c>
    </row>
    <row r="753" spans="1:16" x14ac:dyDescent="0.25">
      <c r="A753" s="9">
        <v>14938</v>
      </c>
      <c r="B753" s="9" t="s">
        <v>781</v>
      </c>
      <c r="C753" s="9" t="s">
        <v>782</v>
      </c>
      <c r="D753" s="17">
        <f t="shared" si="58"/>
        <v>6</v>
      </c>
      <c r="E753" s="10">
        <f t="shared" si="55"/>
        <v>6</v>
      </c>
      <c r="F753" s="11">
        <v>6</v>
      </c>
      <c r="G753" s="9">
        <v>509973</v>
      </c>
      <c r="H753" s="13">
        <v>40324.565972222219</v>
      </c>
      <c r="I753" s="14">
        <v>2.95</v>
      </c>
      <c r="J753" s="23">
        <f t="shared" si="56"/>
        <v>2.95</v>
      </c>
      <c r="K753" s="12">
        <v>40324</v>
      </c>
      <c r="L753" s="24">
        <v>6.5972222222222224E-2</v>
      </c>
      <c r="M753" t="s">
        <v>1013</v>
      </c>
      <c r="N753" s="15" t="str">
        <f t="shared" si="57"/>
        <v>1:35 PM</v>
      </c>
      <c r="O753" s="9" t="s">
        <v>230</v>
      </c>
      <c r="P753" s="20">
        <f t="shared" si="59"/>
        <v>17.700000000000003</v>
      </c>
    </row>
    <row r="754" spans="1:16" x14ac:dyDescent="0.25">
      <c r="A754" s="9">
        <v>13089</v>
      </c>
      <c r="B754" s="9">
        <v>22417</v>
      </c>
      <c r="C754" s="9" t="s">
        <v>451</v>
      </c>
      <c r="D754" s="17">
        <f t="shared" si="58"/>
        <v>24</v>
      </c>
      <c r="E754" s="10">
        <f t="shared" si="55"/>
        <v>24</v>
      </c>
      <c r="F754" s="11">
        <v>24</v>
      </c>
      <c r="G754" s="9">
        <v>513830</v>
      </c>
      <c r="H754" s="13">
        <v>40358.45416666667</v>
      </c>
      <c r="I754" s="14">
        <v>0.55000000000000004</v>
      </c>
      <c r="J754" s="23">
        <f t="shared" si="56"/>
        <v>0.55000000000000004</v>
      </c>
      <c r="K754" s="12">
        <v>40358</v>
      </c>
      <c r="L754" s="24">
        <v>0.45416666666666666</v>
      </c>
      <c r="M754" t="s">
        <v>1014</v>
      </c>
      <c r="N754" s="15" t="str">
        <f t="shared" si="57"/>
        <v>10:54 AM</v>
      </c>
      <c r="O754" s="9" t="s">
        <v>9</v>
      </c>
      <c r="P754" s="20">
        <f t="shared" si="59"/>
        <v>13.200000000000001</v>
      </c>
    </row>
    <row r="755" spans="1:16" x14ac:dyDescent="0.25">
      <c r="A755" s="9">
        <v>15055</v>
      </c>
      <c r="B755" s="9">
        <v>21657</v>
      </c>
      <c r="C755" s="9" t="s">
        <v>783</v>
      </c>
      <c r="D755" s="17">
        <f t="shared" si="58"/>
        <v>1</v>
      </c>
      <c r="E755" s="10">
        <f t="shared" si="55"/>
        <v>1</v>
      </c>
      <c r="F755" s="11">
        <v>1</v>
      </c>
      <c r="G755" s="9">
        <v>505721</v>
      </c>
      <c r="H755" s="13">
        <v>40293.569444444453</v>
      </c>
      <c r="I755" s="14">
        <v>6.95</v>
      </c>
      <c r="J755" s="23">
        <f t="shared" si="56"/>
        <v>6.95</v>
      </c>
      <c r="K755" s="12">
        <v>40293</v>
      </c>
      <c r="L755" s="24">
        <v>6.9444444444444448E-2</v>
      </c>
      <c r="M755" t="s">
        <v>1013</v>
      </c>
      <c r="N755" s="15" t="str">
        <f t="shared" si="57"/>
        <v>1:40 PM</v>
      </c>
      <c r="O755" s="9" t="s">
        <v>9</v>
      </c>
      <c r="P755" s="20">
        <f t="shared" si="59"/>
        <v>6.95</v>
      </c>
    </row>
    <row r="756" spans="1:16" x14ac:dyDescent="0.25">
      <c r="A756" s="9">
        <v>16088</v>
      </c>
      <c r="B756" s="9">
        <v>21896</v>
      </c>
      <c r="C756" s="9" t="s">
        <v>784</v>
      </c>
      <c r="D756" s="17">
        <f t="shared" si="58"/>
        <v>26</v>
      </c>
      <c r="E756" s="10">
        <f t="shared" si="55"/>
        <v>26</v>
      </c>
      <c r="F756" s="11">
        <v>26</v>
      </c>
      <c r="G756" s="9">
        <v>506000</v>
      </c>
      <c r="H756" s="13">
        <v>40295.455555555563</v>
      </c>
      <c r="I756" s="14">
        <v>2.1</v>
      </c>
      <c r="J756" s="23">
        <f t="shared" si="56"/>
        <v>2.1</v>
      </c>
      <c r="K756" s="12">
        <v>40295</v>
      </c>
      <c r="L756" s="24">
        <v>0.45555555555555555</v>
      </c>
      <c r="M756" t="s">
        <v>1014</v>
      </c>
      <c r="N756" s="15" t="str">
        <f t="shared" si="57"/>
        <v>10:56 AM</v>
      </c>
      <c r="O756" s="9" t="s">
        <v>9</v>
      </c>
      <c r="P756" s="20">
        <f t="shared" si="59"/>
        <v>54.6</v>
      </c>
    </row>
    <row r="757" spans="1:16" x14ac:dyDescent="0.25">
      <c r="A757" s="9">
        <v>13451</v>
      </c>
      <c r="B757" s="9">
        <v>22649</v>
      </c>
      <c r="C757" s="9" t="s">
        <v>785</v>
      </c>
      <c r="D757" s="17">
        <f t="shared" si="58"/>
        <v>2</v>
      </c>
      <c r="E757" s="10">
        <f t="shared" si="55"/>
        <v>2</v>
      </c>
      <c r="F757" s="11">
        <v>2</v>
      </c>
      <c r="G757" s="9">
        <v>513975</v>
      </c>
      <c r="H757" s="13">
        <v>40358.696527777778</v>
      </c>
      <c r="I757" s="14">
        <v>4.95</v>
      </c>
      <c r="J757" s="23">
        <f t="shared" si="56"/>
        <v>4.95</v>
      </c>
      <c r="K757" s="12">
        <v>40358</v>
      </c>
      <c r="L757" s="24">
        <v>0.19652777777777777</v>
      </c>
      <c r="M757" t="s">
        <v>1013</v>
      </c>
      <c r="N757" s="15" t="str">
        <f t="shared" si="57"/>
        <v>4:43 PM</v>
      </c>
      <c r="O757" s="9" t="s">
        <v>9</v>
      </c>
      <c r="P757" s="20">
        <f t="shared" si="59"/>
        <v>9.9</v>
      </c>
    </row>
    <row r="758" spans="1:16" x14ac:dyDescent="0.25">
      <c r="A758" s="9">
        <v>12490</v>
      </c>
      <c r="B758" s="9" t="s">
        <v>786</v>
      </c>
      <c r="C758" s="9" t="s">
        <v>787</v>
      </c>
      <c r="D758" s="17">
        <f t="shared" si="58"/>
        <v>2</v>
      </c>
      <c r="E758" s="10">
        <f t="shared" si="55"/>
        <v>2</v>
      </c>
      <c r="F758" s="11">
        <v>2</v>
      </c>
      <c r="G758" s="9">
        <v>525073</v>
      </c>
      <c r="H758" s="13">
        <v>40454.619444444441</v>
      </c>
      <c r="I758" s="14">
        <v>18</v>
      </c>
      <c r="J758" s="23">
        <f t="shared" si="56"/>
        <v>18</v>
      </c>
      <c r="K758" s="12">
        <v>40454</v>
      </c>
      <c r="L758" s="24">
        <v>0.11944444444444445</v>
      </c>
      <c r="M758" t="s">
        <v>1013</v>
      </c>
      <c r="N758" s="15" t="str">
        <f t="shared" si="57"/>
        <v>2:52 PM</v>
      </c>
      <c r="O758" s="9" t="s">
        <v>28</v>
      </c>
      <c r="P758" s="20">
        <f t="shared" si="59"/>
        <v>36</v>
      </c>
    </row>
    <row r="759" spans="1:16" x14ac:dyDescent="0.25">
      <c r="A759" s="9">
        <v>14748</v>
      </c>
      <c r="B759" s="9">
        <v>20761</v>
      </c>
      <c r="C759" s="9" t="s">
        <v>789</v>
      </c>
      <c r="D759" s="17">
        <f t="shared" si="58"/>
        <v>4</v>
      </c>
      <c r="E759" s="10">
        <f t="shared" si="55"/>
        <v>-4</v>
      </c>
      <c r="F759" s="11">
        <v>-4</v>
      </c>
      <c r="G759" s="9">
        <v>500705</v>
      </c>
      <c r="H759" s="13">
        <v>40246.573611111111</v>
      </c>
      <c r="I759" s="14">
        <v>3.75</v>
      </c>
      <c r="J759" s="23">
        <f t="shared" si="56"/>
        <v>3.75</v>
      </c>
      <c r="K759" s="12">
        <v>40246</v>
      </c>
      <c r="L759" s="24">
        <v>7.3611111111111113E-2</v>
      </c>
      <c r="M759" t="s">
        <v>1013</v>
      </c>
      <c r="N759" s="15" t="str">
        <f t="shared" si="57"/>
        <v>1:46 PM</v>
      </c>
      <c r="O759" s="9" t="s">
        <v>9</v>
      </c>
      <c r="P759" s="20">
        <f t="shared" si="59"/>
        <v>15</v>
      </c>
    </row>
    <row r="760" spans="1:16" x14ac:dyDescent="0.25">
      <c r="A760" s="9">
        <v>16977</v>
      </c>
      <c r="B760" s="9">
        <v>22767</v>
      </c>
      <c r="C760" s="9" t="s">
        <v>790</v>
      </c>
      <c r="D760" s="17">
        <f t="shared" si="58"/>
        <v>2</v>
      </c>
      <c r="E760" s="10">
        <f t="shared" si="55"/>
        <v>2</v>
      </c>
      <c r="F760" s="11" t="s">
        <v>711</v>
      </c>
      <c r="G760" s="9">
        <v>531754</v>
      </c>
      <c r="H760" s="13">
        <v>40491.553472222222</v>
      </c>
      <c r="I760" s="14">
        <v>9.9499999999999993</v>
      </c>
      <c r="J760" s="23">
        <f t="shared" si="56"/>
        <v>9.9499999999999993</v>
      </c>
      <c r="K760" s="12">
        <v>40491</v>
      </c>
      <c r="L760" s="24">
        <v>5.347222222222222E-2</v>
      </c>
      <c r="M760" t="s">
        <v>1013</v>
      </c>
      <c r="N760" s="15" t="str">
        <f t="shared" si="57"/>
        <v>1:17 PM</v>
      </c>
      <c r="O760" s="9" t="s">
        <v>9</v>
      </c>
      <c r="P760" s="20">
        <f t="shared" si="59"/>
        <v>19.899999999999999</v>
      </c>
    </row>
    <row r="761" spans="1:16" x14ac:dyDescent="0.25">
      <c r="A761" s="9">
        <v>13798</v>
      </c>
      <c r="B761" s="9" t="s">
        <v>791</v>
      </c>
      <c r="C761" s="9" t="s">
        <v>792</v>
      </c>
      <c r="D761" s="17">
        <f t="shared" si="58"/>
        <v>100</v>
      </c>
      <c r="E761" s="10">
        <f t="shared" si="55"/>
        <v>100</v>
      </c>
      <c r="F761" s="11">
        <v>100</v>
      </c>
      <c r="G761" s="9">
        <v>498827</v>
      </c>
      <c r="H761" s="13">
        <v>40232.48333333333</v>
      </c>
      <c r="I761" s="14">
        <v>1.69</v>
      </c>
      <c r="J761" s="23">
        <f t="shared" si="56"/>
        <v>1.69</v>
      </c>
      <c r="K761" s="12">
        <v>40232</v>
      </c>
      <c r="L761" s="24">
        <v>0.48333333333333334</v>
      </c>
      <c r="M761" t="s">
        <v>1014</v>
      </c>
      <c r="N761" s="15" t="str">
        <f t="shared" si="57"/>
        <v>11:36 AM</v>
      </c>
      <c r="O761" s="9" t="s">
        <v>9</v>
      </c>
      <c r="P761" s="20">
        <f t="shared" si="59"/>
        <v>169</v>
      </c>
    </row>
    <row r="762" spans="1:16" x14ac:dyDescent="0.25">
      <c r="A762" s="9">
        <v>17377</v>
      </c>
      <c r="B762" s="9">
        <v>21479</v>
      </c>
      <c r="C762" s="9" t="s">
        <v>422</v>
      </c>
      <c r="D762" s="17">
        <f t="shared" si="58"/>
        <v>1</v>
      </c>
      <c r="E762" s="10">
        <f t="shared" si="55"/>
        <v>1</v>
      </c>
      <c r="F762" s="11">
        <v>1</v>
      </c>
      <c r="G762" s="9">
        <v>493050</v>
      </c>
      <c r="H762" s="13">
        <v>40168.683333333327</v>
      </c>
      <c r="I762" s="14">
        <v>3.75</v>
      </c>
      <c r="J762" s="23">
        <f t="shared" si="56"/>
        <v>3.75</v>
      </c>
      <c r="K762" s="12">
        <v>40168</v>
      </c>
      <c r="L762" s="24">
        <v>0.18333333333333332</v>
      </c>
      <c r="M762" t="s">
        <v>1013</v>
      </c>
      <c r="N762" s="15" t="str">
        <f t="shared" si="57"/>
        <v>4:24 PM</v>
      </c>
      <c r="O762" s="9" t="s">
        <v>9</v>
      </c>
      <c r="P762" s="20">
        <f t="shared" si="59"/>
        <v>3.75</v>
      </c>
    </row>
    <row r="763" spans="1:16" x14ac:dyDescent="0.25">
      <c r="A763" s="9">
        <v>18225</v>
      </c>
      <c r="B763" s="9">
        <v>21115</v>
      </c>
      <c r="C763" s="9" t="s">
        <v>793</v>
      </c>
      <c r="D763" s="17">
        <f t="shared" si="58"/>
        <v>3</v>
      </c>
      <c r="E763" s="10">
        <f t="shared" si="55"/>
        <v>3</v>
      </c>
      <c r="F763" s="11">
        <v>3</v>
      </c>
      <c r="G763" s="9">
        <v>515192</v>
      </c>
      <c r="H763" s="13">
        <v>40368.43472222222</v>
      </c>
      <c r="I763" s="14">
        <v>6.75</v>
      </c>
      <c r="J763" s="23">
        <f t="shared" si="56"/>
        <v>6.75</v>
      </c>
      <c r="K763" s="12">
        <v>40368</v>
      </c>
      <c r="L763" s="24">
        <v>0.43472222222222223</v>
      </c>
      <c r="M763" t="s">
        <v>1014</v>
      </c>
      <c r="N763" s="15" t="str">
        <f t="shared" si="57"/>
        <v>10:26 AM</v>
      </c>
      <c r="O763" s="9" t="s">
        <v>9</v>
      </c>
      <c r="P763" s="20">
        <f t="shared" si="59"/>
        <v>20.25</v>
      </c>
    </row>
    <row r="764" spans="1:16" x14ac:dyDescent="0.25">
      <c r="A764" s="9">
        <v>15570</v>
      </c>
      <c r="B764" s="9">
        <v>82486</v>
      </c>
      <c r="C764" s="9" t="s">
        <v>794</v>
      </c>
      <c r="D764" s="17">
        <f t="shared" si="58"/>
        <v>2</v>
      </c>
      <c r="E764" s="10">
        <f t="shared" si="55"/>
        <v>2</v>
      </c>
      <c r="F764" s="11">
        <v>2</v>
      </c>
      <c r="G764" s="9">
        <v>502848</v>
      </c>
      <c r="H764" s="13">
        <v>40265.586111111108</v>
      </c>
      <c r="I764" s="14">
        <v>7.95</v>
      </c>
      <c r="J764" s="23">
        <f t="shared" si="56"/>
        <v>7.95</v>
      </c>
      <c r="K764" s="12">
        <v>40265</v>
      </c>
      <c r="L764" s="24">
        <v>8.611111111111111E-2</v>
      </c>
      <c r="M764" t="s">
        <v>1013</v>
      </c>
      <c r="N764" s="15" t="str">
        <f t="shared" si="57"/>
        <v>2:04 PM</v>
      </c>
      <c r="O764" s="9" t="s">
        <v>9</v>
      </c>
      <c r="P764" s="20">
        <f t="shared" si="59"/>
        <v>15.9</v>
      </c>
    </row>
    <row r="765" spans="1:16" x14ac:dyDescent="0.25">
      <c r="A765" s="9">
        <v>17003</v>
      </c>
      <c r="B765" s="9">
        <v>22411</v>
      </c>
      <c r="C765" s="9" t="s">
        <v>206</v>
      </c>
      <c r="D765" s="17">
        <f t="shared" si="58"/>
        <v>10</v>
      </c>
      <c r="E765" s="10">
        <f t="shared" si="55"/>
        <v>10</v>
      </c>
      <c r="F765" s="11">
        <v>10</v>
      </c>
      <c r="G765" s="9">
        <v>530302</v>
      </c>
      <c r="H765" s="13">
        <v>40484.546527777777</v>
      </c>
      <c r="I765" s="14">
        <v>1.95</v>
      </c>
      <c r="J765" s="23">
        <f t="shared" si="56"/>
        <v>1.95</v>
      </c>
      <c r="K765" s="12">
        <v>40484</v>
      </c>
      <c r="L765" s="24">
        <v>4.6527777777777779E-2</v>
      </c>
      <c r="M765" t="s">
        <v>1013</v>
      </c>
      <c r="N765" s="15" t="str">
        <f t="shared" si="57"/>
        <v>1:07 PM</v>
      </c>
      <c r="O765" s="9" t="s">
        <v>9</v>
      </c>
      <c r="P765" s="20">
        <f t="shared" si="59"/>
        <v>19.5</v>
      </c>
    </row>
    <row r="766" spans="1:16" x14ac:dyDescent="0.25">
      <c r="A766" s="9">
        <v>17739</v>
      </c>
      <c r="B766" s="9">
        <v>22468</v>
      </c>
      <c r="C766" s="9" t="s">
        <v>592</v>
      </c>
      <c r="D766" s="17">
        <f t="shared" si="58"/>
        <v>6</v>
      </c>
      <c r="E766" s="10">
        <f t="shared" si="55"/>
        <v>6</v>
      </c>
      <c r="F766" s="11">
        <v>6</v>
      </c>
      <c r="G766" s="9">
        <v>503432</v>
      </c>
      <c r="H766" s="13">
        <v>40269.356944444437</v>
      </c>
      <c r="I766" s="14">
        <v>6.75</v>
      </c>
      <c r="J766" s="23">
        <f t="shared" si="56"/>
        <v>6.75</v>
      </c>
      <c r="K766" s="12">
        <v>40269</v>
      </c>
      <c r="L766" s="24">
        <v>0.35694444444444445</v>
      </c>
      <c r="M766" t="s">
        <v>1014</v>
      </c>
      <c r="N766" s="15" t="str">
        <f t="shared" si="57"/>
        <v>8:34 AM</v>
      </c>
      <c r="O766" s="9" t="s">
        <v>9</v>
      </c>
      <c r="P766" s="20">
        <f t="shared" si="59"/>
        <v>40.5</v>
      </c>
    </row>
    <row r="767" spans="1:16" x14ac:dyDescent="0.25">
      <c r="A767" s="9">
        <v>17364</v>
      </c>
      <c r="B767" s="9">
        <v>21614</v>
      </c>
      <c r="C767" s="9" t="s">
        <v>795</v>
      </c>
      <c r="D767" s="17">
        <f t="shared" si="58"/>
        <v>6</v>
      </c>
      <c r="E767" s="10">
        <f t="shared" si="55"/>
        <v>6</v>
      </c>
      <c r="F767" s="11">
        <v>6</v>
      </c>
      <c r="G767" s="9">
        <v>493716</v>
      </c>
      <c r="H767" s="13">
        <v>40183.701388888891</v>
      </c>
      <c r="I767" s="14">
        <v>2.95</v>
      </c>
      <c r="J767" s="23">
        <f t="shared" si="56"/>
        <v>2.95</v>
      </c>
      <c r="K767" s="12">
        <v>40183</v>
      </c>
      <c r="L767" s="24">
        <v>0.2013888888888889</v>
      </c>
      <c r="M767" t="s">
        <v>1013</v>
      </c>
      <c r="N767" s="15" t="str">
        <f t="shared" si="57"/>
        <v>4:50 PM</v>
      </c>
      <c r="O767" s="9" t="s">
        <v>9</v>
      </c>
      <c r="P767" s="20">
        <f t="shared" si="59"/>
        <v>17.700000000000003</v>
      </c>
    </row>
    <row r="768" spans="1:16" x14ac:dyDescent="0.25">
      <c r="A768" s="9">
        <v>15078</v>
      </c>
      <c r="B768" s="9">
        <v>21930</v>
      </c>
      <c r="C768" s="9" t="s">
        <v>58</v>
      </c>
      <c r="D768" s="17">
        <f t="shared" si="58"/>
        <v>10</v>
      </c>
      <c r="E768" s="10">
        <f t="shared" si="55"/>
        <v>10</v>
      </c>
      <c r="F768" s="11">
        <v>10</v>
      </c>
      <c r="G768" s="9">
        <v>498107</v>
      </c>
      <c r="H768" s="13">
        <v>40225.581250000003</v>
      </c>
      <c r="I768" s="14">
        <v>1.95</v>
      </c>
      <c r="J768" s="23">
        <f t="shared" si="56"/>
        <v>1.95</v>
      </c>
      <c r="K768" s="12">
        <v>40225</v>
      </c>
      <c r="L768" s="24">
        <v>8.1250000000000003E-2</v>
      </c>
      <c r="M768" t="s">
        <v>1013</v>
      </c>
      <c r="N768" s="15" t="str">
        <f t="shared" si="57"/>
        <v>1:57 PM</v>
      </c>
      <c r="O768" s="9" t="s">
        <v>9</v>
      </c>
      <c r="P768" s="20">
        <f t="shared" si="59"/>
        <v>19.5</v>
      </c>
    </row>
    <row r="769" spans="1:16" x14ac:dyDescent="0.25">
      <c r="A769" s="9">
        <v>15493</v>
      </c>
      <c r="B769" s="9">
        <v>22510</v>
      </c>
      <c r="C769" s="9" t="s">
        <v>796</v>
      </c>
      <c r="D769" s="17">
        <f t="shared" si="58"/>
        <v>1</v>
      </c>
      <c r="E769" s="10">
        <f t="shared" si="55"/>
        <v>1</v>
      </c>
      <c r="F769" s="11">
        <v>1</v>
      </c>
      <c r="G769" s="9">
        <v>532964</v>
      </c>
      <c r="H769" s="13">
        <v>40497.529861111107</v>
      </c>
      <c r="I769" s="14">
        <v>3.75</v>
      </c>
      <c r="J769" s="23">
        <f t="shared" si="56"/>
        <v>3.75</v>
      </c>
      <c r="K769" s="12">
        <v>40497</v>
      </c>
      <c r="L769" s="24">
        <v>0.52986111111111112</v>
      </c>
      <c r="M769" t="s">
        <v>1013</v>
      </c>
      <c r="N769" s="15" t="str">
        <f t="shared" si="57"/>
        <v>12:43 PM</v>
      </c>
      <c r="O769" s="9" t="s">
        <v>9</v>
      </c>
      <c r="P769" s="20">
        <f t="shared" si="59"/>
        <v>3.75</v>
      </c>
    </row>
    <row r="770" spans="1:16" x14ac:dyDescent="0.25">
      <c r="A770" s="9">
        <v>17167</v>
      </c>
      <c r="B770" s="9" t="s">
        <v>797</v>
      </c>
      <c r="C770" s="9" t="s">
        <v>798</v>
      </c>
      <c r="D770" s="17">
        <f t="shared" si="58"/>
        <v>2</v>
      </c>
      <c r="E770" s="10">
        <f t="shared" ref="E770:E833" si="60">VALUE(F770)</f>
        <v>2</v>
      </c>
      <c r="F770" s="11">
        <v>2</v>
      </c>
      <c r="G770" s="9">
        <v>523132</v>
      </c>
      <c r="H770" s="13">
        <v>40441.584722222222</v>
      </c>
      <c r="I770" s="14" t="s">
        <v>799</v>
      </c>
      <c r="J770" s="23">
        <f t="shared" ref="J770:J833" si="61">VALUE(I770)</f>
        <v>6.35</v>
      </c>
      <c r="K770" s="12">
        <v>40441</v>
      </c>
      <c r="L770" s="24">
        <v>8.4722222222222227E-2</v>
      </c>
      <c r="M770" t="s">
        <v>1013</v>
      </c>
      <c r="N770" s="15" t="str">
        <f t="shared" ref="N770:N833" si="62">TEXT(L770,"h:mm")&amp;" "&amp;M770</f>
        <v>2:02 PM</v>
      </c>
      <c r="O770" s="9" t="s">
        <v>9</v>
      </c>
      <c r="P770" s="20">
        <f t="shared" si="59"/>
        <v>12.7</v>
      </c>
    </row>
    <row r="771" spans="1:16" x14ac:dyDescent="0.25">
      <c r="A771" s="9">
        <v>18092</v>
      </c>
      <c r="B771" s="9">
        <v>21527</v>
      </c>
      <c r="C771" s="9" t="s">
        <v>800</v>
      </c>
      <c r="D771" s="17">
        <f t="shared" ref="D771:D834" si="63">ABS(E771)</f>
        <v>24</v>
      </c>
      <c r="E771" s="10">
        <f t="shared" si="60"/>
        <v>24</v>
      </c>
      <c r="F771" s="11">
        <v>24</v>
      </c>
      <c r="G771" s="9">
        <v>493326</v>
      </c>
      <c r="H771" s="13">
        <v>40170.388888888891</v>
      </c>
      <c r="I771" s="14">
        <v>6.95</v>
      </c>
      <c r="J771" s="23">
        <f t="shared" si="61"/>
        <v>6.95</v>
      </c>
      <c r="K771" s="12">
        <v>40170</v>
      </c>
      <c r="L771" s="24">
        <v>0.3888888888888889</v>
      </c>
      <c r="M771" t="s">
        <v>1014</v>
      </c>
      <c r="N771" s="15" t="str">
        <f t="shared" si="62"/>
        <v>9:20 AM</v>
      </c>
      <c r="O771" s="9" t="s">
        <v>9</v>
      </c>
      <c r="P771" s="20">
        <f t="shared" ref="P771:P834" si="64">PRODUCT(D771,(J771))</f>
        <v>166.8</v>
      </c>
    </row>
    <row r="772" spans="1:16" x14ac:dyDescent="0.25">
      <c r="A772" s="9">
        <v>15005</v>
      </c>
      <c r="B772" s="9">
        <v>20724</v>
      </c>
      <c r="C772" s="9" t="s">
        <v>801</v>
      </c>
      <c r="D772" s="17">
        <f t="shared" si="63"/>
        <v>10</v>
      </c>
      <c r="E772" s="10">
        <f t="shared" si="60"/>
        <v>10</v>
      </c>
      <c r="F772" s="11">
        <v>10</v>
      </c>
      <c r="G772" s="9">
        <v>527266</v>
      </c>
      <c r="H772" s="13">
        <v>40466.536111111112</v>
      </c>
      <c r="I772" s="14">
        <v>0.85</v>
      </c>
      <c r="J772" s="23">
        <f t="shared" si="61"/>
        <v>0.85</v>
      </c>
      <c r="K772" s="12">
        <v>40466</v>
      </c>
      <c r="L772" s="24">
        <v>0.53611111111111109</v>
      </c>
      <c r="M772" t="s">
        <v>1013</v>
      </c>
      <c r="N772" s="15" t="str">
        <f t="shared" si="62"/>
        <v>12:52 PM</v>
      </c>
      <c r="O772" s="9" t="s">
        <v>9</v>
      </c>
      <c r="P772" s="20">
        <f t="shared" si="64"/>
        <v>8.5</v>
      </c>
    </row>
    <row r="773" spans="1:16" x14ac:dyDescent="0.25">
      <c r="A773" s="9">
        <v>15911</v>
      </c>
      <c r="B773" s="9">
        <v>20718</v>
      </c>
      <c r="C773" s="9" t="s">
        <v>593</v>
      </c>
      <c r="D773" s="17">
        <f t="shared" si="63"/>
        <v>3</v>
      </c>
      <c r="E773" s="10">
        <f t="shared" si="60"/>
        <v>3</v>
      </c>
      <c r="F773" s="11">
        <v>3</v>
      </c>
      <c r="G773" s="9">
        <v>500857</v>
      </c>
      <c r="H773" s="13">
        <v>40247.515972222223</v>
      </c>
      <c r="I773" s="14">
        <v>1.25</v>
      </c>
      <c r="J773" s="23">
        <f t="shared" si="61"/>
        <v>1.25</v>
      </c>
      <c r="K773" s="12">
        <v>40247</v>
      </c>
      <c r="L773" s="24">
        <v>0.51597222222222228</v>
      </c>
      <c r="M773" t="s">
        <v>1013</v>
      </c>
      <c r="N773" s="15" t="str">
        <f t="shared" si="62"/>
        <v>12:23 PM</v>
      </c>
      <c r="O773" s="9" t="s">
        <v>9</v>
      </c>
      <c r="P773" s="20">
        <f t="shared" si="64"/>
        <v>3.75</v>
      </c>
    </row>
    <row r="774" spans="1:16" x14ac:dyDescent="0.25">
      <c r="A774" s="9">
        <v>14755</v>
      </c>
      <c r="B774" s="9">
        <v>84992</v>
      </c>
      <c r="C774" s="9" t="s">
        <v>400</v>
      </c>
      <c r="D774" s="17">
        <f t="shared" si="63"/>
        <v>24</v>
      </c>
      <c r="E774" s="10">
        <f t="shared" si="60"/>
        <v>24</v>
      </c>
      <c r="F774" s="11">
        <v>24</v>
      </c>
      <c r="G774" s="9">
        <v>505636</v>
      </c>
      <c r="H774" s="13">
        <v>40291.557638888888</v>
      </c>
      <c r="I774" s="14">
        <v>0.55000000000000004</v>
      </c>
      <c r="J774" s="23">
        <f t="shared" si="61"/>
        <v>0.55000000000000004</v>
      </c>
      <c r="K774" s="12">
        <v>40291</v>
      </c>
      <c r="L774" s="24">
        <v>5.7638888888888892E-2</v>
      </c>
      <c r="M774" t="s">
        <v>1013</v>
      </c>
      <c r="N774" s="15" t="str">
        <f t="shared" si="62"/>
        <v>1:23 PM</v>
      </c>
      <c r="O774" s="9" t="s">
        <v>9</v>
      </c>
      <c r="P774" s="20">
        <f t="shared" si="64"/>
        <v>13.200000000000001</v>
      </c>
    </row>
    <row r="775" spans="1:16" x14ac:dyDescent="0.25">
      <c r="A775" s="9">
        <v>16485</v>
      </c>
      <c r="B775" s="9">
        <v>22375</v>
      </c>
      <c r="C775" s="9" t="s">
        <v>641</v>
      </c>
      <c r="D775" s="17">
        <f t="shared" si="63"/>
        <v>6</v>
      </c>
      <c r="E775" s="10">
        <f t="shared" si="60"/>
        <v>6</v>
      </c>
      <c r="F775" s="11">
        <v>6</v>
      </c>
      <c r="G775" s="9">
        <v>525077</v>
      </c>
      <c r="H775" s="13">
        <v>40454.645833333343</v>
      </c>
      <c r="I775" s="14">
        <v>4.25</v>
      </c>
      <c r="J775" s="23">
        <f t="shared" si="61"/>
        <v>4.25</v>
      </c>
      <c r="K775" s="12">
        <v>40454</v>
      </c>
      <c r="L775" s="24">
        <v>0.14583333333333334</v>
      </c>
      <c r="M775" t="s">
        <v>1013</v>
      </c>
      <c r="N775" s="15" t="str">
        <f t="shared" si="62"/>
        <v>3:30 PM</v>
      </c>
      <c r="O775" s="9" t="s">
        <v>9</v>
      </c>
      <c r="P775" s="20">
        <f t="shared" si="64"/>
        <v>25.5</v>
      </c>
    </row>
    <row r="776" spans="1:16" x14ac:dyDescent="0.25">
      <c r="A776" s="9">
        <v>15673</v>
      </c>
      <c r="B776" s="9">
        <v>21977</v>
      </c>
      <c r="C776" s="9" t="s">
        <v>612</v>
      </c>
      <c r="D776" s="17">
        <f t="shared" si="63"/>
        <v>24</v>
      </c>
      <c r="E776" s="10">
        <f t="shared" si="60"/>
        <v>24</v>
      </c>
      <c r="F776" s="11">
        <v>24</v>
      </c>
      <c r="G776" s="9">
        <v>522384</v>
      </c>
      <c r="H776" s="13">
        <v>40435.463888888888</v>
      </c>
      <c r="I776" s="14">
        <v>0.55000000000000004</v>
      </c>
      <c r="J776" s="23">
        <f t="shared" si="61"/>
        <v>0.55000000000000004</v>
      </c>
      <c r="K776" s="12">
        <v>40435</v>
      </c>
      <c r="L776" s="24">
        <v>0.46388888888888891</v>
      </c>
      <c r="M776" t="s">
        <v>1014</v>
      </c>
      <c r="N776" s="15" t="str">
        <f t="shared" si="62"/>
        <v>11:08 AM</v>
      </c>
      <c r="O776" s="9" t="s">
        <v>9</v>
      </c>
      <c r="P776" s="20">
        <f t="shared" si="64"/>
        <v>13.200000000000001</v>
      </c>
    </row>
    <row r="777" spans="1:16" x14ac:dyDescent="0.25">
      <c r="A777" s="9">
        <v>16259</v>
      </c>
      <c r="B777" s="9">
        <v>22669</v>
      </c>
      <c r="C777" s="9" t="s">
        <v>307</v>
      </c>
      <c r="D777" s="17">
        <f t="shared" si="63"/>
        <v>2</v>
      </c>
      <c r="E777" s="10">
        <f t="shared" si="60"/>
        <v>2</v>
      </c>
      <c r="F777" s="11">
        <v>2</v>
      </c>
      <c r="G777" s="9">
        <v>528919</v>
      </c>
      <c r="H777" s="13">
        <v>40476.602083333331</v>
      </c>
      <c r="I777" s="14">
        <v>2.95</v>
      </c>
      <c r="J777" s="23">
        <f t="shared" si="61"/>
        <v>2.95</v>
      </c>
      <c r="K777" s="12">
        <v>40476</v>
      </c>
      <c r="L777" s="24">
        <v>0.10208333333333333</v>
      </c>
      <c r="M777" t="s">
        <v>1013</v>
      </c>
      <c r="N777" s="15" t="str">
        <f t="shared" si="62"/>
        <v>2:27 PM</v>
      </c>
      <c r="O777" s="9" t="s">
        <v>9</v>
      </c>
      <c r="P777" s="20">
        <f t="shared" si="64"/>
        <v>5.9</v>
      </c>
    </row>
    <row r="778" spans="1:16" x14ac:dyDescent="0.25">
      <c r="A778" s="9">
        <v>16791</v>
      </c>
      <c r="B778" s="9" t="s">
        <v>802</v>
      </c>
      <c r="C778" s="9" t="s">
        <v>803</v>
      </c>
      <c r="D778" s="17">
        <f t="shared" si="63"/>
        <v>2</v>
      </c>
      <c r="E778" s="10">
        <f t="shared" si="60"/>
        <v>2</v>
      </c>
      <c r="F778" s="11">
        <v>2</v>
      </c>
      <c r="G778" s="9">
        <v>511474</v>
      </c>
      <c r="H778" s="13">
        <v>40337.560416666667</v>
      </c>
      <c r="I778" s="14">
        <v>5.95</v>
      </c>
      <c r="J778" s="23">
        <f t="shared" si="61"/>
        <v>5.95</v>
      </c>
      <c r="K778" s="12">
        <v>40337</v>
      </c>
      <c r="L778" s="24">
        <v>6.0416666666666667E-2</v>
      </c>
      <c r="M778" t="s">
        <v>1013</v>
      </c>
      <c r="N778" s="15" t="str">
        <f t="shared" si="62"/>
        <v>1:27 PM</v>
      </c>
      <c r="O778" s="9" t="s">
        <v>9</v>
      </c>
      <c r="P778" s="20">
        <f t="shared" si="64"/>
        <v>11.9</v>
      </c>
    </row>
    <row r="779" spans="1:16" x14ac:dyDescent="0.25">
      <c r="A779" s="9">
        <v>15910</v>
      </c>
      <c r="B779" s="9">
        <v>84991</v>
      </c>
      <c r="C779" s="9" t="s">
        <v>666</v>
      </c>
      <c r="D779" s="17">
        <f t="shared" si="63"/>
        <v>1</v>
      </c>
      <c r="E779" s="10">
        <f t="shared" si="60"/>
        <v>1</v>
      </c>
      <c r="F779" s="11">
        <v>1</v>
      </c>
      <c r="G779" s="9">
        <v>511864</v>
      </c>
      <c r="H779" s="13">
        <v>40340.432638888888</v>
      </c>
      <c r="I779" s="14">
        <v>0.55000000000000004</v>
      </c>
      <c r="J779" s="23">
        <f t="shared" si="61"/>
        <v>0.55000000000000004</v>
      </c>
      <c r="K779" s="12">
        <v>40340</v>
      </c>
      <c r="L779" s="24">
        <v>0.43263888888888891</v>
      </c>
      <c r="M779" t="s">
        <v>1014</v>
      </c>
      <c r="N779" s="15" t="str">
        <f t="shared" si="62"/>
        <v>10:23 AM</v>
      </c>
      <c r="O779" s="9" t="s">
        <v>9</v>
      </c>
      <c r="P779" s="20">
        <f t="shared" si="64"/>
        <v>0.55000000000000004</v>
      </c>
    </row>
    <row r="780" spans="1:16" x14ac:dyDescent="0.25">
      <c r="A780" s="9">
        <v>15028</v>
      </c>
      <c r="B780" s="9">
        <v>84879</v>
      </c>
      <c r="C780" s="9" t="s">
        <v>143</v>
      </c>
      <c r="D780" s="17">
        <f t="shared" si="63"/>
        <v>9</v>
      </c>
      <c r="E780" s="10">
        <f t="shared" si="60"/>
        <v>9</v>
      </c>
      <c r="F780" s="11">
        <v>9</v>
      </c>
      <c r="G780" s="9">
        <v>535457</v>
      </c>
      <c r="H780" s="13">
        <v>40508.538888888892</v>
      </c>
      <c r="I780" s="14">
        <v>1.69</v>
      </c>
      <c r="J780" s="23">
        <f t="shared" si="61"/>
        <v>1.69</v>
      </c>
      <c r="K780" s="12">
        <v>40508</v>
      </c>
      <c r="L780" s="24">
        <v>0.53888888888888886</v>
      </c>
      <c r="M780" t="s">
        <v>1013</v>
      </c>
      <c r="N780" s="15" t="str">
        <f t="shared" si="62"/>
        <v>12:56 PM</v>
      </c>
      <c r="O780" s="9" t="s">
        <v>9</v>
      </c>
      <c r="P780" s="20">
        <f t="shared" si="64"/>
        <v>15.209999999999999</v>
      </c>
    </row>
    <row r="781" spans="1:16" x14ac:dyDescent="0.25">
      <c r="A781" s="9">
        <v>12708</v>
      </c>
      <c r="B781" s="9">
        <v>21239</v>
      </c>
      <c r="C781" s="9" t="s">
        <v>804</v>
      </c>
      <c r="D781" s="17">
        <f t="shared" si="63"/>
        <v>8</v>
      </c>
      <c r="E781" s="10">
        <f t="shared" si="60"/>
        <v>8</v>
      </c>
      <c r="F781" s="11">
        <v>8</v>
      </c>
      <c r="G781" s="9">
        <v>521958</v>
      </c>
      <c r="H781" s="13">
        <v>40430.759722222218</v>
      </c>
      <c r="I781" s="14">
        <v>0.85</v>
      </c>
      <c r="J781" s="23">
        <f t="shared" si="61"/>
        <v>0.85</v>
      </c>
      <c r="K781" s="12">
        <v>40430</v>
      </c>
      <c r="L781" s="24">
        <v>0.25972222222222224</v>
      </c>
      <c r="M781" t="s">
        <v>1013</v>
      </c>
      <c r="N781" s="15" t="str">
        <f t="shared" si="62"/>
        <v>6:14 PM</v>
      </c>
      <c r="O781" s="9" t="s">
        <v>17</v>
      </c>
      <c r="P781" s="20">
        <f t="shared" si="64"/>
        <v>6.8</v>
      </c>
    </row>
    <row r="782" spans="1:16" x14ac:dyDescent="0.25">
      <c r="A782" s="9">
        <v>12682</v>
      </c>
      <c r="B782" s="9">
        <v>22197</v>
      </c>
      <c r="C782" s="9" t="s">
        <v>805</v>
      </c>
      <c r="D782" s="17">
        <f t="shared" si="63"/>
        <v>12</v>
      </c>
      <c r="E782" s="10">
        <f t="shared" si="60"/>
        <v>12</v>
      </c>
      <c r="F782" s="11">
        <v>12</v>
      </c>
      <c r="G782" s="9">
        <v>521896</v>
      </c>
      <c r="H782" s="13">
        <v>40430.513194444437</v>
      </c>
      <c r="I782" s="14">
        <v>0.85</v>
      </c>
      <c r="J782" s="23">
        <f t="shared" si="61"/>
        <v>0.85</v>
      </c>
      <c r="K782" s="12">
        <v>40430</v>
      </c>
      <c r="L782" s="24">
        <v>0.5131944444444444</v>
      </c>
      <c r="M782" t="s">
        <v>1013</v>
      </c>
      <c r="N782" s="15" t="str">
        <f t="shared" si="62"/>
        <v>12:19 PM</v>
      </c>
      <c r="O782" s="9" t="s">
        <v>28</v>
      </c>
      <c r="P782" s="20">
        <f t="shared" si="64"/>
        <v>10.199999999999999</v>
      </c>
    </row>
    <row r="783" spans="1:16" x14ac:dyDescent="0.25">
      <c r="A783" s="9">
        <v>13590</v>
      </c>
      <c r="B783" s="9">
        <v>20975</v>
      </c>
      <c r="C783" s="9" t="s">
        <v>806</v>
      </c>
      <c r="D783" s="17">
        <f t="shared" si="63"/>
        <v>4</v>
      </c>
      <c r="E783" s="10">
        <f t="shared" si="60"/>
        <v>4</v>
      </c>
      <c r="F783" s="11">
        <v>4</v>
      </c>
      <c r="G783" s="9">
        <v>517336</v>
      </c>
      <c r="H783" s="13">
        <v>40387.566666666673</v>
      </c>
      <c r="I783" s="14">
        <v>0.65</v>
      </c>
      <c r="J783" s="23">
        <f t="shared" si="61"/>
        <v>0.65</v>
      </c>
      <c r="K783" s="12">
        <v>40387</v>
      </c>
      <c r="L783" s="24">
        <v>6.6666666666666666E-2</v>
      </c>
      <c r="M783" t="s">
        <v>1013</v>
      </c>
      <c r="N783" s="15" t="str">
        <f t="shared" si="62"/>
        <v>1:36 PM</v>
      </c>
      <c r="O783" s="9" t="s">
        <v>9</v>
      </c>
      <c r="P783" s="20">
        <f t="shared" si="64"/>
        <v>2.6</v>
      </c>
    </row>
    <row r="784" spans="1:16" x14ac:dyDescent="0.25">
      <c r="A784" s="9">
        <v>15754</v>
      </c>
      <c r="B784" s="9">
        <v>21590</v>
      </c>
      <c r="C784" s="9" t="s">
        <v>345</v>
      </c>
      <c r="D784" s="17">
        <f t="shared" si="63"/>
        <v>24</v>
      </c>
      <c r="E784" s="10">
        <f t="shared" si="60"/>
        <v>24</v>
      </c>
      <c r="F784" s="11">
        <v>24</v>
      </c>
      <c r="G784" s="9">
        <v>503251</v>
      </c>
      <c r="H784" s="17" t="s">
        <v>807</v>
      </c>
      <c r="I784" s="14">
        <v>1.25</v>
      </c>
      <c r="J784" s="23">
        <f t="shared" si="61"/>
        <v>1.25</v>
      </c>
      <c r="K784" t="s">
        <v>1017</v>
      </c>
      <c r="L784" s="25">
        <v>0.43888888888888888</v>
      </c>
      <c r="N784" s="15" t="str">
        <f t="shared" si="62"/>
        <v xml:space="preserve">10:32 </v>
      </c>
      <c r="O784" s="9" t="s">
        <v>9</v>
      </c>
      <c r="P784" s="20">
        <f t="shared" si="64"/>
        <v>30</v>
      </c>
    </row>
    <row r="785" spans="1:16" x14ac:dyDescent="0.25">
      <c r="A785" s="9">
        <v>16255</v>
      </c>
      <c r="B785" s="9">
        <v>22776</v>
      </c>
      <c r="C785" s="9" t="s">
        <v>808</v>
      </c>
      <c r="D785" s="17">
        <f t="shared" si="63"/>
        <v>1</v>
      </c>
      <c r="E785" s="10">
        <f t="shared" si="60"/>
        <v>1</v>
      </c>
      <c r="F785" s="11">
        <v>1</v>
      </c>
      <c r="G785" s="9">
        <v>530323</v>
      </c>
      <c r="H785" s="13">
        <v>40484.566666666673</v>
      </c>
      <c r="I785" s="14">
        <v>9.9499999999999993</v>
      </c>
      <c r="J785" s="23">
        <f t="shared" si="61"/>
        <v>9.9499999999999993</v>
      </c>
      <c r="K785" s="12">
        <v>40484</v>
      </c>
      <c r="L785" s="24">
        <v>6.6666666666666666E-2</v>
      </c>
      <c r="M785" t="s">
        <v>1013</v>
      </c>
      <c r="N785" s="15" t="str">
        <f t="shared" si="62"/>
        <v>1:36 PM</v>
      </c>
      <c r="O785" s="9" t="s">
        <v>9</v>
      </c>
      <c r="P785" s="20">
        <f t="shared" si="64"/>
        <v>9.9499999999999993</v>
      </c>
    </row>
    <row r="786" spans="1:16" x14ac:dyDescent="0.25">
      <c r="A786" s="9">
        <v>14395</v>
      </c>
      <c r="B786" s="9">
        <v>35644</v>
      </c>
      <c r="C786" s="9" t="s">
        <v>809</v>
      </c>
      <c r="D786" s="17">
        <f t="shared" si="63"/>
        <v>4</v>
      </c>
      <c r="E786" s="10">
        <f t="shared" si="60"/>
        <v>4</v>
      </c>
      <c r="F786" s="11">
        <v>4</v>
      </c>
      <c r="G786" s="9">
        <v>505364</v>
      </c>
      <c r="H786" s="13">
        <v>40289.656944444447</v>
      </c>
      <c r="I786" s="14">
        <v>1.95</v>
      </c>
      <c r="J786" s="23">
        <f t="shared" si="61"/>
        <v>1.95</v>
      </c>
      <c r="K786" s="12">
        <v>40289</v>
      </c>
      <c r="L786" s="24">
        <v>0.15694444444444444</v>
      </c>
      <c r="M786" t="s">
        <v>1013</v>
      </c>
      <c r="N786" s="15" t="str">
        <f t="shared" si="62"/>
        <v>3:46 PM</v>
      </c>
      <c r="O786" s="9" t="s">
        <v>9</v>
      </c>
      <c r="P786" s="20">
        <f t="shared" si="64"/>
        <v>7.8</v>
      </c>
    </row>
    <row r="787" spans="1:16" x14ac:dyDescent="0.25">
      <c r="A787" s="9">
        <v>14841</v>
      </c>
      <c r="B787" s="9">
        <v>22386</v>
      </c>
      <c r="C787" s="9" t="s">
        <v>810</v>
      </c>
      <c r="D787" s="17">
        <f t="shared" si="63"/>
        <v>10</v>
      </c>
      <c r="E787" s="10">
        <f t="shared" si="60"/>
        <v>10</v>
      </c>
      <c r="F787" s="11">
        <v>10</v>
      </c>
      <c r="G787" s="9">
        <v>517960</v>
      </c>
      <c r="H787" s="13">
        <v>40393.522222222222</v>
      </c>
      <c r="I787" s="14">
        <v>1.95</v>
      </c>
      <c r="J787" s="23">
        <f t="shared" si="61"/>
        <v>1.95</v>
      </c>
      <c r="K787" s="12">
        <v>40393</v>
      </c>
      <c r="L787" s="24">
        <v>0.52222222222222225</v>
      </c>
      <c r="M787" t="s">
        <v>1013</v>
      </c>
      <c r="N787" s="15" t="str">
        <f t="shared" si="62"/>
        <v>12:32 PM</v>
      </c>
      <c r="O787" s="9" t="s">
        <v>9</v>
      </c>
      <c r="P787" s="20">
        <f t="shared" si="64"/>
        <v>19.5</v>
      </c>
    </row>
    <row r="788" spans="1:16" x14ac:dyDescent="0.25">
      <c r="A788" s="9">
        <v>14069</v>
      </c>
      <c r="B788" s="9">
        <v>21158</v>
      </c>
      <c r="C788" s="9" t="s">
        <v>811</v>
      </c>
      <c r="D788" s="17">
        <f t="shared" si="63"/>
        <v>1</v>
      </c>
      <c r="E788" s="10">
        <f t="shared" si="60"/>
        <v>1</v>
      </c>
      <c r="F788" s="11">
        <v>1</v>
      </c>
      <c r="G788" s="9">
        <v>510141</v>
      </c>
      <c r="H788" s="13">
        <v>40325.520833333343</v>
      </c>
      <c r="I788" s="14">
        <v>1.45</v>
      </c>
      <c r="J788" s="23">
        <f t="shared" si="61"/>
        <v>1.45</v>
      </c>
      <c r="K788" s="12">
        <v>40325</v>
      </c>
      <c r="L788" s="24">
        <v>0.52083333333333337</v>
      </c>
      <c r="M788" t="s">
        <v>1013</v>
      </c>
      <c r="N788" s="15" t="str">
        <f t="shared" si="62"/>
        <v>12:30 PM</v>
      </c>
      <c r="O788" s="9" t="s">
        <v>9</v>
      </c>
      <c r="P788" s="20">
        <f t="shared" si="64"/>
        <v>1.45</v>
      </c>
    </row>
    <row r="789" spans="1:16" x14ac:dyDescent="0.25">
      <c r="A789" s="9">
        <v>14180</v>
      </c>
      <c r="B789" s="9">
        <v>21755</v>
      </c>
      <c r="C789" s="9" t="s">
        <v>360</v>
      </c>
      <c r="D789" s="17">
        <f t="shared" si="63"/>
        <v>3</v>
      </c>
      <c r="E789" s="10">
        <f t="shared" si="60"/>
        <v>3</v>
      </c>
      <c r="F789" s="11">
        <v>3</v>
      </c>
      <c r="G789" s="9">
        <v>525433</v>
      </c>
      <c r="H789" s="13">
        <v>40456.552083333343</v>
      </c>
      <c r="I789" s="14">
        <v>5.95</v>
      </c>
      <c r="J789" s="23">
        <f t="shared" si="61"/>
        <v>5.95</v>
      </c>
      <c r="K789" s="12">
        <v>40456</v>
      </c>
      <c r="L789" s="24">
        <v>5.2083333333333336E-2</v>
      </c>
      <c r="M789" t="s">
        <v>1013</v>
      </c>
      <c r="N789" s="15" t="str">
        <f t="shared" si="62"/>
        <v>1:15 PM</v>
      </c>
      <c r="O789" s="9" t="s">
        <v>9</v>
      </c>
      <c r="P789" s="20">
        <f t="shared" si="64"/>
        <v>17.850000000000001</v>
      </c>
    </row>
    <row r="790" spans="1:16" x14ac:dyDescent="0.25">
      <c r="A790" s="9">
        <v>12858</v>
      </c>
      <c r="B790" s="9">
        <v>21107</v>
      </c>
      <c r="C790" s="9" t="s">
        <v>672</v>
      </c>
      <c r="D790" s="17">
        <f t="shared" si="63"/>
        <v>1</v>
      </c>
      <c r="E790" s="10">
        <f t="shared" si="60"/>
        <v>1</v>
      </c>
      <c r="F790" s="11">
        <v>1</v>
      </c>
      <c r="G790" s="9">
        <v>534160</v>
      </c>
      <c r="H790" s="13">
        <v>40503.538194444453</v>
      </c>
      <c r="I790" s="14">
        <v>2.95</v>
      </c>
      <c r="J790" s="23">
        <f t="shared" si="61"/>
        <v>2.95</v>
      </c>
      <c r="K790" s="12">
        <v>40503</v>
      </c>
      <c r="L790" s="24">
        <v>0.53819444444444442</v>
      </c>
      <c r="M790" t="s">
        <v>1013</v>
      </c>
      <c r="N790" s="15" t="str">
        <f t="shared" si="62"/>
        <v>12:55 PM</v>
      </c>
      <c r="O790" s="9" t="s">
        <v>9</v>
      </c>
      <c r="P790" s="20">
        <f t="shared" si="64"/>
        <v>2.95</v>
      </c>
    </row>
    <row r="791" spans="1:16" x14ac:dyDescent="0.25">
      <c r="A791" s="9">
        <v>15651</v>
      </c>
      <c r="B791" s="9">
        <v>22554</v>
      </c>
      <c r="C791" s="9" t="s">
        <v>812</v>
      </c>
      <c r="D791" s="17">
        <f t="shared" si="63"/>
        <v>12</v>
      </c>
      <c r="E791" s="10">
        <f t="shared" si="60"/>
        <v>12</v>
      </c>
      <c r="F791" s="11">
        <v>12</v>
      </c>
      <c r="G791" s="9">
        <v>505496</v>
      </c>
      <c r="H791" s="13">
        <v>40290.55972222222</v>
      </c>
      <c r="I791" s="14">
        <v>1.65</v>
      </c>
      <c r="J791" s="23">
        <f t="shared" si="61"/>
        <v>1.65</v>
      </c>
      <c r="K791" s="12">
        <v>40290</v>
      </c>
      <c r="L791" s="24">
        <v>5.9722222222222225E-2</v>
      </c>
      <c r="M791" t="s">
        <v>1013</v>
      </c>
      <c r="N791" s="15" t="str">
        <f t="shared" si="62"/>
        <v>1:26 PM</v>
      </c>
      <c r="O791" s="9" t="s">
        <v>9</v>
      </c>
      <c r="P791" s="20">
        <f t="shared" si="64"/>
        <v>19.799999999999997</v>
      </c>
    </row>
    <row r="792" spans="1:16" x14ac:dyDescent="0.25">
      <c r="A792" s="9">
        <v>16293</v>
      </c>
      <c r="B792" s="9">
        <v>21744</v>
      </c>
      <c r="C792" s="9" t="s">
        <v>813</v>
      </c>
      <c r="D792" s="17">
        <f t="shared" si="63"/>
        <v>12</v>
      </c>
      <c r="E792" s="10">
        <f t="shared" si="60"/>
        <v>12</v>
      </c>
      <c r="F792" s="11">
        <v>12</v>
      </c>
      <c r="G792" s="9">
        <v>524420</v>
      </c>
      <c r="H792" s="13">
        <v>40450.431944444441</v>
      </c>
      <c r="I792" s="14">
        <v>2.95</v>
      </c>
      <c r="J792" s="23">
        <f t="shared" si="61"/>
        <v>2.95</v>
      </c>
      <c r="K792" s="12">
        <v>40450</v>
      </c>
      <c r="L792" s="24">
        <v>0.43194444444444446</v>
      </c>
      <c r="M792" t="s">
        <v>1014</v>
      </c>
      <c r="N792" s="15" t="str">
        <f t="shared" si="62"/>
        <v>10:22 AM</v>
      </c>
      <c r="O792" s="9" t="s">
        <v>9</v>
      </c>
      <c r="P792" s="20">
        <f t="shared" si="64"/>
        <v>35.400000000000006</v>
      </c>
    </row>
    <row r="793" spans="1:16" x14ac:dyDescent="0.25">
      <c r="A793" s="9">
        <v>17469</v>
      </c>
      <c r="B793" s="9">
        <v>21870</v>
      </c>
      <c r="C793" s="9" t="s">
        <v>192</v>
      </c>
      <c r="D793" s="17">
        <f t="shared" si="63"/>
        <v>12</v>
      </c>
      <c r="E793" s="10">
        <f t="shared" si="60"/>
        <v>12</v>
      </c>
      <c r="F793" s="11">
        <v>12</v>
      </c>
      <c r="G793" s="9">
        <v>518767</v>
      </c>
      <c r="H793" s="13">
        <v>40401.618055555547</v>
      </c>
      <c r="I793" s="14">
        <v>1.25</v>
      </c>
      <c r="J793" s="23">
        <f t="shared" si="61"/>
        <v>1.25</v>
      </c>
      <c r="K793" s="12">
        <v>40401</v>
      </c>
      <c r="L793" s="24">
        <v>0.11805555555555555</v>
      </c>
      <c r="M793" t="s">
        <v>1013</v>
      </c>
      <c r="N793" s="15" t="str">
        <f t="shared" si="62"/>
        <v>2:50 PM</v>
      </c>
      <c r="O793" s="9" t="s">
        <v>9</v>
      </c>
      <c r="P793" s="20">
        <f t="shared" si="64"/>
        <v>15</v>
      </c>
    </row>
    <row r="794" spans="1:16" x14ac:dyDescent="0.25">
      <c r="A794" s="9">
        <v>16779</v>
      </c>
      <c r="B794" s="9">
        <v>22332</v>
      </c>
      <c r="C794" s="9" t="s">
        <v>814</v>
      </c>
      <c r="D794" s="17">
        <f t="shared" si="63"/>
        <v>3</v>
      </c>
      <c r="E794" s="10">
        <f t="shared" si="60"/>
        <v>3</v>
      </c>
      <c r="F794" s="11">
        <v>3</v>
      </c>
      <c r="G794" s="9">
        <v>517487</v>
      </c>
      <c r="H794" s="13">
        <v>40388.523611111108</v>
      </c>
      <c r="I794" s="14">
        <v>1.65</v>
      </c>
      <c r="J794" s="23">
        <f t="shared" si="61"/>
        <v>1.65</v>
      </c>
      <c r="K794" s="12">
        <v>40388</v>
      </c>
      <c r="L794" s="24">
        <v>0.52361111111111114</v>
      </c>
      <c r="M794" t="s">
        <v>1013</v>
      </c>
      <c r="N794" s="15" t="str">
        <f t="shared" si="62"/>
        <v>12:34 PM</v>
      </c>
      <c r="O794" s="9" t="s">
        <v>9</v>
      </c>
      <c r="P794" s="20">
        <f t="shared" si="64"/>
        <v>4.9499999999999993</v>
      </c>
    </row>
    <row r="795" spans="1:16" x14ac:dyDescent="0.25">
      <c r="A795" s="9">
        <v>16515</v>
      </c>
      <c r="B795" s="9">
        <v>22147</v>
      </c>
      <c r="C795" s="9" t="s">
        <v>387</v>
      </c>
      <c r="D795" s="17">
        <f t="shared" si="63"/>
        <v>1</v>
      </c>
      <c r="E795" s="10">
        <f t="shared" si="60"/>
        <v>1</v>
      </c>
      <c r="F795" s="11">
        <v>1</v>
      </c>
      <c r="G795" s="9">
        <v>527819</v>
      </c>
      <c r="H795" s="13">
        <v>40470.473611111112</v>
      </c>
      <c r="I795" s="14">
        <v>1.45</v>
      </c>
      <c r="J795" s="23">
        <f t="shared" si="61"/>
        <v>1.45</v>
      </c>
      <c r="K795" s="12">
        <v>40470</v>
      </c>
      <c r="L795" s="24">
        <v>0.47361111111111109</v>
      </c>
      <c r="M795" t="s">
        <v>1014</v>
      </c>
      <c r="N795" s="15" t="str">
        <f t="shared" si="62"/>
        <v>11:22 AM</v>
      </c>
      <c r="O795" s="9" t="s">
        <v>9</v>
      </c>
      <c r="P795" s="20">
        <f t="shared" si="64"/>
        <v>1.45</v>
      </c>
    </row>
    <row r="796" spans="1:16" x14ac:dyDescent="0.25">
      <c r="A796" s="9">
        <v>17282</v>
      </c>
      <c r="B796" s="9">
        <v>20906</v>
      </c>
      <c r="C796" s="9" t="s">
        <v>815</v>
      </c>
      <c r="D796" s="17">
        <f t="shared" si="63"/>
        <v>1</v>
      </c>
      <c r="E796" s="10">
        <f t="shared" si="60"/>
        <v>1</v>
      </c>
      <c r="F796" s="11">
        <v>1</v>
      </c>
      <c r="G796" s="9">
        <v>521970</v>
      </c>
      <c r="H796" s="13">
        <v>40430.807638888888</v>
      </c>
      <c r="I796" s="14">
        <v>1.25</v>
      </c>
      <c r="J796" s="23">
        <f t="shared" si="61"/>
        <v>1.25</v>
      </c>
      <c r="K796" s="12">
        <v>40430</v>
      </c>
      <c r="L796" s="24">
        <v>0.30763888888888891</v>
      </c>
      <c r="M796" t="s">
        <v>1013</v>
      </c>
      <c r="N796" s="15" t="str">
        <f t="shared" si="62"/>
        <v>7:23 PM</v>
      </c>
      <c r="O796" s="9" t="s">
        <v>9</v>
      </c>
      <c r="P796" s="20">
        <f t="shared" si="64"/>
        <v>1.25</v>
      </c>
    </row>
    <row r="797" spans="1:16" x14ac:dyDescent="0.25">
      <c r="A797" s="9">
        <v>13804</v>
      </c>
      <c r="B797" s="9">
        <v>21445</v>
      </c>
      <c r="C797" s="9" t="s">
        <v>490</v>
      </c>
      <c r="D797" s="17">
        <f t="shared" si="63"/>
        <v>12</v>
      </c>
      <c r="E797" s="10">
        <f t="shared" si="60"/>
        <v>12</v>
      </c>
      <c r="F797" s="11">
        <v>12</v>
      </c>
      <c r="G797" s="9">
        <v>524421</v>
      </c>
      <c r="H797" s="13">
        <v>40450.43472222222</v>
      </c>
      <c r="I797" s="14">
        <v>1.25</v>
      </c>
      <c r="J797" s="23">
        <f t="shared" si="61"/>
        <v>1.25</v>
      </c>
      <c r="K797" s="12">
        <v>40450</v>
      </c>
      <c r="L797" s="24">
        <v>0.43472222222222223</v>
      </c>
      <c r="M797" t="s">
        <v>1014</v>
      </c>
      <c r="N797" s="15" t="str">
        <f t="shared" si="62"/>
        <v>10:26 AM</v>
      </c>
      <c r="O797" s="9" t="s">
        <v>9</v>
      </c>
      <c r="P797" s="20">
        <f t="shared" si="64"/>
        <v>15</v>
      </c>
    </row>
    <row r="798" spans="1:16" x14ac:dyDescent="0.25">
      <c r="A798" s="9">
        <v>15288</v>
      </c>
      <c r="B798" s="9">
        <v>22328</v>
      </c>
      <c r="C798" s="9" t="s">
        <v>91</v>
      </c>
      <c r="D798" s="17">
        <f t="shared" si="63"/>
        <v>1</v>
      </c>
      <c r="E798" s="10">
        <f t="shared" si="60"/>
        <v>1</v>
      </c>
      <c r="F798" s="11" t="s">
        <v>330</v>
      </c>
      <c r="G798" s="9">
        <v>505615</v>
      </c>
      <c r="H798" s="13">
        <v>40291.53402777778</v>
      </c>
      <c r="I798" s="14">
        <v>2.95</v>
      </c>
      <c r="J798" s="23">
        <f t="shared" si="61"/>
        <v>2.95</v>
      </c>
      <c r="K798" s="12">
        <v>40291</v>
      </c>
      <c r="L798" s="24">
        <v>0.53402777777777777</v>
      </c>
      <c r="M798" t="s">
        <v>1013</v>
      </c>
      <c r="N798" s="15" t="str">
        <f t="shared" si="62"/>
        <v>12:49 PM</v>
      </c>
      <c r="O798" s="9" t="s">
        <v>9</v>
      </c>
      <c r="P798" s="20">
        <f t="shared" si="64"/>
        <v>2.95</v>
      </c>
    </row>
    <row r="799" spans="1:16" x14ac:dyDescent="0.25">
      <c r="A799" s="9">
        <v>14154</v>
      </c>
      <c r="B799" s="9">
        <v>22777</v>
      </c>
      <c r="C799" s="9" t="s">
        <v>816</v>
      </c>
      <c r="D799" s="17">
        <f t="shared" si="63"/>
        <v>2</v>
      </c>
      <c r="E799" s="10">
        <f t="shared" si="60"/>
        <v>2</v>
      </c>
      <c r="F799" s="11">
        <v>2</v>
      </c>
      <c r="G799" s="9">
        <v>534720</v>
      </c>
      <c r="H799" s="13">
        <v>40505.745138888888</v>
      </c>
      <c r="I799" s="14">
        <v>8.5</v>
      </c>
      <c r="J799" s="23">
        <f t="shared" si="61"/>
        <v>8.5</v>
      </c>
      <c r="K799" s="12">
        <v>40505</v>
      </c>
      <c r="L799" s="24">
        <v>0.24513888888888888</v>
      </c>
      <c r="M799" t="s">
        <v>1013</v>
      </c>
      <c r="N799" s="15" t="str">
        <f t="shared" si="62"/>
        <v>5:53 PM</v>
      </c>
      <c r="O799" s="9" t="s">
        <v>9</v>
      </c>
      <c r="P799" s="20">
        <f t="shared" si="64"/>
        <v>17</v>
      </c>
    </row>
    <row r="800" spans="1:16" x14ac:dyDescent="0.25">
      <c r="A800" s="9">
        <v>17576</v>
      </c>
      <c r="B800" s="9">
        <v>85048</v>
      </c>
      <c r="C800" s="9" t="s">
        <v>817</v>
      </c>
      <c r="D800" s="17">
        <f t="shared" si="63"/>
        <v>1</v>
      </c>
      <c r="E800" s="10">
        <f t="shared" si="60"/>
        <v>1</v>
      </c>
      <c r="F800" s="11">
        <v>1</v>
      </c>
      <c r="G800" s="9">
        <v>533551</v>
      </c>
      <c r="H800" s="13">
        <v>40499.713888888888</v>
      </c>
      <c r="I800" s="14">
        <v>7.95</v>
      </c>
      <c r="J800" s="23">
        <f t="shared" si="61"/>
        <v>7.95</v>
      </c>
      <c r="K800" s="12">
        <v>40499</v>
      </c>
      <c r="L800" s="24">
        <v>0.21388888888888888</v>
      </c>
      <c r="M800" t="s">
        <v>1013</v>
      </c>
      <c r="N800" s="15" t="str">
        <f t="shared" si="62"/>
        <v>5:08 PM</v>
      </c>
      <c r="O800" s="9" t="s">
        <v>9</v>
      </c>
      <c r="P800" s="20">
        <f t="shared" si="64"/>
        <v>7.95</v>
      </c>
    </row>
    <row r="801" spans="1:16" x14ac:dyDescent="0.25">
      <c r="A801" s="9">
        <v>17049</v>
      </c>
      <c r="B801" s="9">
        <v>22063</v>
      </c>
      <c r="C801" s="9" t="s">
        <v>487</v>
      </c>
      <c r="D801" s="17">
        <f t="shared" si="63"/>
        <v>6</v>
      </c>
      <c r="E801" s="10">
        <f t="shared" si="60"/>
        <v>6</v>
      </c>
      <c r="F801" s="11">
        <v>6</v>
      </c>
      <c r="G801" s="9">
        <v>503361</v>
      </c>
      <c r="H801" s="13">
        <v>40268.585416666669</v>
      </c>
      <c r="I801" s="14">
        <v>2.95</v>
      </c>
      <c r="J801" s="23">
        <f t="shared" si="61"/>
        <v>2.95</v>
      </c>
      <c r="K801" s="12">
        <v>40268</v>
      </c>
      <c r="L801" s="24">
        <v>8.5416666666666669E-2</v>
      </c>
      <c r="M801" t="s">
        <v>1013</v>
      </c>
      <c r="N801" s="15" t="str">
        <f t="shared" si="62"/>
        <v>2:03 PM</v>
      </c>
      <c r="O801" s="9" t="s">
        <v>9</v>
      </c>
      <c r="P801" s="20">
        <f t="shared" si="64"/>
        <v>17.700000000000003</v>
      </c>
    </row>
    <row r="802" spans="1:16" x14ac:dyDescent="0.25">
      <c r="A802" s="9">
        <v>16200</v>
      </c>
      <c r="B802" s="9">
        <v>82482</v>
      </c>
      <c r="C802" s="9" t="s">
        <v>818</v>
      </c>
      <c r="D802" s="17">
        <f t="shared" si="63"/>
        <v>3</v>
      </c>
      <c r="E802" s="10">
        <f t="shared" si="60"/>
        <v>3</v>
      </c>
      <c r="F802" s="11">
        <v>3</v>
      </c>
      <c r="G802" s="9">
        <v>489866</v>
      </c>
      <c r="H802" s="13">
        <v>40149.62777777778</v>
      </c>
      <c r="I802" s="14">
        <v>2.5499999999999998</v>
      </c>
      <c r="J802" s="23">
        <f t="shared" si="61"/>
        <v>2.5499999999999998</v>
      </c>
      <c r="K802" s="12">
        <v>40149</v>
      </c>
      <c r="L802" s="24">
        <v>0.12777777777777777</v>
      </c>
      <c r="M802" t="s">
        <v>1013</v>
      </c>
      <c r="N802" s="15" t="str">
        <f t="shared" si="62"/>
        <v>3:04 PM</v>
      </c>
      <c r="O802" s="9" t="s">
        <v>9</v>
      </c>
      <c r="P802" s="20">
        <f t="shared" si="64"/>
        <v>7.6499999999999995</v>
      </c>
    </row>
    <row r="803" spans="1:16" x14ac:dyDescent="0.25">
      <c r="A803" s="9">
        <v>12695</v>
      </c>
      <c r="B803" s="9" t="s">
        <v>819</v>
      </c>
      <c r="C803" s="9" t="s">
        <v>820</v>
      </c>
      <c r="D803" s="17">
        <f t="shared" si="63"/>
        <v>3</v>
      </c>
      <c r="E803" s="10">
        <f t="shared" si="60"/>
        <v>3</v>
      </c>
      <c r="F803" s="11">
        <v>3</v>
      </c>
      <c r="G803" s="9">
        <v>497798</v>
      </c>
      <c r="H803" s="13">
        <v>40221.556944444441</v>
      </c>
      <c r="I803" s="14">
        <v>5.45</v>
      </c>
      <c r="J803" s="23">
        <f t="shared" si="61"/>
        <v>5.45</v>
      </c>
      <c r="K803" s="12">
        <v>40221</v>
      </c>
      <c r="L803" s="24">
        <v>5.6944444444444443E-2</v>
      </c>
      <c r="M803" t="s">
        <v>1013</v>
      </c>
      <c r="N803" s="15" t="str">
        <f t="shared" si="62"/>
        <v>1:22 PM</v>
      </c>
      <c r="O803" s="9" t="s">
        <v>28</v>
      </c>
      <c r="P803" s="20">
        <f t="shared" si="64"/>
        <v>16.350000000000001</v>
      </c>
    </row>
    <row r="804" spans="1:16" x14ac:dyDescent="0.25">
      <c r="A804" s="9">
        <v>18197</v>
      </c>
      <c r="B804" s="9">
        <v>22109</v>
      </c>
      <c r="C804" s="9" t="s">
        <v>821</v>
      </c>
      <c r="D804" s="17">
        <f t="shared" si="63"/>
        <v>8</v>
      </c>
      <c r="E804" s="10">
        <f t="shared" si="60"/>
        <v>8</v>
      </c>
      <c r="F804" s="11">
        <v>8</v>
      </c>
      <c r="G804" s="9">
        <v>508117</v>
      </c>
      <c r="H804" s="13">
        <v>40311.448611111111</v>
      </c>
      <c r="I804" s="14">
        <v>3.75</v>
      </c>
      <c r="J804" s="23">
        <f t="shared" si="61"/>
        <v>3.75</v>
      </c>
      <c r="K804" s="12">
        <v>40311</v>
      </c>
      <c r="L804" s="24">
        <v>0.44861111111111113</v>
      </c>
      <c r="M804" t="s">
        <v>1014</v>
      </c>
      <c r="N804" s="15" t="str">
        <f t="shared" si="62"/>
        <v>10:46 AM</v>
      </c>
      <c r="O804" s="9" t="s">
        <v>9</v>
      </c>
      <c r="P804" s="20">
        <f t="shared" si="64"/>
        <v>30</v>
      </c>
    </row>
    <row r="805" spans="1:16" x14ac:dyDescent="0.25">
      <c r="A805" s="9">
        <v>16101</v>
      </c>
      <c r="B805" s="9">
        <v>22608</v>
      </c>
      <c r="C805" s="9" t="s">
        <v>822</v>
      </c>
      <c r="D805" s="17">
        <f t="shared" si="63"/>
        <v>36</v>
      </c>
      <c r="E805" s="10">
        <f t="shared" si="60"/>
        <v>36</v>
      </c>
      <c r="F805" s="11">
        <v>36</v>
      </c>
      <c r="G805" s="9">
        <v>524879</v>
      </c>
      <c r="H805" s="13">
        <v>40452.447916666657</v>
      </c>
      <c r="I805" s="14">
        <v>0.85</v>
      </c>
      <c r="J805" s="23">
        <f t="shared" si="61"/>
        <v>0.85</v>
      </c>
      <c r="K805" s="12">
        <v>40452</v>
      </c>
      <c r="L805" s="24">
        <v>0.44791666666666669</v>
      </c>
      <c r="M805" t="s">
        <v>1014</v>
      </c>
      <c r="N805" s="15" t="str">
        <f t="shared" si="62"/>
        <v>10:45 AM</v>
      </c>
      <c r="O805" s="9" t="s">
        <v>9</v>
      </c>
      <c r="P805" s="20">
        <f t="shared" si="64"/>
        <v>30.599999999999998</v>
      </c>
    </row>
    <row r="806" spans="1:16" x14ac:dyDescent="0.25">
      <c r="A806" s="9">
        <v>17221</v>
      </c>
      <c r="B806" s="9">
        <v>84773</v>
      </c>
      <c r="C806" s="9" t="s">
        <v>823</v>
      </c>
      <c r="D806" s="17">
        <f t="shared" si="63"/>
        <v>1</v>
      </c>
      <c r="E806" s="10">
        <f t="shared" si="60"/>
        <v>1</v>
      </c>
      <c r="F806" s="11">
        <v>1</v>
      </c>
      <c r="G806" s="9">
        <v>504157</v>
      </c>
      <c r="H806" s="13">
        <v>40279.648611111108</v>
      </c>
      <c r="I806" s="14">
        <v>2.95</v>
      </c>
      <c r="J806" s="23">
        <f t="shared" si="61"/>
        <v>2.95</v>
      </c>
      <c r="K806" s="12">
        <v>40279</v>
      </c>
      <c r="L806" s="24">
        <v>0.14861111111111111</v>
      </c>
      <c r="M806" t="s">
        <v>1013</v>
      </c>
      <c r="N806" s="15" t="str">
        <f t="shared" si="62"/>
        <v>3:34 PM</v>
      </c>
      <c r="O806" s="9" t="s">
        <v>9</v>
      </c>
      <c r="P806" s="20">
        <f t="shared" si="64"/>
        <v>2.95</v>
      </c>
    </row>
    <row r="807" spans="1:16" x14ac:dyDescent="0.25">
      <c r="A807" s="9">
        <v>17409</v>
      </c>
      <c r="B807" s="9">
        <v>21175</v>
      </c>
      <c r="C807" s="9" t="s">
        <v>118</v>
      </c>
      <c r="D807" s="17">
        <f t="shared" si="63"/>
        <v>48</v>
      </c>
      <c r="E807" s="10">
        <f t="shared" si="60"/>
        <v>48</v>
      </c>
      <c r="F807" s="11">
        <v>48</v>
      </c>
      <c r="G807" s="9">
        <v>491497</v>
      </c>
      <c r="H807" s="13">
        <v>40158.511805555558</v>
      </c>
      <c r="I807" s="14">
        <v>1.85</v>
      </c>
      <c r="J807" s="23">
        <f t="shared" si="61"/>
        <v>1.85</v>
      </c>
      <c r="K807" s="12">
        <v>40158</v>
      </c>
      <c r="L807" s="24">
        <v>0.51180555555555551</v>
      </c>
      <c r="M807" t="s">
        <v>1013</v>
      </c>
      <c r="N807" s="15" t="str">
        <f t="shared" si="62"/>
        <v>12:17 PM</v>
      </c>
      <c r="O807" s="9" t="s">
        <v>9</v>
      </c>
      <c r="P807" s="20">
        <f t="shared" si="64"/>
        <v>88.800000000000011</v>
      </c>
    </row>
    <row r="808" spans="1:16" x14ac:dyDescent="0.25">
      <c r="A808" s="9">
        <v>15981</v>
      </c>
      <c r="B808" s="9">
        <v>21931</v>
      </c>
      <c r="C808" s="9" t="s">
        <v>434</v>
      </c>
      <c r="D808" s="17">
        <f t="shared" si="63"/>
        <v>20</v>
      </c>
      <c r="E808" s="10">
        <f t="shared" si="60"/>
        <v>20</v>
      </c>
      <c r="F808" s="11">
        <v>20</v>
      </c>
      <c r="G808" s="9">
        <v>512827</v>
      </c>
      <c r="H808" s="13">
        <v>40347.481944444437</v>
      </c>
      <c r="I808" s="14">
        <v>1.95</v>
      </c>
      <c r="J808" s="23">
        <f t="shared" si="61"/>
        <v>1.95</v>
      </c>
      <c r="K808" s="12">
        <v>40347</v>
      </c>
      <c r="L808" s="24">
        <v>0.48194444444444445</v>
      </c>
      <c r="M808" t="s">
        <v>1014</v>
      </c>
      <c r="N808" s="15" t="str">
        <f t="shared" si="62"/>
        <v>11:34 AM</v>
      </c>
      <c r="O808" s="9" t="s">
        <v>9</v>
      </c>
      <c r="P808" s="20">
        <f t="shared" si="64"/>
        <v>39</v>
      </c>
    </row>
    <row r="809" spans="1:16" x14ac:dyDescent="0.25">
      <c r="A809" s="9">
        <v>13985</v>
      </c>
      <c r="B809" s="9" t="s">
        <v>277</v>
      </c>
      <c r="C809" s="9" t="s">
        <v>278</v>
      </c>
      <c r="D809" s="17">
        <f t="shared" si="63"/>
        <v>10</v>
      </c>
      <c r="E809" s="10">
        <f t="shared" si="60"/>
        <v>10</v>
      </c>
      <c r="F809" s="11">
        <v>10</v>
      </c>
      <c r="G809" s="9">
        <v>526746</v>
      </c>
      <c r="H809" s="13">
        <v>40464.388888888891</v>
      </c>
      <c r="I809" s="14">
        <v>1.95</v>
      </c>
      <c r="J809" s="23">
        <f t="shared" si="61"/>
        <v>1.95</v>
      </c>
      <c r="K809" s="12">
        <v>40464</v>
      </c>
      <c r="L809" s="24">
        <v>0.3888888888888889</v>
      </c>
      <c r="M809" t="s">
        <v>1014</v>
      </c>
      <c r="N809" s="15" t="str">
        <f t="shared" si="62"/>
        <v>9:20 AM</v>
      </c>
      <c r="O809" s="9" t="s">
        <v>9</v>
      </c>
      <c r="P809" s="20">
        <f t="shared" si="64"/>
        <v>19.5</v>
      </c>
    </row>
    <row r="810" spans="1:16" x14ac:dyDescent="0.25">
      <c r="A810" s="9">
        <v>16300</v>
      </c>
      <c r="B810" s="9">
        <v>84880</v>
      </c>
      <c r="C810" s="9" t="s">
        <v>824</v>
      </c>
      <c r="D810" s="17">
        <f t="shared" si="63"/>
        <v>2</v>
      </c>
      <c r="E810" s="10">
        <f t="shared" si="60"/>
        <v>2</v>
      </c>
      <c r="F810" s="11">
        <v>2</v>
      </c>
      <c r="G810" s="9">
        <v>502419</v>
      </c>
      <c r="H810" s="13">
        <v>40261.510416666657</v>
      </c>
      <c r="I810" s="14">
        <v>5.95</v>
      </c>
      <c r="J810" s="23">
        <f t="shared" si="61"/>
        <v>5.95</v>
      </c>
      <c r="K810" s="12">
        <v>40261</v>
      </c>
      <c r="L810" s="24">
        <v>0.51041666666666663</v>
      </c>
      <c r="M810" t="s">
        <v>1013</v>
      </c>
      <c r="N810" s="15" t="str">
        <f t="shared" si="62"/>
        <v>12:15 PM</v>
      </c>
      <c r="O810" s="9" t="s">
        <v>9</v>
      </c>
      <c r="P810" s="20">
        <f t="shared" si="64"/>
        <v>11.9</v>
      </c>
    </row>
    <row r="811" spans="1:16" x14ac:dyDescent="0.25">
      <c r="A811" s="9">
        <v>18047</v>
      </c>
      <c r="B811" s="9">
        <v>22516</v>
      </c>
      <c r="C811" s="9" t="s">
        <v>825</v>
      </c>
      <c r="D811" s="17">
        <f t="shared" si="63"/>
        <v>1</v>
      </c>
      <c r="E811" s="10">
        <f t="shared" si="60"/>
        <v>1</v>
      </c>
      <c r="F811" s="11">
        <v>1</v>
      </c>
      <c r="G811" s="9">
        <v>534631</v>
      </c>
      <c r="H811" s="13">
        <v>40505.539583333331</v>
      </c>
      <c r="I811" s="14">
        <v>2.1</v>
      </c>
      <c r="J811" s="23">
        <f t="shared" si="61"/>
        <v>2.1</v>
      </c>
      <c r="K811" s="12">
        <v>40505</v>
      </c>
      <c r="L811" s="24">
        <v>0.5395833333333333</v>
      </c>
      <c r="M811" t="s">
        <v>1013</v>
      </c>
      <c r="N811" s="15" t="str">
        <f t="shared" si="62"/>
        <v>12:57 PM</v>
      </c>
      <c r="O811" s="9" t="s">
        <v>9</v>
      </c>
      <c r="P811" s="20">
        <f t="shared" si="64"/>
        <v>2.1</v>
      </c>
    </row>
    <row r="812" spans="1:16" x14ac:dyDescent="0.25">
      <c r="A812" s="9">
        <v>16200</v>
      </c>
      <c r="B812" s="9">
        <v>85151</v>
      </c>
      <c r="C812" s="9" t="s">
        <v>826</v>
      </c>
      <c r="D812" s="17">
        <f t="shared" si="63"/>
        <v>5</v>
      </c>
      <c r="E812" s="10">
        <f t="shared" si="60"/>
        <v>5</v>
      </c>
      <c r="F812" s="11">
        <v>5</v>
      </c>
      <c r="G812" s="9">
        <v>489866</v>
      </c>
      <c r="H812" s="13">
        <v>40149.62777777778</v>
      </c>
      <c r="I812" s="14">
        <v>1.25</v>
      </c>
      <c r="J812" s="23">
        <f t="shared" si="61"/>
        <v>1.25</v>
      </c>
      <c r="K812" s="12">
        <v>40149</v>
      </c>
      <c r="L812" s="24">
        <v>0.12777777777777777</v>
      </c>
      <c r="M812" t="s">
        <v>1013</v>
      </c>
      <c r="N812" s="15" t="str">
        <f t="shared" si="62"/>
        <v>3:04 PM</v>
      </c>
      <c r="O812" s="9" t="s">
        <v>9</v>
      </c>
      <c r="P812" s="20">
        <f t="shared" si="64"/>
        <v>6.25</v>
      </c>
    </row>
    <row r="813" spans="1:16" x14ac:dyDescent="0.25">
      <c r="A813" s="9">
        <v>16788</v>
      </c>
      <c r="B813" s="9">
        <v>21827</v>
      </c>
      <c r="C813" s="9" t="s">
        <v>827</v>
      </c>
      <c r="D813" s="17">
        <f t="shared" si="63"/>
        <v>3</v>
      </c>
      <c r="E813" s="10">
        <f t="shared" si="60"/>
        <v>3</v>
      </c>
      <c r="F813" s="11">
        <v>3</v>
      </c>
      <c r="G813" s="9">
        <v>529850</v>
      </c>
      <c r="H813" s="13">
        <v>40482.565972222219</v>
      </c>
      <c r="I813" s="14">
        <v>1.25</v>
      </c>
      <c r="J813" s="23">
        <f t="shared" si="61"/>
        <v>1.25</v>
      </c>
      <c r="K813" s="12">
        <v>40482</v>
      </c>
      <c r="L813" s="24">
        <v>6.5972222222222224E-2</v>
      </c>
      <c r="M813" t="s">
        <v>1013</v>
      </c>
      <c r="N813" s="15" t="str">
        <f t="shared" si="62"/>
        <v>1:35 PM</v>
      </c>
      <c r="O813" s="9" t="s">
        <v>9</v>
      </c>
      <c r="P813" s="20">
        <f t="shared" si="64"/>
        <v>3.75</v>
      </c>
    </row>
    <row r="814" spans="1:16" x14ac:dyDescent="0.25">
      <c r="A814" s="9">
        <v>15716</v>
      </c>
      <c r="B814" s="9" t="s">
        <v>482</v>
      </c>
      <c r="C814" s="9" t="s">
        <v>483</v>
      </c>
      <c r="D814" s="17">
        <f t="shared" si="63"/>
        <v>2</v>
      </c>
      <c r="E814" s="10">
        <f t="shared" si="60"/>
        <v>2</v>
      </c>
      <c r="F814" s="11">
        <v>2</v>
      </c>
      <c r="G814" s="9">
        <v>490669</v>
      </c>
      <c r="H814" s="13">
        <v>40154.529166666667</v>
      </c>
      <c r="I814" s="14">
        <v>3.75</v>
      </c>
      <c r="J814" s="23">
        <f t="shared" si="61"/>
        <v>3.75</v>
      </c>
      <c r="K814" s="12">
        <v>40154</v>
      </c>
      <c r="L814" s="24">
        <v>0.52916666666666667</v>
      </c>
      <c r="M814" t="s">
        <v>1013</v>
      </c>
      <c r="N814" s="15" t="str">
        <f t="shared" si="62"/>
        <v>12:42 PM</v>
      </c>
      <c r="O814" s="9" t="s">
        <v>9</v>
      </c>
      <c r="P814" s="20">
        <f t="shared" si="64"/>
        <v>7.5</v>
      </c>
    </row>
    <row r="815" spans="1:16" x14ac:dyDescent="0.25">
      <c r="A815" s="9">
        <v>15034</v>
      </c>
      <c r="B815" s="9">
        <v>20983</v>
      </c>
      <c r="C815" s="9" t="s">
        <v>828</v>
      </c>
      <c r="D815" s="17">
        <f t="shared" si="63"/>
        <v>0</v>
      </c>
      <c r="E815" s="10">
        <f t="shared" si="60"/>
        <v>0</v>
      </c>
      <c r="F815" s="11"/>
      <c r="G815" s="9">
        <v>507838</v>
      </c>
      <c r="H815" s="13">
        <v>40309.5625</v>
      </c>
      <c r="I815" s="14">
        <v>0.85</v>
      </c>
      <c r="J815" s="23">
        <f t="shared" si="61"/>
        <v>0.85</v>
      </c>
      <c r="K815" s="12">
        <v>40309</v>
      </c>
      <c r="L815" s="24">
        <v>6.25E-2</v>
      </c>
      <c r="M815" t="s">
        <v>1013</v>
      </c>
      <c r="N815" s="15" t="str">
        <f t="shared" si="62"/>
        <v>1:30 PM</v>
      </c>
      <c r="O815" s="9" t="s">
        <v>9</v>
      </c>
      <c r="P815" s="20">
        <f t="shared" si="64"/>
        <v>0</v>
      </c>
    </row>
    <row r="816" spans="1:16" x14ac:dyDescent="0.25">
      <c r="A816" s="9">
        <v>13980</v>
      </c>
      <c r="B816" s="9">
        <v>85141</v>
      </c>
      <c r="C816" s="9" t="s">
        <v>767</v>
      </c>
      <c r="D816" s="17">
        <f t="shared" si="63"/>
        <v>1</v>
      </c>
      <c r="E816" s="10">
        <f t="shared" si="60"/>
        <v>-1</v>
      </c>
      <c r="F816" s="11">
        <v>-1</v>
      </c>
      <c r="G816" s="9" t="s">
        <v>829</v>
      </c>
      <c r="H816" s="13">
        <v>40449.775694444441</v>
      </c>
      <c r="I816" s="14">
        <v>10.75</v>
      </c>
      <c r="J816" s="23">
        <f t="shared" si="61"/>
        <v>10.75</v>
      </c>
      <c r="K816" s="12">
        <v>40449</v>
      </c>
      <c r="L816" s="24">
        <v>0.27569444444444446</v>
      </c>
      <c r="M816" t="s">
        <v>1013</v>
      </c>
      <c r="N816" s="15" t="str">
        <f t="shared" si="62"/>
        <v>6:37 PM</v>
      </c>
      <c r="O816" s="9" t="s">
        <v>9</v>
      </c>
      <c r="P816" s="20">
        <f t="shared" si="64"/>
        <v>10.75</v>
      </c>
    </row>
    <row r="817" spans="1:16" x14ac:dyDescent="0.25">
      <c r="A817" s="9">
        <v>14820</v>
      </c>
      <c r="B817" s="9" t="s">
        <v>830</v>
      </c>
      <c r="C817" s="9" t="s">
        <v>831</v>
      </c>
      <c r="D817" s="17">
        <f t="shared" si="63"/>
        <v>6</v>
      </c>
      <c r="E817" s="10">
        <f t="shared" si="60"/>
        <v>6</v>
      </c>
      <c r="F817" s="11">
        <v>6</v>
      </c>
      <c r="G817" s="9">
        <v>526201</v>
      </c>
      <c r="H817" s="13">
        <v>40461.54583333333</v>
      </c>
      <c r="I817" s="14">
        <v>3.75</v>
      </c>
      <c r="J817" s="23">
        <f t="shared" si="61"/>
        <v>3.75</v>
      </c>
      <c r="K817" s="12">
        <v>40461</v>
      </c>
      <c r="L817" s="24">
        <v>4.583333333333333E-2</v>
      </c>
      <c r="M817" t="s">
        <v>1013</v>
      </c>
      <c r="N817" s="15" t="str">
        <f t="shared" si="62"/>
        <v>1:06 PM</v>
      </c>
      <c r="O817" s="9" t="s">
        <v>9</v>
      </c>
      <c r="P817" s="20">
        <f t="shared" si="64"/>
        <v>22.5</v>
      </c>
    </row>
    <row r="818" spans="1:16" x14ac:dyDescent="0.25">
      <c r="A818" s="9">
        <v>14679</v>
      </c>
      <c r="B818" s="9">
        <v>84678</v>
      </c>
      <c r="C818" s="9" t="s">
        <v>832</v>
      </c>
      <c r="D818" s="17">
        <f t="shared" si="63"/>
        <v>6</v>
      </c>
      <c r="E818" s="10">
        <f t="shared" si="60"/>
        <v>6</v>
      </c>
      <c r="F818" s="11">
        <v>6</v>
      </c>
      <c r="G818" s="9">
        <v>534512</v>
      </c>
      <c r="H818" s="13">
        <v>40505.493750000001</v>
      </c>
      <c r="I818" s="14">
        <v>2.5499999999999998</v>
      </c>
      <c r="J818" s="23">
        <f t="shared" si="61"/>
        <v>2.5499999999999998</v>
      </c>
      <c r="K818" s="12">
        <v>40505</v>
      </c>
      <c r="L818" s="24">
        <v>0.49375000000000002</v>
      </c>
      <c r="M818" t="s">
        <v>1014</v>
      </c>
      <c r="N818" s="15" t="str">
        <f t="shared" si="62"/>
        <v>11:51 AM</v>
      </c>
      <c r="O818" s="9" t="s">
        <v>9</v>
      </c>
      <c r="P818" s="20">
        <f t="shared" si="64"/>
        <v>15.299999999999999</v>
      </c>
    </row>
    <row r="819" spans="1:16" x14ac:dyDescent="0.25">
      <c r="A819" s="9">
        <v>13093</v>
      </c>
      <c r="B819" s="9">
        <v>22379</v>
      </c>
      <c r="C819" s="9" t="s">
        <v>168</v>
      </c>
      <c r="D819" s="17">
        <f t="shared" si="63"/>
        <v>25</v>
      </c>
      <c r="E819" s="10">
        <f t="shared" si="60"/>
        <v>25</v>
      </c>
      <c r="F819" s="11">
        <v>25</v>
      </c>
      <c r="G819" s="9">
        <v>521406</v>
      </c>
      <c r="H819" s="13">
        <v>40427.445833333331</v>
      </c>
      <c r="I819" s="14">
        <v>2.1</v>
      </c>
      <c r="J819" s="23">
        <f t="shared" si="61"/>
        <v>2.1</v>
      </c>
      <c r="K819" s="12">
        <v>40427</v>
      </c>
      <c r="L819" s="24">
        <v>0.44583333333333336</v>
      </c>
      <c r="M819" t="s">
        <v>1014</v>
      </c>
      <c r="N819" s="15" t="str">
        <f t="shared" si="62"/>
        <v>10:42 AM</v>
      </c>
      <c r="O819" s="9" t="s">
        <v>9</v>
      </c>
      <c r="P819" s="20">
        <f t="shared" si="64"/>
        <v>52.5</v>
      </c>
    </row>
    <row r="820" spans="1:16" x14ac:dyDescent="0.25">
      <c r="A820" s="9">
        <v>17913</v>
      </c>
      <c r="B820" s="9">
        <v>22507</v>
      </c>
      <c r="C820" s="9" t="s">
        <v>833</v>
      </c>
      <c r="D820" s="17">
        <f t="shared" si="63"/>
        <v>2</v>
      </c>
      <c r="E820" s="10">
        <f t="shared" si="60"/>
        <v>2</v>
      </c>
      <c r="F820" s="11">
        <v>2</v>
      </c>
      <c r="G820" s="9">
        <v>507398</v>
      </c>
      <c r="H820" s="13">
        <v>40307.552083333343</v>
      </c>
      <c r="I820" s="14">
        <v>4.95</v>
      </c>
      <c r="J820" s="23">
        <f t="shared" si="61"/>
        <v>4.95</v>
      </c>
      <c r="K820" s="12">
        <v>40307</v>
      </c>
      <c r="L820" s="24">
        <v>5.2083333333333336E-2</v>
      </c>
      <c r="M820" t="s">
        <v>1013</v>
      </c>
      <c r="N820" s="15" t="str">
        <f t="shared" si="62"/>
        <v>1:15 PM</v>
      </c>
      <c r="O820" s="9" t="s">
        <v>9</v>
      </c>
      <c r="P820" s="20">
        <f t="shared" si="64"/>
        <v>9.9</v>
      </c>
    </row>
    <row r="821" spans="1:16" x14ac:dyDescent="0.25">
      <c r="A821" s="9">
        <v>17841</v>
      </c>
      <c r="B821" s="9">
        <v>21746</v>
      </c>
      <c r="C821" s="9" t="s">
        <v>834</v>
      </c>
      <c r="D821" s="17">
        <f t="shared" si="63"/>
        <v>3</v>
      </c>
      <c r="E821" s="10">
        <f t="shared" si="60"/>
        <v>3</v>
      </c>
      <c r="F821" s="11">
        <v>3</v>
      </c>
      <c r="G821" s="9">
        <v>496427</v>
      </c>
      <c r="H821" s="13">
        <v>40210.509027777778</v>
      </c>
      <c r="I821" s="14">
        <v>1.25</v>
      </c>
      <c r="J821" s="23">
        <f t="shared" si="61"/>
        <v>1.25</v>
      </c>
      <c r="K821" s="12">
        <v>40210</v>
      </c>
      <c r="L821" s="24">
        <v>0.50902777777777775</v>
      </c>
      <c r="M821" t="s">
        <v>1013</v>
      </c>
      <c r="N821" s="15" t="str">
        <f t="shared" si="62"/>
        <v>12:13 PM</v>
      </c>
      <c r="O821" s="9" t="s">
        <v>9</v>
      </c>
      <c r="P821" s="20">
        <f t="shared" si="64"/>
        <v>3.75</v>
      </c>
    </row>
    <row r="822" spans="1:16" x14ac:dyDescent="0.25">
      <c r="A822" s="9" t="s">
        <v>836</v>
      </c>
      <c r="B822" s="9">
        <v>20676</v>
      </c>
      <c r="C822" s="9" t="s">
        <v>835</v>
      </c>
      <c r="D822" s="17">
        <f t="shared" si="63"/>
        <v>4</v>
      </c>
      <c r="E822" s="10">
        <f t="shared" si="60"/>
        <v>4</v>
      </c>
      <c r="F822" s="11">
        <v>4</v>
      </c>
      <c r="G822" s="9">
        <v>530014</v>
      </c>
      <c r="H822" s="13">
        <v>40483.442361111112</v>
      </c>
      <c r="I822" s="14">
        <v>1.25</v>
      </c>
      <c r="J822" s="23">
        <f t="shared" si="61"/>
        <v>1.25</v>
      </c>
      <c r="K822" s="12">
        <v>40483</v>
      </c>
      <c r="L822" s="24">
        <v>0.44236111111111109</v>
      </c>
      <c r="M822" t="s">
        <v>1014</v>
      </c>
      <c r="N822" s="15" t="str">
        <f t="shared" si="62"/>
        <v>10:37 AM</v>
      </c>
      <c r="O822" s="9" t="s">
        <v>9</v>
      </c>
      <c r="P822" s="20">
        <f t="shared" si="64"/>
        <v>5</v>
      </c>
    </row>
    <row r="823" spans="1:16" x14ac:dyDescent="0.25">
      <c r="A823" s="9">
        <v>17849</v>
      </c>
      <c r="B823" s="9">
        <v>21669</v>
      </c>
      <c r="C823" s="9" t="s">
        <v>733</v>
      </c>
      <c r="D823" s="17">
        <f t="shared" si="63"/>
        <v>12</v>
      </c>
      <c r="E823" s="10">
        <f t="shared" si="60"/>
        <v>12</v>
      </c>
      <c r="F823" s="11">
        <v>12</v>
      </c>
      <c r="G823" s="9">
        <v>511357</v>
      </c>
      <c r="H823" s="13">
        <v>40337.457638888889</v>
      </c>
      <c r="I823" s="14">
        <v>1.25</v>
      </c>
      <c r="J823" s="23">
        <f t="shared" si="61"/>
        <v>1.25</v>
      </c>
      <c r="K823" s="12">
        <v>40337</v>
      </c>
      <c r="L823" s="24">
        <v>0.45763888888888887</v>
      </c>
      <c r="M823" t="s">
        <v>1014</v>
      </c>
      <c r="N823" s="15" t="str">
        <f t="shared" si="62"/>
        <v>10:59 AM</v>
      </c>
      <c r="O823" s="9" t="s">
        <v>9</v>
      </c>
      <c r="P823" s="20">
        <f t="shared" si="64"/>
        <v>15</v>
      </c>
    </row>
    <row r="824" spans="1:16" x14ac:dyDescent="0.25">
      <c r="A824" s="9">
        <v>13502</v>
      </c>
      <c r="B824" s="9">
        <v>22667</v>
      </c>
      <c r="C824" s="9" t="s">
        <v>838</v>
      </c>
      <c r="D824" s="17">
        <f t="shared" si="63"/>
        <v>2</v>
      </c>
      <c r="E824" s="10">
        <f t="shared" si="60"/>
        <v>-2</v>
      </c>
      <c r="F824" s="11">
        <v>-2</v>
      </c>
      <c r="G824" s="9" t="s">
        <v>837</v>
      </c>
      <c r="H824" s="13">
        <v>40476.556250000001</v>
      </c>
      <c r="I824" s="14">
        <v>2.95</v>
      </c>
      <c r="J824" s="23">
        <f t="shared" si="61"/>
        <v>2.95</v>
      </c>
      <c r="K824" s="12">
        <v>40476</v>
      </c>
      <c r="L824" s="24">
        <v>5.6250000000000001E-2</v>
      </c>
      <c r="M824" t="s">
        <v>1013</v>
      </c>
      <c r="N824" s="15" t="str">
        <f t="shared" si="62"/>
        <v>1:21 PM</v>
      </c>
      <c r="O824" s="9" t="s">
        <v>9</v>
      </c>
      <c r="P824" s="20">
        <f t="shared" si="64"/>
        <v>5.9</v>
      </c>
    </row>
    <row r="825" spans="1:16" x14ac:dyDescent="0.25">
      <c r="A825" s="9">
        <v>14710</v>
      </c>
      <c r="B825" s="9">
        <v>47505</v>
      </c>
      <c r="C825" s="9" t="s">
        <v>839</v>
      </c>
      <c r="D825" s="17">
        <f t="shared" si="63"/>
        <v>3</v>
      </c>
      <c r="E825" s="10">
        <f t="shared" si="60"/>
        <v>3</v>
      </c>
      <c r="F825" s="11">
        <v>3</v>
      </c>
      <c r="G825" s="9">
        <v>505847</v>
      </c>
      <c r="H825" s="13">
        <v>40294.507638888892</v>
      </c>
      <c r="I825" s="14">
        <v>4.95</v>
      </c>
      <c r="J825" s="23">
        <f t="shared" si="61"/>
        <v>4.95</v>
      </c>
      <c r="K825" s="12">
        <v>40294</v>
      </c>
      <c r="L825" s="24">
        <v>0.50763888888888886</v>
      </c>
      <c r="M825" t="s">
        <v>1013</v>
      </c>
      <c r="N825" s="15" t="str">
        <f t="shared" si="62"/>
        <v>12:11 PM</v>
      </c>
      <c r="O825" s="9" t="s">
        <v>9</v>
      </c>
      <c r="P825" s="20">
        <f t="shared" si="64"/>
        <v>14.850000000000001</v>
      </c>
    </row>
    <row r="826" spans="1:16" x14ac:dyDescent="0.25">
      <c r="A826" s="9">
        <v>14461</v>
      </c>
      <c r="B826" s="9">
        <v>22591</v>
      </c>
      <c r="C826" s="9" t="s">
        <v>840</v>
      </c>
      <c r="D826" s="17">
        <f t="shared" si="63"/>
        <v>4</v>
      </c>
      <c r="E826" s="10">
        <f t="shared" si="60"/>
        <v>4</v>
      </c>
      <c r="F826" s="11">
        <v>4</v>
      </c>
      <c r="G826" s="9">
        <v>518902</v>
      </c>
      <c r="H826" s="13">
        <v>40402.59375</v>
      </c>
      <c r="I826" s="14">
        <v>2.5499999999999998</v>
      </c>
      <c r="J826" s="23">
        <f t="shared" si="61"/>
        <v>2.5499999999999998</v>
      </c>
      <c r="K826" s="12">
        <v>40402</v>
      </c>
      <c r="L826" s="24">
        <v>9.375E-2</v>
      </c>
      <c r="M826" t="s">
        <v>1013</v>
      </c>
      <c r="N826" s="15" t="str">
        <f t="shared" si="62"/>
        <v>2:15 PM</v>
      </c>
      <c r="O826" s="9" t="s">
        <v>9</v>
      </c>
      <c r="P826" s="20">
        <f t="shared" si="64"/>
        <v>10.199999999999999</v>
      </c>
    </row>
    <row r="827" spans="1:16" x14ac:dyDescent="0.25">
      <c r="A827" s="9">
        <v>16983</v>
      </c>
      <c r="B827" s="9">
        <v>22121</v>
      </c>
      <c r="C827" s="9" t="s">
        <v>841</v>
      </c>
      <c r="D827" s="17">
        <f t="shared" si="63"/>
        <v>2</v>
      </c>
      <c r="E827" s="10">
        <f t="shared" si="60"/>
        <v>2</v>
      </c>
      <c r="F827" s="11">
        <v>2</v>
      </c>
      <c r="G827" s="9">
        <v>532725</v>
      </c>
      <c r="H827" s="13">
        <v>40496.540972222218</v>
      </c>
      <c r="I827" s="14">
        <v>5.95</v>
      </c>
      <c r="J827" s="23">
        <f t="shared" si="61"/>
        <v>5.95</v>
      </c>
      <c r="K827" s="12">
        <v>40496</v>
      </c>
      <c r="L827" s="24">
        <v>0.54097222222222219</v>
      </c>
      <c r="M827" t="s">
        <v>1013</v>
      </c>
      <c r="N827" s="15" t="str">
        <f t="shared" si="62"/>
        <v>12:59 PM</v>
      </c>
      <c r="O827" s="9" t="s">
        <v>9</v>
      </c>
      <c r="P827" s="20">
        <f t="shared" si="64"/>
        <v>11.9</v>
      </c>
    </row>
    <row r="828" spans="1:16" x14ac:dyDescent="0.25">
      <c r="A828" s="9">
        <v>16383</v>
      </c>
      <c r="B828" s="9">
        <v>21936</v>
      </c>
      <c r="C828" s="9" t="s">
        <v>842</v>
      </c>
      <c r="D828" s="17">
        <f t="shared" si="63"/>
        <v>1</v>
      </c>
      <c r="E828" s="10">
        <f t="shared" si="60"/>
        <v>1</v>
      </c>
      <c r="F828" s="11">
        <v>1</v>
      </c>
      <c r="G828" s="9">
        <v>515115</v>
      </c>
      <c r="H828" s="13">
        <v>40367.546527777777</v>
      </c>
      <c r="I828" s="14">
        <v>2.95</v>
      </c>
      <c r="J828" s="23">
        <f t="shared" si="61"/>
        <v>2.95</v>
      </c>
      <c r="K828" s="12">
        <v>40367</v>
      </c>
      <c r="L828" s="24">
        <v>4.6527777777777779E-2</v>
      </c>
      <c r="M828" t="s">
        <v>1013</v>
      </c>
      <c r="N828" s="15" t="str">
        <f t="shared" si="62"/>
        <v>1:07 PM</v>
      </c>
      <c r="O828" s="9" t="s">
        <v>9</v>
      </c>
      <c r="P828" s="20">
        <f t="shared" si="64"/>
        <v>2.95</v>
      </c>
    </row>
    <row r="829" spans="1:16" x14ac:dyDescent="0.25">
      <c r="A829" s="9">
        <v>13291</v>
      </c>
      <c r="B829" s="9" t="s">
        <v>843</v>
      </c>
      <c r="C829" s="9" t="s">
        <v>844</v>
      </c>
      <c r="D829" s="17">
        <f t="shared" si="63"/>
        <v>4</v>
      </c>
      <c r="E829" s="10">
        <f t="shared" si="60"/>
        <v>4</v>
      </c>
      <c r="F829" s="11">
        <v>4</v>
      </c>
      <c r="G829" s="9">
        <v>497732</v>
      </c>
      <c r="H829" s="13">
        <v>40220.775000000001</v>
      </c>
      <c r="I829" s="14">
        <v>1.25</v>
      </c>
      <c r="J829" s="23">
        <f t="shared" si="61"/>
        <v>1.25</v>
      </c>
      <c r="K829" s="12">
        <v>40220</v>
      </c>
      <c r="L829" s="24">
        <v>0.27500000000000002</v>
      </c>
      <c r="M829" t="s">
        <v>1013</v>
      </c>
      <c r="N829" s="15" t="str">
        <f t="shared" si="62"/>
        <v>6:36 PM</v>
      </c>
      <c r="O829" s="9" t="s">
        <v>9</v>
      </c>
      <c r="P829" s="20">
        <f t="shared" si="64"/>
        <v>5</v>
      </c>
    </row>
    <row r="830" spans="1:16" x14ac:dyDescent="0.25">
      <c r="A830" s="9">
        <v>16767</v>
      </c>
      <c r="B830" s="9">
        <v>21651</v>
      </c>
      <c r="C830" s="9" t="s">
        <v>73</v>
      </c>
      <c r="D830" s="17">
        <f t="shared" si="63"/>
        <v>6</v>
      </c>
      <c r="E830" s="10">
        <f t="shared" si="60"/>
        <v>6</v>
      </c>
      <c r="F830" s="11">
        <v>6</v>
      </c>
      <c r="G830" s="9">
        <v>506285</v>
      </c>
      <c r="H830" s="13">
        <v>40296.700694444437</v>
      </c>
      <c r="I830" s="14">
        <v>1.65</v>
      </c>
      <c r="J830" s="23">
        <f t="shared" si="61"/>
        <v>1.65</v>
      </c>
      <c r="K830" s="12">
        <v>40296</v>
      </c>
      <c r="L830" s="24">
        <v>0.20069444444444445</v>
      </c>
      <c r="M830" t="s">
        <v>1013</v>
      </c>
      <c r="N830" s="15" t="str">
        <f t="shared" si="62"/>
        <v>4:49 PM</v>
      </c>
      <c r="O830" s="9" t="s">
        <v>9</v>
      </c>
      <c r="P830" s="20">
        <f t="shared" si="64"/>
        <v>9.8999999999999986</v>
      </c>
    </row>
    <row r="831" spans="1:16" x14ac:dyDescent="0.25">
      <c r="A831" s="9">
        <v>17017</v>
      </c>
      <c r="B831" s="9">
        <v>22943</v>
      </c>
      <c r="C831" s="9" t="s">
        <v>845</v>
      </c>
      <c r="D831" s="17">
        <f t="shared" si="63"/>
        <v>24</v>
      </c>
      <c r="E831" s="10">
        <f t="shared" si="60"/>
        <v>24</v>
      </c>
      <c r="F831" s="11" t="s">
        <v>342</v>
      </c>
      <c r="G831" s="9">
        <v>536618</v>
      </c>
      <c r="H831" s="13">
        <v>40514.428472222222</v>
      </c>
      <c r="I831" s="14">
        <v>4.25</v>
      </c>
      <c r="J831" s="23">
        <f t="shared" si="61"/>
        <v>4.25</v>
      </c>
      <c r="K831" s="12">
        <v>40514</v>
      </c>
      <c r="L831" s="24">
        <v>0.4284722222222222</v>
      </c>
      <c r="M831" t="s">
        <v>1014</v>
      </c>
      <c r="N831" s="15" t="str">
        <f t="shared" si="62"/>
        <v>10:17 AM</v>
      </c>
      <c r="O831" s="9" t="s">
        <v>9</v>
      </c>
      <c r="P831" s="20">
        <f t="shared" si="64"/>
        <v>102</v>
      </c>
    </row>
    <row r="832" spans="1:16" x14ac:dyDescent="0.25">
      <c r="A832" s="9">
        <v>17198</v>
      </c>
      <c r="B832" s="9" t="s">
        <v>846</v>
      </c>
      <c r="C832" s="9" t="s">
        <v>847</v>
      </c>
      <c r="D832" s="17">
        <f t="shared" si="63"/>
        <v>4</v>
      </c>
      <c r="E832" s="10">
        <f t="shared" si="60"/>
        <v>4</v>
      </c>
      <c r="F832" s="11">
        <v>4</v>
      </c>
      <c r="G832" s="9">
        <v>538056</v>
      </c>
      <c r="H832" s="13">
        <v>40521.56527777778</v>
      </c>
      <c r="I832" s="14">
        <v>8.9499999999999993</v>
      </c>
      <c r="J832" s="23">
        <f t="shared" si="61"/>
        <v>8.9499999999999993</v>
      </c>
      <c r="K832" s="12">
        <v>40521</v>
      </c>
      <c r="L832" s="24">
        <v>6.5277777777777782E-2</v>
      </c>
      <c r="M832" t="s">
        <v>1013</v>
      </c>
      <c r="N832" s="15" t="str">
        <f t="shared" si="62"/>
        <v>1:34 PM</v>
      </c>
      <c r="O832" s="9" t="s">
        <v>9</v>
      </c>
      <c r="P832" s="20">
        <f t="shared" si="64"/>
        <v>35.799999999999997</v>
      </c>
    </row>
    <row r="833" spans="1:16" x14ac:dyDescent="0.25">
      <c r="A833" s="9">
        <v>14648</v>
      </c>
      <c r="B833" s="9">
        <v>22470</v>
      </c>
      <c r="C833" s="9" t="s">
        <v>164</v>
      </c>
      <c r="D833" s="17">
        <f t="shared" si="63"/>
        <v>40</v>
      </c>
      <c r="E833" s="10">
        <f t="shared" si="60"/>
        <v>40</v>
      </c>
      <c r="F833" s="11">
        <v>40</v>
      </c>
      <c r="G833" s="9">
        <v>523586</v>
      </c>
      <c r="H833" s="13">
        <v>40444.370833333327</v>
      </c>
      <c r="I833" s="14">
        <v>2.5499999999999998</v>
      </c>
      <c r="J833" s="23">
        <f t="shared" si="61"/>
        <v>2.5499999999999998</v>
      </c>
      <c r="K833" s="12">
        <v>40444</v>
      </c>
      <c r="L833" s="24">
        <v>0.37083333333333335</v>
      </c>
      <c r="M833" t="s">
        <v>1014</v>
      </c>
      <c r="N833" s="15" t="str">
        <f t="shared" si="62"/>
        <v>8:54 AM</v>
      </c>
      <c r="O833" s="9" t="s">
        <v>9</v>
      </c>
      <c r="P833" s="20">
        <f t="shared" si="64"/>
        <v>102</v>
      </c>
    </row>
    <row r="834" spans="1:16" x14ac:dyDescent="0.25">
      <c r="A834" s="9">
        <v>17782</v>
      </c>
      <c r="B834" s="9">
        <v>84879</v>
      </c>
      <c r="C834" s="9" t="s">
        <v>143</v>
      </c>
      <c r="D834" s="17">
        <f t="shared" si="63"/>
        <v>16</v>
      </c>
      <c r="E834" s="10">
        <f t="shared" ref="E834:E897" si="65">VALUE(F834)</f>
        <v>16</v>
      </c>
      <c r="F834" s="11">
        <v>16</v>
      </c>
      <c r="G834" s="9">
        <v>534232</v>
      </c>
      <c r="H834" s="13">
        <v>40504.418749999997</v>
      </c>
      <c r="I834" s="14">
        <v>1.69</v>
      </c>
      <c r="J834" s="23">
        <f t="shared" ref="J834:J897" si="66">VALUE(I834)</f>
        <v>1.69</v>
      </c>
      <c r="K834" s="12">
        <v>40504</v>
      </c>
      <c r="L834" s="24">
        <v>0.41875000000000001</v>
      </c>
      <c r="M834" t="s">
        <v>1014</v>
      </c>
      <c r="N834" s="15" t="str">
        <f t="shared" ref="N834:N897" si="67">TEXT(L834,"h:mm")&amp;" "&amp;M834</f>
        <v>10:03 AM</v>
      </c>
      <c r="O834" s="9" t="s">
        <v>9</v>
      </c>
      <c r="P834" s="20">
        <f t="shared" si="64"/>
        <v>27.04</v>
      </c>
    </row>
    <row r="835" spans="1:16" x14ac:dyDescent="0.25">
      <c r="A835" s="9">
        <v>14902</v>
      </c>
      <c r="B835" s="9">
        <v>84879</v>
      </c>
      <c r="C835" s="9" t="s">
        <v>143</v>
      </c>
      <c r="D835" s="17">
        <f t="shared" ref="D835:D898" si="68">ABS(E835)</f>
        <v>24</v>
      </c>
      <c r="E835" s="10">
        <f t="shared" si="65"/>
        <v>24</v>
      </c>
      <c r="F835" s="11">
        <v>24</v>
      </c>
      <c r="G835" s="9">
        <v>531566</v>
      </c>
      <c r="H835" s="17" t="s">
        <v>848</v>
      </c>
      <c r="I835" s="14">
        <v>1.69</v>
      </c>
      <c r="J835" s="23">
        <f t="shared" si="66"/>
        <v>1.69</v>
      </c>
      <c r="K835" s="12">
        <v>40432</v>
      </c>
      <c r="L835" s="25">
        <v>0.43680555555555556</v>
      </c>
      <c r="N835" s="15" t="str">
        <f t="shared" si="67"/>
        <v xml:space="preserve">10:29 </v>
      </c>
      <c r="O835" s="9" t="s">
        <v>9</v>
      </c>
      <c r="P835" s="20">
        <f t="shared" ref="P835:P898" si="69">PRODUCT(D835,(J835))</f>
        <v>40.56</v>
      </c>
    </row>
    <row r="836" spans="1:16" x14ac:dyDescent="0.25">
      <c r="A836" s="9">
        <v>17663</v>
      </c>
      <c r="B836" s="9">
        <v>21258</v>
      </c>
      <c r="C836" s="9" t="s">
        <v>49</v>
      </c>
      <c r="D836" s="17">
        <f t="shared" si="68"/>
        <v>1</v>
      </c>
      <c r="E836" s="10">
        <f t="shared" si="65"/>
        <v>1</v>
      </c>
      <c r="F836" s="11">
        <v>1</v>
      </c>
      <c r="G836" s="9">
        <v>520505</v>
      </c>
      <c r="H836" s="13">
        <v>40416.535416666673</v>
      </c>
      <c r="I836" s="14">
        <v>12.75</v>
      </c>
      <c r="J836" s="23">
        <f t="shared" si="66"/>
        <v>12.75</v>
      </c>
      <c r="K836" s="12">
        <v>40416</v>
      </c>
      <c r="L836" s="24">
        <v>0.53541666666666665</v>
      </c>
      <c r="M836" t="s">
        <v>1013</v>
      </c>
      <c r="N836" s="15" t="str">
        <f t="shared" si="67"/>
        <v>12:51 PM</v>
      </c>
      <c r="O836" s="9" t="s">
        <v>9</v>
      </c>
      <c r="P836" s="20">
        <f t="shared" si="69"/>
        <v>12.75</v>
      </c>
    </row>
    <row r="837" spans="1:16" x14ac:dyDescent="0.25">
      <c r="A837" s="9">
        <v>17667</v>
      </c>
      <c r="B837" s="9">
        <v>22606</v>
      </c>
      <c r="C837" s="9" t="s">
        <v>849</v>
      </c>
      <c r="D837" s="17">
        <f t="shared" si="68"/>
        <v>4</v>
      </c>
      <c r="E837" s="10">
        <f t="shared" si="65"/>
        <v>4</v>
      </c>
      <c r="F837" s="11">
        <v>4</v>
      </c>
      <c r="G837" s="9">
        <v>513768</v>
      </c>
      <c r="H837" s="13">
        <v>40357.571527777778</v>
      </c>
      <c r="I837" s="14">
        <v>12.75</v>
      </c>
      <c r="J837" s="23">
        <f t="shared" si="66"/>
        <v>12.75</v>
      </c>
      <c r="K837" s="12">
        <v>40357</v>
      </c>
      <c r="L837" s="24">
        <v>7.1527777777777773E-2</v>
      </c>
      <c r="M837" t="s">
        <v>1013</v>
      </c>
      <c r="N837" s="15" t="str">
        <f t="shared" si="67"/>
        <v>1:43 PM</v>
      </c>
      <c r="O837" s="9" t="s">
        <v>9</v>
      </c>
      <c r="P837" s="20">
        <f t="shared" si="69"/>
        <v>51</v>
      </c>
    </row>
    <row r="838" spans="1:16" x14ac:dyDescent="0.25">
      <c r="A838" s="9">
        <v>14156</v>
      </c>
      <c r="B838" s="9">
        <v>20712</v>
      </c>
      <c r="C838" s="9" t="s">
        <v>67</v>
      </c>
      <c r="D838" s="17">
        <f t="shared" si="68"/>
        <v>10</v>
      </c>
      <c r="E838" s="10">
        <f t="shared" si="65"/>
        <v>10</v>
      </c>
      <c r="F838" s="11">
        <v>10</v>
      </c>
      <c r="G838" s="9">
        <v>523309</v>
      </c>
      <c r="H838" s="13">
        <v>40442.547222222223</v>
      </c>
      <c r="I838" s="14">
        <v>1.95</v>
      </c>
      <c r="J838" s="23">
        <f t="shared" si="66"/>
        <v>1.95</v>
      </c>
      <c r="K838" s="12">
        <v>40442</v>
      </c>
      <c r="L838" s="24">
        <v>4.7222222222222221E-2</v>
      </c>
      <c r="M838" t="s">
        <v>1013</v>
      </c>
      <c r="N838" s="15" t="str">
        <f t="shared" si="67"/>
        <v>1:08 PM</v>
      </c>
      <c r="O838" s="9" t="s">
        <v>850</v>
      </c>
      <c r="P838" s="20">
        <f t="shared" si="69"/>
        <v>19.5</v>
      </c>
    </row>
    <row r="839" spans="1:16" x14ac:dyDescent="0.25">
      <c r="A839" s="9">
        <v>18226</v>
      </c>
      <c r="B839" s="9" t="s">
        <v>153</v>
      </c>
      <c r="C839" s="9" t="s">
        <v>154</v>
      </c>
      <c r="D839" s="17">
        <f t="shared" si="68"/>
        <v>6</v>
      </c>
      <c r="E839" s="10">
        <f t="shared" si="65"/>
        <v>6</v>
      </c>
      <c r="F839" s="11">
        <v>6</v>
      </c>
      <c r="G839" s="9">
        <v>519602</v>
      </c>
      <c r="H839" s="13">
        <v>40408.666666666657</v>
      </c>
      <c r="I839" s="14">
        <v>2.95</v>
      </c>
      <c r="J839" s="23">
        <f t="shared" si="66"/>
        <v>2.95</v>
      </c>
      <c r="K839" s="12">
        <v>40408</v>
      </c>
      <c r="L839" s="24">
        <v>0.16666666666666666</v>
      </c>
      <c r="M839" t="s">
        <v>1013</v>
      </c>
      <c r="N839" s="15" t="str">
        <f t="shared" si="67"/>
        <v>4:00 PM</v>
      </c>
      <c r="O839" s="9" t="s">
        <v>9</v>
      </c>
      <c r="P839" s="20">
        <f t="shared" si="69"/>
        <v>17.700000000000003</v>
      </c>
    </row>
    <row r="840" spans="1:16" x14ac:dyDescent="0.25">
      <c r="A840" s="9">
        <v>12648</v>
      </c>
      <c r="B840" s="9">
        <v>20702</v>
      </c>
      <c r="C840" s="9" t="s">
        <v>525</v>
      </c>
      <c r="D840" s="17">
        <f t="shared" si="68"/>
        <v>6</v>
      </c>
      <c r="E840" s="10">
        <f t="shared" si="65"/>
        <v>6</v>
      </c>
      <c r="F840" s="11">
        <v>6</v>
      </c>
      <c r="G840" s="9">
        <v>524207</v>
      </c>
      <c r="H840" s="13">
        <v>40449.440972222219</v>
      </c>
      <c r="I840" s="14">
        <v>4.25</v>
      </c>
      <c r="J840" s="23">
        <f t="shared" si="66"/>
        <v>4.25</v>
      </c>
      <c r="K840" s="12">
        <v>40449</v>
      </c>
      <c r="L840" s="24">
        <v>0.44097222222222221</v>
      </c>
      <c r="M840" t="s">
        <v>1014</v>
      </c>
      <c r="N840" s="15" t="str">
        <f t="shared" si="67"/>
        <v>10:35 AM</v>
      </c>
      <c r="O840" s="9" t="s">
        <v>17</v>
      </c>
      <c r="P840" s="20">
        <f t="shared" si="69"/>
        <v>25.5</v>
      </c>
    </row>
    <row r="841" spans="1:16" x14ac:dyDescent="0.25">
      <c r="A841" s="9">
        <v>13728</v>
      </c>
      <c r="B841" s="9">
        <v>48187</v>
      </c>
      <c r="C841" s="9" t="s">
        <v>851</v>
      </c>
      <c r="D841" s="17">
        <f t="shared" si="68"/>
        <v>2</v>
      </c>
      <c r="E841" s="10">
        <f t="shared" si="65"/>
        <v>2</v>
      </c>
      <c r="F841" s="11">
        <v>2</v>
      </c>
      <c r="G841" s="9">
        <v>516111</v>
      </c>
      <c r="H841" s="13">
        <v>40375.556250000001</v>
      </c>
      <c r="I841" s="14">
        <v>7.49</v>
      </c>
      <c r="J841" s="23">
        <f t="shared" si="66"/>
        <v>7.49</v>
      </c>
      <c r="K841" s="12">
        <v>40375</v>
      </c>
      <c r="L841" s="24">
        <v>5.6250000000000001E-2</v>
      </c>
      <c r="M841" t="s">
        <v>1013</v>
      </c>
      <c r="N841" s="15" t="str">
        <f t="shared" si="67"/>
        <v>1:21 PM</v>
      </c>
      <c r="O841" s="9" t="s">
        <v>9</v>
      </c>
      <c r="P841" s="20">
        <f t="shared" si="69"/>
        <v>14.98</v>
      </c>
    </row>
    <row r="842" spans="1:16" x14ac:dyDescent="0.25">
      <c r="A842" s="9">
        <v>14499</v>
      </c>
      <c r="B842" s="9">
        <v>22945</v>
      </c>
      <c r="C842" s="9" t="s">
        <v>852</v>
      </c>
      <c r="D842" s="17">
        <f t="shared" si="68"/>
        <v>18</v>
      </c>
      <c r="E842" s="10">
        <f t="shared" si="65"/>
        <v>18</v>
      </c>
      <c r="F842" s="11">
        <v>18</v>
      </c>
      <c r="G842" s="9">
        <v>534091</v>
      </c>
      <c r="H842" s="13">
        <v>40503.498611111107</v>
      </c>
      <c r="I842" s="14">
        <v>0.85</v>
      </c>
      <c r="J842" s="23">
        <f t="shared" si="66"/>
        <v>0.85</v>
      </c>
      <c r="K842" s="12">
        <v>40503</v>
      </c>
      <c r="L842" s="24">
        <v>0.49861111111111112</v>
      </c>
      <c r="M842" t="s">
        <v>1014</v>
      </c>
      <c r="N842" s="15" t="str">
        <f t="shared" si="67"/>
        <v>11:58 AM</v>
      </c>
      <c r="O842" s="9" t="s">
        <v>9</v>
      </c>
      <c r="P842" s="20">
        <f t="shared" si="69"/>
        <v>15.299999999999999</v>
      </c>
    </row>
    <row r="843" spans="1:16" x14ac:dyDescent="0.25">
      <c r="A843" s="9">
        <v>14646</v>
      </c>
      <c r="B843" s="9">
        <v>22557</v>
      </c>
      <c r="C843" s="9" t="s">
        <v>853</v>
      </c>
      <c r="D843" s="17">
        <f t="shared" si="68"/>
        <v>96</v>
      </c>
      <c r="E843" s="10">
        <f t="shared" si="65"/>
        <v>96</v>
      </c>
      <c r="F843" s="11">
        <v>96</v>
      </c>
      <c r="G843" s="9">
        <v>519404</v>
      </c>
      <c r="H843" s="13">
        <v>40407.37222222222</v>
      </c>
      <c r="I843" s="14">
        <v>1.45</v>
      </c>
      <c r="J843" s="23">
        <f t="shared" si="66"/>
        <v>1.45</v>
      </c>
      <c r="K843" s="12">
        <v>40407</v>
      </c>
      <c r="L843" s="24">
        <v>0.37222222222222223</v>
      </c>
      <c r="M843" t="s">
        <v>1014</v>
      </c>
      <c r="N843" s="15" t="str">
        <f t="shared" si="67"/>
        <v>8:56 AM</v>
      </c>
      <c r="O843" s="9" t="s">
        <v>116</v>
      </c>
      <c r="P843" s="20">
        <f t="shared" si="69"/>
        <v>139.19999999999999</v>
      </c>
    </row>
    <row r="844" spans="1:16" x14ac:dyDescent="0.25">
      <c r="A844" s="9">
        <v>14156</v>
      </c>
      <c r="B844" s="9">
        <v>16235</v>
      </c>
      <c r="C844" s="9" t="s">
        <v>854</v>
      </c>
      <c r="D844" s="17">
        <f t="shared" si="68"/>
        <v>60</v>
      </c>
      <c r="E844" s="10">
        <f t="shared" si="65"/>
        <v>60</v>
      </c>
      <c r="F844" s="11">
        <v>60</v>
      </c>
      <c r="G844" s="9">
        <v>532993</v>
      </c>
      <c r="H844" s="13">
        <v>40497.601388888892</v>
      </c>
      <c r="I844" s="14">
        <v>0.21</v>
      </c>
      <c r="J844" s="23">
        <f t="shared" si="66"/>
        <v>0.21</v>
      </c>
      <c r="K844" s="12">
        <v>40497</v>
      </c>
      <c r="L844" s="24">
        <v>0.10138888888888889</v>
      </c>
      <c r="M844" t="s">
        <v>1013</v>
      </c>
      <c r="N844" s="15" t="str">
        <f t="shared" si="67"/>
        <v>2:26 PM</v>
      </c>
      <c r="O844" s="9" t="s">
        <v>11</v>
      </c>
      <c r="P844" s="20">
        <f t="shared" si="69"/>
        <v>12.6</v>
      </c>
    </row>
    <row r="845" spans="1:16" x14ac:dyDescent="0.25">
      <c r="A845" s="9">
        <v>15579</v>
      </c>
      <c r="B845" s="9">
        <v>35965</v>
      </c>
      <c r="C845" s="9" t="s">
        <v>855</v>
      </c>
      <c r="D845" s="17">
        <f t="shared" si="68"/>
        <v>6</v>
      </c>
      <c r="E845" s="10">
        <f t="shared" si="65"/>
        <v>6</v>
      </c>
      <c r="F845" s="11">
        <v>6</v>
      </c>
      <c r="G845" s="9">
        <v>525068</v>
      </c>
      <c r="H845" s="13">
        <v>40454.609027777777</v>
      </c>
      <c r="I845" s="14">
        <v>2.95</v>
      </c>
      <c r="J845" s="23">
        <f t="shared" si="66"/>
        <v>2.95</v>
      </c>
      <c r="K845" s="12">
        <v>40454</v>
      </c>
      <c r="L845" s="24">
        <v>0.10902777777777778</v>
      </c>
      <c r="M845" t="s">
        <v>1013</v>
      </c>
      <c r="N845" s="15" t="str">
        <f t="shared" si="67"/>
        <v>2:37 PM</v>
      </c>
      <c r="O845" s="9" t="s">
        <v>9</v>
      </c>
      <c r="P845" s="20">
        <f t="shared" si="69"/>
        <v>17.700000000000003</v>
      </c>
    </row>
    <row r="846" spans="1:16" x14ac:dyDescent="0.25">
      <c r="A846" s="9">
        <v>17865</v>
      </c>
      <c r="B846" s="9">
        <v>21875</v>
      </c>
      <c r="C846" s="9" t="s">
        <v>620</v>
      </c>
      <c r="D846" s="17">
        <f t="shared" si="68"/>
        <v>1</v>
      </c>
      <c r="E846" s="10">
        <f t="shared" si="65"/>
        <v>1</v>
      </c>
      <c r="F846" s="11">
        <v>1</v>
      </c>
      <c r="G846" s="9">
        <v>490707</v>
      </c>
      <c r="H846" s="13">
        <v>40154.626388888893</v>
      </c>
      <c r="I846" s="14">
        <v>1.25</v>
      </c>
      <c r="J846" s="23">
        <f t="shared" si="66"/>
        <v>1.25</v>
      </c>
      <c r="K846" s="12">
        <v>40154</v>
      </c>
      <c r="L846" s="24">
        <v>0.12638888888888888</v>
      </c>
      <c r="M846" t="s">
        <v>1013</v>
      </c>
      <c r="N846" s="15" t="str">
        <f t="shared" si="67"/>
        <v>3:02 PM</v>
      </c>
      <c r="O846" s="9" t="s">
        <v>9</v>
      </c>
      <c r="P846" s="20">
        <f t="shared" si="69"/>
        <v>1.25</v>
      </c>
    </row>
    <row r="847" spans="1:16" x14ac:dyDescent="0.25">
      <c r="A847" s="9">
        <v>16862</v>
      </c>
      <c r="B847" s="9">
        <v>21429</v>
      </c>
      <c r="C847" s="9" t="s">
        <v>856</v>
      </c>
      <c r="D847" s="17">
        <f t="shared" si="68"/>
        <v>8</v>
      </c>
      <c r="E847" s="10">
        <f t="shared" si="65"/>
        <v>8</v>
      </c>
      <c r="F847" s="11">
        <v>8</v>
      </c>
      <c r="G847" s="9">
        <v>505499</v>
      </c>
      <c r="H847" s="13">
        <v>40290.566666666673</v>
      </c>
      <c r="I847" s="14">
        <v>1.65</v>
      </c>
      <c r="J847" s="23">
        <f t="shared" si="66"/>
        <v>1.65</v>
      </c>
      <c r="K847" s="12">
        <v>40290</v>
      </c>
      <c r="L847" s="24">
        <v>6.6666666666666666E-2</v>
      </c>
      <c r="M847" t="s">
        <v>1013</v>
      </c>
      <c r="N847" s="15" t="str">
        <f t="shared" si="67"/>
        <v>1:36 PM</v>
      </c>
      <c r="O847" s="9" t="s">
        <v>9</v>
      </c>
      <c r="P847" s="20">
        <f t="shared" si="69"/>
        <v>13.2</v>
      </c>
    </row>
    <row r="848" spans="1:16" x14ac:dyDescent="0.25">
      <c r="A848" s="9">
        <v>13168</v>
      </c>
      <c r="B848" s="9">
        <v>22469</v>
      </c>
      <c r="C848" s="9" t="s">
        <v>663</v>
      </c>
      <c r="D848" s="17">
        <f t="shared" si="68"/>
        <v>4</v>
      </c>
      <c r="E848" s="10">
        <f t="shared" si="65"/>
        <v>4</v>
      </c>
      <c r="F848" s="11">
        <v>4</v>
      </c>
      <c r="G848" s="9">
        <v>512426</v>
      </c>
      <c r="H848" s="13">
        <v>40344.625</v>
      </c>
      <c r="I848" s="14">
        <v>1.65</v>
      </c>
      <c r="J848" s="23">
        <f t="shared" si="66"/>
        <v>1.65</v>
      </c>
      <c r="K848" s="12">
        <v>40344</v>
      </c>
      <c r="L848" s="24">
        <v>0.125</v>
      </c>
      <c r="M848" t="s">
        <v>1013</v>
      </c>
      <c r="N848" s="15" t="str">
        <f t="shared" si="67"/>
        <v>3:00 PM</v>
      </c>
      <c r="O848" s="9" t="s">
        <v>9</v>
      </c>
      <c r="P848" s="20">
        <f t="shared" si="69"/>
        <v>6.6</v>
      </c>
    </row>
    <row r="849" spans="1:16" x14ac:dyDescent="0.25">
      <c r="A849" s="9">
        <v>14382</v>
      </c>
      <c r="B849" s="9">
        <v>22441</v>
      </c>
      <c r="C849" s="9" t="s">
        <v>255</v>
      </c>
      <c r="D849" s="17">
        <f t="shared" si="68"/>
        <v>5</v>
      </c>
      <c r="E849" s="10">
        <f t="shared" si="65"/>
        <v>5</v>
      </c>
      <c r="F849" s="11">
        <v>5</v>
      </c>
      <c r="G849" s="9">
        <v>532821</v>
      </c>
      <c r="H849" s="13">
        <v>40496.688888888893</v>
      </c>
      <c r="I849" s="14">
        <v>2.1</v>
      </c>
      <c r="J849" s="23">
        <f t="shared" si="66"/>
        <v>2.1</v>
      </c>
      <c r="K849" s="12">
        <v>40496</v>
      </c>
      <c r="L849" s="24">
        <v>0.18888888888888888</v>
      </c>
      <c r="M849" t="s">
        <v>1013</v>
      </c>
      <c r="N849" s="15" t="str">
        <f t="shared" si="67"/>
        <v>4:32 PM</v>
      </c>
      <c r="O849" s="9" t="s">
        <v>9</v>
      </c>
      <c r="P849" s="20">
        <f t="shared" si="69"/>
        <v>10.5</v>
      </c>
    </row>
    <row r="850" spans="1:16" x14ac:dyDescent="0.25">
      <c r="A850" s="9">
        <v>15532</v>
      </c>
      <c r="B850" s="9">
        <v>21109</v>
      </c>
      <c r="C850" s="9" t="s">
        <v>583</v>
      </c>
      <c r="D850" s="17">
        <f t="shared" si="68"/>
        <v>1</v>
      </c>
      <c r="E850" s="10">
        <f t="shared" si="65"/>
        <v>1</v>
      </c>
      <c r="F850" s="11">
        <v>1</v>
      </c>
      <c r="G850" s="9">
        <v>511501</v>
      </c>
      <c r="H850" s="13">
        <v>40337.619444444441</v>
      </c>
      <c r="I850" s="14">
        <v>6.75</v>
      </c>
      <c r="J850" s="23">
        <f t="shared" si="66"/>
        <v>6.75</v>
      </c>
      <c r="K850" s="12">
        <v>40337</v>
      </c>
      <c r="L850" s="24">
        <v>0.11944444444444445</v>
      </c>
      <c r="M850" t="s">
        <v>1013</v>
      </c>
      <c r="N850" s="15" t="str">
        <f t="shared" si="67"/>
        <v>2:52 PM</v>
      </c>
      <c r="O850" s="9" t="s">
        <v>9</v>
      </c>
      <c r="P850" s="20">
        <f t="shared" si="69"/>
        <v>6.75</v>
      </c>
    </row>
    <row r="851" spans="1:16" x14ac:dyDescent="0.25">
      <c r="A851" s="9">
        <v>15631</v>
      </c>
      <c r="B851" s="9">
        <v>21788</v>
      </c>
      <c r="C851" s="9" t="s">
        <v>857</v>
      </c>
      <c r="D851" s="17">
        <f t="shared" si="68"/>
        <v>24</v>
      </c>
      <c r="E851" s="10">
        <f t="shared" si="65"/>
        <v>24</v>
      </c>
      <c r="F851" s="11">
        <v>24</v>
      </c>
      <c r="G851" s="9">
        <v>500347</v>
      </c>
      <c r="H851" s="13">
        <v>40244.619444444441</v>
      </c>
      <c r="I851" s="14">
        <v>0.85</v>
      </c>
      <c r="J851" s="23">
        <f t="shared" si="66"/>
        <v>0.85</v>
      </c>
      <c r="K851" s="12">
        <v>40244</v>
      </c>
      <c r="L851" s="24">
        <v>0.11944444444444445</v>
      </c>
      <c r="M851" t="s">
        <v>1013</v>
      </c>
      <c r="N851" s="15" t="str">
        <f t="shared" si="67"/>
        <v>2:52 PM</v>
      </c>
      <c r="O851" s="9" t="s">
        <v>9</v>
      </c>
      <c r="P851" s="20">
        <f t="shared" si="69"/>
        <v>20.399999999999999</v>
      </c>
    </row>
    <row r="852" spans="1:16" x14ac:dyDescent="0.25">
      <c r="A852" s="9">
        <v>18065</v>
      </c>
      <c r="B852" s="9">
        <v>82600</v>
      </c>
      <c r="C852" s="9" t="s">
        <v>268</v>
      </c>
      <c r="D852" s="17">
        <f t="shared" si="68"/>
        <v>12</v>
      </c>
      <c r="E852" s="10">
        <f t="shared" si="65"/>
        <v>12</v>
      </c>
      <c r="F852" s="11">
        <v>12</v>
      </c>
      <c r="G852" s="9">
        <v>528737</v>
      </c>
      <c r="H852" s="13">
        <v>40475.587500000001</v>
      </c>
      <c r="I852" s="14">
        <v>2.1</v>
      </c>
      <c r="J852" s="23">
        <f t="shared" si="66"/>
        <v>2.1</v>
      </c>
      <c r="K852" s="12">
        <v>40475</v>
      </c>
      <c r="L852" s="24">
        <v>8.7499999999999994E-2</v>
      </c>
      <c r="M852" t="s">
        <v>1013</v>
      </c>
      <c r="N852" s="15" t="str">
        <f t="shared" si="67"/>
        <v>2:06 PM</v>
      </c>
      <c r="O852" s="9" t="s">
        <v>9</v>
      </c>
      <c r="P852" s="20">
        <f t="shared" si="69"/>
        <v>25.200000000000003</v>
      </c>
    </row>
    <row r="853" spans="1:16" x14ac:dyDescent="0.25">
      <c r="A853" s="9">
        <v>12867</v>
      </c>
      <c r="B853" s="9">
        <v>22493</v>
      </c>
      <c r="C853" s="9" t="s">
        <v>858</v>
      </c>
      <c r="D853" s="17">
        <f t="shared" si="68"/>
        <v>5</v>
      </c>
      <c r="E853" s="10">
        <f t="shared" si="65"/>
        <v>5</v>
      </c>
      <c r="F853" s="11">
        <v>5</v>
      </c>
      <c r="G853" s="9">
        <v>517106</v>
      </c>
      <c r="H853" s="13">
        <v>40385.636805555558</v>
      </c>
      <c r="I853" s="14">
        <v>1.65</v>
      </c>
      <c r="J853" s="23">
        <f t="shared" si="66"/>
        <v>1.65</v>
      </c>
      <c r="K853" s="12">
        <v>40385</v>
      </c>
      <c r="L853" s="24">
        <v>0.13680555555555557</v>
      </c>
      <c r="M853" t="s">
        <v>1013</v>
      </c>
      <c r="N853" s="15" t="str">
        <f t="shared" si="67"/>
        <v>3:17 PM</v>
      </c>
      <c r="O853" s="9" t="s">
        <v>9</v>
      </c>
      <c r="P853" s="20">
        <f t="shared" si="69"/>
        <v>8.25</v>
      </c>
    </row>
    <row r="854" spans="1:16" x14ac:dyDescent="0.25">
      <c r="A854" s="9">
        <v>17757</v>
      </c>
      <c r="B854" s="9">
        <v>22904</v>
      </c>
      <c r="C854" s="9" t="s">
        <v>216</v>
      </c>
      <c r="D854" s="17">
        <f t="shared" si="68"/>
        <v>3</v>
      </c>
      <c r="E854" s="10">
        <f t="shared" si="65"/>
        <v>3</v>
      </c>
      <c r="F854" s="11">
        <v>3</v>
      </c>
      <c r="G854" s="9">
        <v>531806</v>
      </c>
      <c r="H854" s="13">
        <v>40491.673611111109</v>
      </c>
      <c r="I854" s="14">
        <v>2.95</v>
      </c>
      <c r="J854" s="23">
        <f t="shared" si="66"/>
        <v>2.95</v>
      </c>
      <c r="K854" s="12">
        <v>40491</v>
      </c>
      <c r="L854" s="24">
        <v>0.1736111111111111</v>
      </c>
      <c r="M854" t="s">
        <v>1013</v>
      </c>
      <c r="N854" s="15" t="str">
        <f t="shared" si="67"/>
        <v>4:10 PM</v>
      </c>
      <c r="O854" s="9" t="s">
        <v>9</v>
      </c>
      <c r="P854" s="20">
        <f t="shared" si="69"/>
        <v>8.8500000000000014</v>
      </c>
    </row>
    <row r="855" spans="1:16" x14ac:dyDescent="0.25">
      <c r="A855" s="9">
        <v>13448</v>
      </c>
      <c r="B855" s="9">
        <v>22312</v>
      </c>
      <c r="C855" s="9" t="s">
        <v>529</v>
      </c>
      <c r="D855" s="17">
        <f t="shared" si="68"/>
        <v>3</v>
      </c>
      <c r="E855" s="10">
        <f t="shared" si="65"/>
        <v>3</v>
      </c>
      <c r="F855" s="11">
        <v>3</v>
      </c>
      <c r="G855" s="9">
        <v>524099</v>
      </c>
      <c r="H855" s="13">
        <v>40448.51666666667</v>
      </c>
      <c r="I855" s="14">
        <v>2.95</v>
      </c>
      <c r="J855" s="23">
        <f t="shared" si="66"/>
        <v>2.95</v>
      </c>
      <c r="K855" s="12">
        <v>40448</v>
      </c>
      <c r="L855" s="24">
        <v>0.51666666666666672</v>
      </c>
      <c r="M855" t="s">
        <v>1013</v>
      </c>
      <c r="N855" s="15" t="str">
        <f t="shared" si="67"/>
        <v>12:24 PM</v>
      </c>
      <c r="O855" s="9" t="s">
        <v>9</v>
      </c>
      <c r="P855" s="20">
        <f t="shared" si="69"/>
        <v>8.8500000000000014</v>
      </c>
    </row>
    <row r="856" spans="1:16" x14ac:dyDescent="0.25">
      <c r="A856" s="9">
        <v>14800</v>
      </c>
      <c r="B856" s="9">
        <v>22551</v>
      </c>
      <c r="C856" s="9" t="s">
        <v>69</v>
      </c>
      <c r="D856" s="17">
        <f t="shared" si="68"/>
        <v>2</v>
      </c>
      <c r="E856" s="10">
        <f t="shared" si="65"/>
        <v>2</v>
      </c>
      <c r="F856" s="11">
        <v>2</v>
      </c>
      <c r="G856" s="9">
        <v>537050</v>
      </c>
      <c r="H856" s="13">
        <v>40517.465277777781</v>
      </c>
      <c r="I856" s="14">
        <v>1.65</v>
      </c>
      <c r="J856" s="23">
        <f t="shared" si="66"/>
        <v>1.65</v>
      </c>
      <c r="K856" s="12">
        <v>40517</v>
      </c>
      <c r="L856" s="24">
        <v>0.46527777777777779</v>
      </c>
      <c r="M856" t="s">
        <v>1014</v>
      </c>
      <c r="N856" s="15" t="str">
        <f t="shared" si="67"/>
        <v>11:10 AM</v>
      </c>
      <c r="O856" s="9" t="s">
        <v>9</v>
      </c>
      <c r="P856" s="20">
        <f t="shared" si="69"/>
        <v>3.3</v>
      </c>
    </row>
    <row r="857" spans="1:16" x14ac:dyDescent="0.25">
      <c r="A857" s="9" t="s">
        <v>859</v>
      </c>
      <c r="B857" s="9" t="s">
        <v>232</v>
      </c>
      <c r="C857" s="9" t="s">
        <v>233</v>
      </c>
      <c r="D857" s="17">
        <f t="shared" si="68"/>
        <v>6</v>
      </c>
      <c r="E857" s="10">
        <f t="shared" si="65"/>
        <v>6</v>
      </c>
      <c r="F857" s="11">
        <v>6</v>
      </c>
      <c r="G857" s="9">
        <v>531439</v>
      </c>
      <c r="H857" s="13">
        <v>40490.515277777777</v>
      </c>
      <c r="I857" s="14">
        <v>2.95</v>
      </c>
      <c r="J857" s="23">
        <f t="shared" si="66"/>
        <v>2.95</v>
      </c>
      <c r="K857" s="12">
        <v>40490</v>
      </c>
      <c r="L857" s="24">
        <v>0.51527777777777772</v>
      </c>
      <c r="M857" t="s">
        <v>1013</v>
      </c>
      <c r="N857" s="15" t="str">
        <f t="shared" si="67"/>
        <v>12:22 PM</v>
      </c>
      <c r="O857" s="9" t="s">
        <v>9</v>
      </c>
      <c r="P857" s="20">
        <f t="shared" si="69"/>
        <v>17.700000000000003</v>
      </c>
    </row>
    <row r="858" spans="1:16" x14ac:dyDescent="0.25">
      <c r="A858" s="9">
        <v>12477</v>
      </c>
      <c r="B858" s="9">
        <v>21284</v>
      </c>
      <c r="C858" s="9" t="s">
        <v>860</v>
      </c>
      <c r="D858" s="17">
        <f t="shared" si="68"/>
        <v>12</v>
      </c>
      <c r="E858" s="10">
        <f t="shared" si="65"/>
        <v>12</v>
      </c>
      <c r="F858" s="11">
        <v>12</v>
      </c>
      <c r="G858" s="9">
        <v>502764</v>
      </c>
      <c r="H858" s="13">
        <v>40263.584027777782</v>
      </c>
      <c r="I858" s="14">
        <v>1.69</v>
      </c>
      <c r="J858" s="23">
        <f t="shared" si="66"/>
        <v>1.69</v>
      </c>
      <c r="K858" s="12">
        <v>40263</v>
      </c>
      <c r="L858" s="24">
        <v>8.4027777777777785E-2</v>
      </c>
      <c r="M858" t="s">
        <v>1013</v>
      </c>
      <c r="N858" s="15" t="str">
        <f t="shared" si="67"/>
        <v>2:01 PM</v>
      </c>
      <c r="O858" s="9" t="s">
        <v>17</v>
      </c>
      <c r="P858" s="20">
        <f t="shared" si="69"/>
        <v>20.28</v>
      </c>
    </row>
    <row r="859" spans="1:16" x14ac:dyDescent="0.25">
      <c r="A859" s="9">
        <v>13179</v>
      </c>
      <c r="B859" s="9">
        <v>22326</v>
      </c>
      <c r="C859" s="9" t="s">
        <v>861</v>
      </c>
      <c r="D859" s="17">
        <f t="shared" si="68"/>
        <v>6</v>
      </c>
      <c r="E859" s="10">
        <f t="shared" si="65"/>
        <v>6</v>
      </c>
      <c r="F859" s="11">
        <v>6</v>
      </c>
      <c r="G859" s="9">
        <v>503295</v>
      </c>
      <c r="H859" s="17" t="s">
        <v>862</v>
      </c>
      <c r="I859" s="14">
        <v>2.95</v>
      </c>
      <c r="J859" s="23">
        <f t="shared" si="66"/>
        <v>2.95</v>
      </c>
      <c r="K859" t="s">
        <v>1018</v>
      </c>
      <c r="L859" s="25">
        <v>0.4861111111111111</v>
      </c>
      <c r="N859" s="15" t="str">
        <f t="shared" si="67"/>
        <v xml:space="preserve">11:40 </v>
      </c>
      <c r="O859" s="9" t="s">
        <v>9</v>
      </c>
      <c r="P859" s="20">
        <f t="shared" si="69"/>
        <v>17.700000000000003</v>
      </c>
    </row>
    <row r="860" spans="1:16" x14ac:dyDescent="0.25">
      <c r="A860" s="9">
        <v>17544</v>
      </c>
      <c r="B860" s="9">
        <v>22026</v>
      </c>
      <c r="C860" s="9" t="s">
        <v>555</v>
      </c>
      <c r="D860" s="17">
        <f t="shared" si="68"/>
        <v>12</v>
      </c>
      <c r="E860" s="10">
        <f t="shared" si="65"/>
        <v>12</v>
      </c>
      <c r="F860" s="11">
        <v>12</v>
      </c>
      <c r="G860" s="9">
        <v>532798</v>
      </c>
      <c r="H860" s="13">
        <v>40496.615972222222</v>
      </c>
      <c r="I860" s="14">
        <v>0.42</v>
      </c>
      <c r="J860" s="23">
        <f t="shared" si="66"/>
        <v>0.42</v>
      </c>
      <c r="K860" s="12">
        <v>40496</v>
      </c>
      <c r="L860" s="24">
        <v>0.11597222222222223</v>
      </c>
      <c r="M860" t="s">
        <v>1013</v>
      </c>
      <c r="N860" s="15" t="str">
        <f t="shared" si="67"/>
        <v>2:47 PM</v>
      </c>
      <c r="O860" s="9" t="s">
        <v>9</v>
      </c>
      <c r="P860" s="20">
        <f t="shared" si="69"/>
        <v>5.04</v>
      </c>
    </row>
    <row r="861" spans="1:16" x14ac:dyDescent="0.25">
      <c r="A861" s="9">
        <v>15059</v>
      </c>
      <c r="B861" s="9">
        <v>22202</v>
      </c>
      <c r="C861" s="9" t="s">
        <v>863</v>
      </c>
      <c r="D861" s="17">
        <f t="shared" si="68"/>
        <v>1</v>
      </c>
      <c r="E861" s="10">
        <f t="shared" si="65"/>
        <v>1</v>
      </c>
      <c r="F861" s="11">
        <v>1</v>
      </c>
      <c r="G861" s="9">
        <v>498570</v>
      </c>
      <c r="H861" s="13">
        <v>40230.536111111112</v>
      </c>
      <c r="I861" s="14">
        <v>3.75</v>
      </c>
      <c r="J861" s="23">
        <f t="shared" si="66"/>
        <v>3.75</v>
      </c>
      <c r="K861" s="12">
        <v>40230</v>
      </c>
      <c r="L861" s="24">
        <v>0.53611111111111109</v>
      </c>
      <c r="M861" t="s">
        <v>1013</v>
      </c>
      <c r="N861" s="15" t="str">
        <f t="shared" si="67"/>
        <v>12:52 PM</v>
      </c>
      <c r="O861" s="9" t="s">
        <v>9</v>
      </c>
      <c r="P861" s="20">
        <f t="shared" si="69"/>
        <v>3.75</v>
      </c>
    </row>
    <row r="862" spans="1:16" x14ac:dyDescent="0.25">
      <c r="A862" s="9">
        <v>13736</v>
      </c>
      <c r="B862" s="9">
        <v>22218</v>
      </c>
      <c r="C862" s="9" t="s">
        <v>589</v>
      </c>
      <c r="D862" s="17">
        <f t="shared" si="68"/>
        <v>2</v>
      </c>
      <c r="E862" s="10">
        <f t="shared" si="65"/>
        <v>2</v>
      </c>
      <c r="F862" s="11">
        <v>2</v>
      </c>
      <c r="G862" s="9">
        <v>490461</v>
      </c>
      <c r="H862" s="13">
        <v>40153.504861111112</v>
      </c>
      <c r="I862" s="14">
        <v>4.25</v>
      </c>
      <c r="J862" s="23">
        <f t="shared" si="66"/>
        <v>4.25</v>
      </c>
      <c r="K862" s="12">
        <v>40153</v>
      </c>
      <c r="L862" s="24">
        <v>0.50486111111111109</v>
      </c>
      <c r="M862" t="s">
        <v>1013</v>
      </c>
      <c r="N862" s="15" t="str">
        <f t="shared" si="67"/>
        <v>12:07 PM</v>
      </c>
      <c r="O862" s="9" t="s">
        <v>9</v>
      </c>
      <c r="P862" s="20">
        <f t="shared" si="69"/>
        <v>8.5</v>
      </c>
    </row>
    <row r="863" spans="1:16" x14ac:dyDescent="0.25">
      <c r="A863" s="9">
        <v>14113</v>
      </c>
      <c r="B863" s="9">
        <v>21527</v>
      </c>
      <c r="C863" s="9" t="s">
        <v>864</v>
      </c>
      <c r="D863" s="17">
        <f t="shared" si="68"/>
        <v>6</v>
      </c>
      <c r="E863" s="10">
        <f t="shared" si="65"/>
        <v>6</v>
      </c>
      <c r="F863" s="11">
        <v>6</v>
      </c>
      <c r="G863" s="9">
        <v>523369</v>
      </c>
      <c r="H863" s="13">
        <v>40442.770833333343</v>
      </c>
      <c r="I863" s="14">
        <v>7.95</v>
      </c>
      <c r="J863" s="23">
        <f t="shared" si="66"/>
        <v>7.95</v>
      </c>
      <c r="K863" s="12">
        <v>40442</v>
      </c>
      <c r="L863" s="24">
        <v>0.27083333333333331</v>
      </c>
      <c r="M863" t="s">
        <v>1013</v>
      </c>
      <c r="N863" s="15" t="str">
        <f t="shared" si="67"/>
        <v>6:30 PM</v>
      </c>
      <c r="O863" s="9" t="s">
        <v>9</v>
      </c>
      <c r="P863" s="20">
        <f t="shared" si="69"/>
        <v>47.7</v>
      </c>
    </row>
    <row r="864" spans="1:16" x14ac:dyDescent="0.25">
      <c r="A864" s="9">
        <v>16556</v>
      </c>
      <c r="B864" s="9">
        <v>21390</v>
      </c>
      <c r="C864" s="9" t="s">
        <v>865</v>
      </c>
      <c r="D864" s="17">
        <f t="shared" si="68"/>
        <v>24</v>
      </c>
      <c r="E864" s="10">
        <f t="shared" si="65"/>
        <v>24</v>
      </c>
      <c r="F864" s="11">
        <v>24</v>
      </c>
      <c r="G864" s="9">
        <v>499874</v>
      </c>
      <c r="H864" s="13">
        <v>40240.362500000003</v>
      </c>
      <c r="I864" s="14">
        <v>1.25</v>
      </c>
      <c r="J864" s="23">
        <f t="shared" si="66"/>
        <v>1.25</v>
      </c>
      <c r="K864" s="12">
        <v>40240</v>
      </c>
      <c r="L864" s="24">
        <v>0.36249999999999999</v>
      </c>
      <c r="M864" t="s">
        <v>1014</v>
      </c>
      <c r="N864" s="15" t="str">
        <f t="shared" si="67"/>
        <v>8:42 AM</v>
      </c>
      <c r="O864" s="9" t="s">
        <v>9</v>
      </c>
      <c r="P864" s="20">
        <f t="shared" si="69"/>
        <v>30</v>
      </c>
    </row>
    <row r="865" spans="1:16" x14ac:dyDescent="0.25">
      <c r="A865" s="9">
        <v>14961</v>
      </c>
      <c r="B865" s="9">
        <v>22198</v>
      </c>
      <c r="C865" s="9" t="s">
        <v>866</v>
      </c>
      <c r="D865" s="17">
        <f t="shared" si="68"/>
        <v>48</v>
      </c>
      <c r="E865" s="10">
        <f t="shared" si="65"/>
        <v>48</v>
      </c>
      <c r="F865" s="11">
        <v>48</v>
      </c>
      <c r="G865" s="9">
        <v>503987</v>
      </c>
      <c r="H865" s="13">
        <v>40277.428472222222</v>
      </c>
      <c r="I865" s="14">
        <v>1.65</v>
      </c>
      <c r="J865" s="23">
        <f t="shared" si="66"/>
        <v>1.65</v>
      </c>
      <c r="K865" s="12">
        <v>40277</v>
      </c>
      <c r="L865" s="24">
        <v>0.4284722222222222</v>
      </c>
      <c r="M865" t="s">
        <v>1014</v>
      </c>
      <c r="N865" s="15" t="str">
        <f t="shared" si="67"/>
        <v>10:17 AM</v>
      </c>
      <c r="O865" s="9" t="s">
        <v>9</v>
      </c>
      <c r="P865" s="20">
        <f t="shared" si="69"/>
        <v>79.199999999999989</v>
      </c>
    </row>
    <row r="866" spans="1:16" x14ac:dyDescent="0.25">
      <c r="A866" s="9">
        <v>17092</v>
      </c>
      <c r="B866" s="9" t="s">
        <v>867</v>
      </c>
      <c r="C866" s="9" t="s">
        <v>868</v>
      </c>
      <c r="D866" s="17">
        <f t="shared" si="68"/>
        <v>4</v>
      </c>
      <c r="E866" s="10">
        <f t="shared" si="65"/>
        <v>4</v>
      </c>
      <c r="F866" s="11">
        <v>4</v>
      </c>
      <c r="G866" s="9">
        <v>496609</v>
      </c>
      <c r="H866" s="13">
        <v>40211.695833333331</v>
      </c>
      <c r="I866" s="14">
        <v>2.95</v>
      </c>
      <c r="J866" s="23">
        <f t="shared" si="66"/>
        <v>2.95</v>
      </c>
      <c r="K866" s="12">
        <v>40211</v>
      </c>
      <c r="L866" s="24">
        <v>0.19583333333333333</v>
      </c>
      <c r="M866" t="s">
        <v>1013</v>
      </c>
      <c r="N866" s="15" t="str">
        <f t="shared" si="67"/>
        <v>4:42 PM</v>
      </c>
      <c r="O866" s="9" t="s">
        <v>9</v>
      </c>
      <c r="P866" s="20">
        <f t="shared" si="69"/>
        <v>11.8</v>
      </c>
    </row>
    <row r="867" spans="1:16" x14ac:dyDescent="0.25">
      <c r="A867" s="9">
        <v>17850</v>
      </c>
      <c r="B867" s="9">
        <v>71477</v>
      </c>
      <c r="C867" s="9" t="s">
        <v>84</v>
      </c>
      <c r="D867" s="17">
        <f t="shared" si="68"/>
        <v>6</v>
      </c>
      <c r="E867" s="10">
        <f t="shared" si="65"/>
        <v>6</v>
      </c>
      <c r="F867" s="11">
        <v>6</v>
      </c>
      <c r="G867" s="9">
        <v>523513</v>
      </c>
      <c r="H867" s="13">
        <v>40443.526388888888</v>
      </c>
      <c r="I867" s="14">
        <v>2.75</v>
      </c>
      <c r="J867" s="23">
        <f t="shared" si="66"/>
        <v>2.75</v>
      </c>
      <c r="K867" s="12">
        <v>40443</v>
      </c>
      <c r="L867" s="24">
        <v>0.52638888888888891</v>
      </c>
      <c r="M867" t="s">
        <v>1013</v>
      </c>
      <c r="N867" s="15" t="str">
        <f t="shared" si="67"/>
        <v>12:38 PM</v>
      </c>
      <c r="O867" s="9" t="s">
        <v>9</v>
      </c>
      <c r="P867" s="20">
        <f t="shared" si="69"/>
        <v>16.5</v>
      </c>
    </row>
    <row r="868" spans="1:16" x14ac:dyDescent="0.25">
      <c r="A868" s="9">
        <v>13137</v>
      </c>
      <c r="B868" s="9" t="s">
        <v>869</v>
      </c>
      <c r="C868" s="9" t="s">
        <v>676</v>
      </c>
      <c r="D868" s="17">
        <f t="shared" si="68"/>
        <v>5</v>
      </c>
      <c r="E868" s="10">
        <f t="shared" si="65"/>
        <v>5</v>
      </c>
      <c r="F868" s="11">
        <v>5</v>
      </c>
      <c r="G868" s="9">
        <v>531352</v>
      </c>
      <c r="H868" s="13">
        <v>40489.572916666657</v>
      </c>
      <c r="I868" s="14">
        <v>1.65</v>
      </c>
      <c r="J868" s="23">
        <f t="shared" si="66"/>
        <v>1.65</v>
      </c>
      <c r="K868" s="12">
        <v>40489</v>
      </c>
      <c r="L868" s="24">
        <v>7.2916666666666671E-2</v>
      </c>
      <c r="M868" t="s">
        <v>1013</v>
      </c>
      <c r="N868" s="15" t="str">
        <f t="shared" si="67"/>
        <v>1:45 PM</v>
      </c>
      <c r="O868" s="9" t="s">
        <v>9</v>
      </c>
      <c r="P868" s="20">
        <f t="shared" si="69"/>
        <v>8.25</v>
      </c>
    </row>
    <row r="869" spans="1:16" x14ac:dyDescent="0.25">
      <c r="A869" s="9" t="s">
        <v>417</v>
      </c>
      <c r="B869" s="9">
        <v>84836</v>
      </c>
      <c r="C869" s="9" t="s">
        <v>15</v>
      </c>
      <c r="D869" s="17">
        <f t="shared" si="68"/>
        <v>24</v>
      </c>
      <c r="E869" s="10">
        <f t="shared" si="65"/>
        <v>24</v>
      </c>
      <c r="F869" s="11">
        <v>24</v>
      </c>
      <c r="G869" s="9">
        <v>515595</v>
      </c>
      <c r="H869" s="13">
        <v>40372.576388888891</v>
      </c>
      <c r="I869" s="14">
        <v>1.25</v>
      </c>
      <c r="J869" s="23">
        <f t="shared" si="66"/>
        <v>1.25</v>
      </c>
      <c r="K869" s="12">
        <v>40372</v>
      </c>
      <c r="L869" s="24">
        <v>7.6388888888888895E-2</v>
      </c>
      <c r="M869" t="s">
        <v>1013</v>
      </c>
      <c r="N869" s="15" t="str">
        <f t="shared" si="67"/>
        <v>1:50 PM</v>
      </c>
      <c r="O869" s="9" t="s">
        <v>9</v>
      </c>
      <c r="P869" s="20">
        <f t="shared" si="69"/>
        <v>30</v>
      </c>
    </row>
    <row r="870" spans="1:16" x14ac:dyDescent="0.25">
      <c r="A870" s="9">
        <v>15358</v>
      </c>
      <c r="B870" s="9">
        <v>22491</v>
      </c>
      <c r="C870" s="9" t="s">
        <v>870</v>
      </c>
      <c r="D870" s="17">
        <f t="shared" si="68"/>
        <v>12</v>
      </c>
      <c r="E870" s="10">
        <f t="shared" si="65"/>
        <v>12</v>
      </c>
      <c r="F870" s="11">
        <v>12</v>
      </c>
      <c r="G870" s="9">
        <v>512332</v>
      </c>
      <c r="H870" s="13">
        <v>40344.487500000003</v>
      </c>
      <c r="I870" s="14">
        <v>0.85</v>
      </c>
      <c r="J870" s="23">
        <f t="shared" si="66"/>
        <v>0.85</v>
      </c>
      <c r="K870" s="12">
        <v>40344</v>
      </c>
      <c r="L870" s="24">
        <v>0.48749999999999999</v>
      </c>
      <c r="M870" t="s">
        <v>1014</v>
      </c>
      <c r="N870" s="15" t="str">
        <f t="shared" si="67"/>
        <v>11:42 AM</v>
      </c>
      <c r="O870" s="9" t="s">
        <v>9</v>
      </c>
      <c r="P870" s="20">
        <f t="shared" si="69"/>
        <v>10.199999999999999</v>
      </c>
    </row>
    <row r="871" spans="1:16" x14ac:dyDescent="0.25">
      <c r="A871" s="9">
        <v>15605</v>
      </c>
      <c r="B871" s="9">
        <v>22311</v>
      </c>
      <c r="C871" s="9" t="s">
        <v>871</v>
      </c>
      <c r="D871" s="17">
        <f t="shared" si="68"/>
        <v>6</v>
      </c>
      <c r="E871" s="10">
        <f t="shared" si="65"/>
        <v>6</v>
      </c>
      <c r="F871" s="11">
        <v>6</v>
      </c>
      <c r="G871" s="9">
        <v>536535</v>
      </c>
      <c r="H871" s="13">
        <v>40513.568055555559</v>
      </c>
      <c r="I871" s="14">
        <v>2.95</v>
      </c>
      <c r="J871" s="23">
        <f t="shared" si="66"/>
        <v>2.95</v>
      </c>
      <c r="K871" s="12">
        <v>40513</v>
      </c>
      <c r="L871" s="24">
        <v>6.805555555555555E-2</v>
      </c>
      <c r="M871" t="s">
        <v>1013</v>
      </c>
      <c r="N871" s="15" t="str">
        <f t="shared" si="67"/>
        <v>1:38 PM</v>
      </c>
      <c r="O871" s="9" t="s">
        <v>9</v>
      </c>
      <c r="P871" s="20">
        <f t="shared" si="69"/>
        <v>17.700000000000003</v>
      </c>
    </row>
    <row r="872" spans="1:16" x14ac:dyDescent="0.25">
      <c r="A872" s="9">
        <v>14535</v>
      </c>
      <c r="B872" s="9">
        <v>21171</v>
      </c>
      <c r="C872" s="9" t="s">
        <v>556</v>
      </c>
      <c r="D872" s="17">
        <f t="shared" si="68"/>
        <v>3</v>
      </c>
      <c r="E872" s="10">
        <f t="shared" si="65"/>
        <v>3</v>
      </c>
      <c r="F872" s="11">
        <v>3</v>
      </c>
      <c r="G872" s="9">
        <v>507289</v>
      </c>
      <c r="H872" s="13">
        <v>40305.584722222222</v>
      </c>
      <c r="I872" s="14">
        <v>1.45</v>
      </c>
      <c r="J872" s="23">
        <f t="shared" si="66"/>
        <v>1.45</v>
      </c>
      <c r="K872" s="12">
        <v>40305</v>
      </c>
      <c r="L872" s="24">
        <v>8.4722222222222227E-2</v>
      </c>
      <c r="M872" t="s">
        <v>1013</v>
      </c>
      <c r="N872" s="15" t="str">
        <f t="shared" si="67"/>
        <v>2:02 PM</v>
      </c>
      <c r="O872" s="9" t="s">
        <v>9</v>
      </c>
      <c r="P872" s="20">
        <f t="shared" si="69"/>
        <v>4.3499999999999996</v>
      </c>
    </row>
    <row r="873" spans="1:16" x14ac:dyDescent="0.25">
      <c r="A873" s="9">
        <v>17141</v>
      </c>
      <c r="B873" s="9">
        <v>22451</v>
      </c>
      <c r="C873" s="9" t="s">
        <v>625</v>
      </c>
      <c r="D873" s="17">
        <f t="shared" si="68"/>
        <v>1</v>
      </c>
      <c r="E873" s="10">
        <f t="shared" si="65"/>
        <v>1</v>
      </c>
      <c r="F873" s="11">
        <v>1</v>
      </c>
      <c r="G873" s="9">
        <v>527407</v>
      </c>
      <c r="H873" s="13">
        <v>40468.613888888889</v>
      </c>
      <c r="I873" s="14">
        <v>3.35</v>
      </c>
      <c r="J873" s="23">
        <f t="shared" si="66"/>
        <v>3.35</v>
      </c>
      <c r="K873" s="12">
        <v>40468</v>
      </c>
      <c r="L873" s="24">
        <v>0.11388888888888889</v>
      </c>
      <c r="M873" t="s">
        <v>1013</v>
      </c>
      <c r="N873" s="15" t="str">
        <f t="shared" si="67"/>
        <v>2:44 PM</v>
      </c>
      <c r="O873" s="9" t="s">
        <v>9</v>
      </c>
      <c r="P873" s="20">
        <f t="shared" si="69"/>
        <v>3.35</v>
      </c>
    </row>
    <row r="874" spans="1:16" x14ac:dyDescent="0.25">
      <c r="A874" s="9">
        <v>17448</v>
      </c>
      <c r="B874" s="9">
        <v>21519</v>
      </c>
      <c r="C874" s="9" t="s">
        <v>435</v>
      </c>
      <c r="D874" s="17">
        <f t="shared" si="68"/>
        <v>12</v>
      </c>
      <c r="E874" s="10">
        <f t="shared" si="65"/>
        <v>12</v>
      </c>
      <c r="F874" s="11">
        <v>12</v>
      </c>
      <c r="G874" s="9">
        <v>505340</v>
      </c>
      <c r="H874" s="13">
        <v>40289.555555555547</v>
      </c>
      <c r="I874" s="14">
        <v>0.36</v>
      </c>
      <c r="J874" s="23">
        <f t="shared" si="66"/>
        <v>0.36</v>
      </c>
      <c r="K874" s="12">
        <v>40289</v>
      </c>
      <c r="L874" s="24">
        <v>5.5555555555555552E-2</v>
      </c>
      <c r="M874" t="s">
        <v>1013</v>
      </c>
      <c r="N874" s="15" t="str">
        <f t="shared" si="67"/>
        <v>1:20 PM</v>
      </c>
      <c r="O874" s="9" t="s">
        <v>9</v>
      </c>
      <c r="P874" s="20">
        <f t="shared" si="69"/>
        <v>4.32</v>
      </c>
    </row>
    <row r="875" spans="1:16" x14ac:dyDescent="0.25">
      <c r="A875" s="9">
        <v>13481</v>
      </c>
      <c r="B875" s="9">
        <v>48185</v>
      </c>
      <c r="C875" s="9" t="s">
        <v>872</v>
      </c>
      <c r="D875" s="17">
        <f t="shared" si="68"/>
        <v>2</v>
      </c>
      <c r="E875" s="10">
        <f t="shared" si="65"/>
        <v>2</v>
      </c>
      <c r="F875" s="11">
        <v>2</v>
      </c>
      <c r="G875" s="9">
        <v>490281</v>
      </c>
      <c r="H875" s="13">
        <v>40151.525694444441</v>
      </c>
      <c r="I875" s="14">
        <v>6.75</v>
      </c>
      <c r="J875" s="23">
        <f t="shared" si="66"/>
        <v>6.75</v>
      </c>
      <c r="K875" s="12">
        <v>40151</v>
      </c>
      <c r="L875" s="24">
        <v>0.52569444444444446</v>
      </c>
      <c r="M875" t="s">
        <v>1013</v>
      </c>
      <c r="N875" s="15" t="str">
        <f t="shared" si="67"/>
        <v>12:37 PM</v>
      </c>
      <c r="O875" s="9" t="s">
        <v>9</v>
      </c>
      <c r="P875" s="20">
        <f t="shared" si="69"/>
        <v>13.5</v>
      </c>
    </row>
    <row r="876" spans="1:16" x14ac:dyDescent="0.25">
      <c r="A876" s="9">
        <v>16253</v>
      </c>
      <c r="B876" s="9">
        <v>22261</v>
      </c>
      <c r="C876" s="9" t="s">
        <v>873</v>
      </c>
      <c r="D876" s="17">
        <f t="shared" si="68"/>
        <v>5</v>
      </c>
      <c r="E876" s="10">
        <f t="shared" si="65"/>
        <v>5</v>
      </c>
      <c r="F876" s="11">
        <v>5</v>
      </c>
      <c r="G876" s="9">
        <v>494866</v>
      </c>
      <c r="H876" s="13">
        <v>40197.472222222219</v>
      </c>
      <c r="I876" s="14">
        <v>0.85</v>
      </c>
      <c r="J876" s="23">
        <f t="shared" si="66"/>
        <v>0.85</v>
      </c>
      <c r="K876" s="12">
        <v>40197</v>
      </c>
      <c r="L876" s="24">
        <v>0.47222222222222221</v>
      </c>
      <c r="M876" t="s">
        <v>1014</v>
      </c>
      <c r="N876" s="15" t="str">
        <f t="shared" si="67"/>
        <v>11:20 AM</v>
      </c>
      <c r="O876" s="9" t="s">
        <v>9</v>
      </c>
      <c r="P876" s="20">
        <f t="shared" si="69"/>
        <v>4.25</v>
      </c>
    </row>
    <row r="877" spans="1:16" x14ac:dyDescent="0.25">
      <c r="A877" s="9">
        <v>18199</v>
      </c>
      <c r="B877" s="9" t="s">
        <v>874</v>
      </c>
      <c r="C877" s="9" t="s">
        <v>875</v>
      </c>
      <c r="D877" s="17">
        <f t="shared" si="68"/>
        <v>6</v>
      </c>
      <c r="E877" s="10">
        <f t="shared" si="65"/>
        <v>6</v>
      </c>
      <c r="F877" s="11">
        <v>6</v>
      </c>
      <c r="G877" s="9">
        <v>495415</v>
      </c>
      <c r="H877" s="13">
        <v>40203.480555555558</v>
      </c>
      <c r="I877" s="14">
        <v>2.5499999999999998</v>
      </c>
      <c r="J877" s="23">
        <f t="shared" si="66"/>
        <v>2.5499999999999998</v>
      </c>
      <c r="K877" s="12">
        <v>40203</v>
      </c>
      <c r="L877" s="24">
        <v>0.48055555555555557</v>
      </c>
      <c r="M877" t="s">
        <v>1014</v>
      </c>
      <c r="N877" s="15" t="str">
        <f t="shared" si="67"/>
        <v>11:32 AM</v>
      </c>
      <c r="O877" s="9" t="s">
        <v>9</v>
      </c>
      <c r="P877" s="20">
        <f t="shared" si="69"/>
        <v>15.299999999999999</v>
      </c>
    </row>
    <row r="878" spans="1:16" x14ac:dyDescent="0.25">
      <c r="A878" s="9">
        <v>16029</v>
      </c>
      <c r="B878" s="9">
        <v>47502</v>
      </c>
      <c r="C878" s="9" t="s">
        <v>626</v>
      </c>
      <c r="D878" s="17">
        <f t="shared" si="68"/>
        <v>10</v>
      </c>
      <c r="E878" s="10">
        <f t="shared" si="65"/>
        <v>10</v>
      </c>
      <c r="F878" s="11">
        <v>10</v>
      </c>
      <c r="G878" s="9">
        <v>499168</v>
      </c>
      <c r="H878" s="13">
        <v>40234.397916666669</v>
      </c>
      <c r="I878" s="14">
        <v>9.9499999999999993</v>
      </c>
      <c r="J878" s="23">
        <f t="shared" si="66"/>
        <v>9.9499999999999993</v>
      </c>
      <c r="K878" s="12">
        <v>40234</v>
      </c>
      <c r="L878" s="24">
        <v>0.39791666666666664</v>
      </c>
      <c r="M878" t="s">
        <v>1014</v>
      </c>
      <c r="N878" s="15" t="str">
        <f t="shared" si="67"/>
        <v>9:33 AM</v>
      </c>
      <c r="O878" s="9" t="s">
        <v>9</v>
      </c>
      <c r="P878" s="20">
        <f t="shared" si="69"/>
        <v>99.5</v>
      </c>
    </row>
    <row r="879" spans="1:16" x14ac:dyDescent="0.25">
      <c r="A879" s="9">
        <v>16275</v>
      </c>
      <c r="B879" s="9">
        <v>21932</v>
      </c>
      <c r="C879" s="9" t="s">
        <v>876</v>
      </c>
      <c r="D879" s="17">
        <f t="shared" si="68"/>
        <v>5</v>
      </c>
      <c r="E879" s="10">
        <f t="shared" si="65"/>
        <v>5</v>
      </c>
      <c r="F879" s="11">
        <v>5</v>
      </c>
      <c r="G879" s="9">
        <v>519881</v>
      </c>
      <c r="H879" s="13">
        <v>40412.477777777778</v>
      </c>
      <c r="I879" s="14">
        <v>2.95</v>
      </c>
      <c r="J879" s="23">
        <f t="shared" si="66"/>
        <v>2.95</v>
      </c>
      <c r="K879" s="12">
        <v>40412</v>
      </c>
      <c r="L879" s="24">
        <v>0.4777777777777778</v>
      </c>
      <c r="M879" t="s">
        <v>1014</v>
      </c>
      <c r="N879" s="15" t="str">
        <f t="shared" si="67"/>
        <v>11:28 AM</v>
      </c>
      <c r="O879" s="9" t="s">
        <v>9</v>
      </c>
      <c r="P879" s="20">
        <f t="shared" si="69"/>
        <v>14.75</v>
      </c>
    </row>
    <row r="880" spans="1:16" x14ac:dyDescent="0.25">
      <c r="A880" s="9">
        <v>14911</v>
      </c>
      <c r="B880" s="9" t="s">
        <v>877</v>
      </c>
      <c r="C880" s="9" t="s">
        <v>878</v>
      </c>
      <c r="D880" s="17">
        <f t="shared" si="68"/>
        <v>1</v>
      </c>
      <c r="E880" s="10">
        <f t="shared" si="65"/>
        <v>1</v>
      </c>
      <c r="F880" s="11">
        <v>1</v>
      </c>
      <c r="G880" s="9">
        <v>490542</v>
      </c>
      <c r="H880" s="13">
        <v>40154.404166666667</v>
      </c>
      <c r="I880" s="14">
        <v>50</v>
      </c>
      <c r="J880" s="23">
        <f t="shared" si="66"/>
        <v>50</v>
      </c>
      <c r="K880" s="12">
        <v>40154</v>
      </c>
      <c r="L880" s="24">
        <v>0.40416666666666667</v>
      </c>
      <c r="M880" t="s">
        <v>1014</v>
      </c>
      <c r="N880" s="15" t="str">
        <f t="shared" si="67"/>
        <v>9:42 AM</v>
      </c>
      <c r="O880" s="9" t="s">
        <v>11</v>
      </c>
      <c r="P880" s="20">
        <f t="shared" si="69"/>
        <v>50</v>
      </c>
    </row>
    <row r="881" spans="1:16" x14ac:dyDescent="0.25">
      <c r="A881" s="9">
        <v>15351</v>
      </c>
      <c r="B881" s="9">
        <v>22577</v>
      </c>
      <c r="C881" s="9" t="s">
        <v>601</v>
      </c>
      <c r="D881" s="17">
        <f t="shared" si="68"/>
        <v>13</v>
      </c>
      <c r="E881" s="10">
        <f t="shared" si="65"/>
        <v>13</v>
      </c>
      <c r="F881" s="11">
        <v>13</v>
      </c>
      <c r="G881" s="9">
        <v>525030</v>
      </c>
      <c r="H881" s="13">
        <v>40454.512499999997</v>
      </c>
      <c r="I881" s="14">
        <v>0.85</v>
      </c>
      <c r="J881" s="23">
        <f t="shared" si="66"/>
        <v>0.85</v>
      </c>
      <c r="K881" s="12">
        <v>40454</v>
      </c>
      <c r="L881" s="24">
        <v>0.51249999999999996</v>
      </c>
      <c r="M881" t="s">
        <v>1013</v>
      </c>
      <c r="N881" s="15" t="str">
        <f t="shared" si="67"/>
        <v>12:18 PM</v>
      </c>
      <c r="O881" s="9" t="s">
        <v>9</v>
      </c>
      <c r="P881" s="20">
        <f t="shared" si="69"/>
        <v>11.049999999999999</v>
      </c>
    </row>
    <row r="882" spans="1:16" x14ac:dyDescent="0.25">
      <c r="A882" s="9">
        <v>16085</v>
      </c>
      <c r="B882" s="9">
        <v>22293</v>
      </c>
      <c r="C882" s="9" t="s">
        <v>879</v>
      </c>
      <c r="D882" s="17">
        <f t="shared" si="68"/>
        <v>3</v>
      </c>
      <c r="E882" s="10">
        <f t="shared" si="65"/>
        <v>3</v>
      </c>
      <c r="F882" s="11">
        <v>3</v>
      </c>
      <c r="G882" s="9">
        <v>495029</v>
      </c>
      <c r="H882" s="13">
        <v>40198.585416666669</v>
      </c>
      <c r="I882" s="14">
        <v>1.45</v>
      </c>
      <c r="J882" s="23">
        <f t="shared" si="66"/>
        <v>1.45</v>
      </c>
      <c r="K882" s="12">
        <v>40198</v>
      </c>
      <c r="L882" s="24">
        <v>8.5416666666666669E-2</v>
      </c>
      <c r="M882" t="s">
        <v>1013</v>
      </c>
      <c r="N882" s="15" t="str">
        <f t="shared" si="67"/>
        <v>2:03 PM</v>
      </c>
      <c r="O882" s="9" t="s">
        <v>9</v>
      </c>
      <c r="P882" s="20">
        <f t="shared" si="69"/>
        <v>4.3499999999999996</v>
      </c>
    </row>
    <row r="883" spans="1:16" x14ac:dyDescent="0.25">
      <c r="A883" s="9">
        <v>12696</v>
      </c>
      <c r="B883" s="9">
        <v>82551</v>
      </c>
      <c r="C883" s="9" t="s">
        <v>662</v>
      </c>
      <c r="D883" s="17">
        <f t="shared" si="68"/>
        <v>12</v>
      </c>
      <c r="E883" s="10">
        <f t="shared" si="65"/>
        <v>12</v>
      </c>
      <c r="F883" s="11">
        <v>12</v>
      </c>
      <c r="G883" s="9">
        <v>516193</v>
      </c>
      <c r="H883" s="13">
        <v>40378.418055555558</v>
      </c>
      <c r="I883" s="14">
        <v>1.25</v>
      </c>
      <c r="J883" s="23">
        <f t="shared" si="66"/>
        <v>1.25</v>
      </c>
      <c r="K883" s="12">
        <v>40378</v>
      </c>
      <c r="L883" s="24">
        <v>0.41805555555555557</v>
      </c>
      <c r="M883" t="s">
        <v>1014</v>
      </c>
      <c r="N883" s="15" t="str">
        <f t="shared" si="67"/>
        <v>10:02 AM</v>
      </c>
      <c r="O883" s="9" t="s">
        <v>880</v>
      </c>
      <c r="P883" s="20">
        <f t="shared" si="69"/>
        <v>15</v>
      </c>
    </row>
    <row r="884" spans="1:16" x14ac:dyDescent="0.25">
      <c r="A884" s="9">
        <v>17231</v>
      </c>
      <c r="B884" s="9">
        <v>22736</v>
      </c>
      <c r="C884" s="9" t="s">
        <v>596</v>
      </c>
      <c r="D884" s="17">
        <f t="shared" si="68"/>
        <v>1</v>
      </c>
      <c r="E884" s="10">
        <f t="shared" si="65"/>
        <v>1</v>
      </c>
      <c r="F884" s="11">
        <v>1</v>
      </c>
      <c r="G884" s="9">
        <v>528615</v>
      </c>
      <c r="H884" s="13">
        <v>40473.691666666673</v>
      </c>
      <c r="I884" s="14">
        <v>1.65</v>
      </c>
      <c r="J884" s="23">
        <f t="shared" si="66"/>
        <v>1.65</v>
      </c>
      <c r="K884" s="12">
        <v>40473</v>
      </c>
      <c r="L884" s="24">
        <v>0.19166666666666668</v>
      </c>
      <c r="M884" t="s">
        <v>1013</v>
      </c>
      <c r="N884" s="15" t="str">
        <f t="shared" si="67"/>
        <v>4:36 PM</v>
      </c>
      <c r="O884" s="9" t="s">
        <v>9</v>
      </c>
      <c r="P884" s="20">
        <f t="shared" si="69"/>
        <v>1.65</v>
      </c>
    </row>
    <row r="885" spans="1:16" x14ac:dyDescent="0.25">
      <c r="A885" s="9">
        <v>16019</v>
      </c>
      <c r="B885" s="9">
        <v>84879</v>
      </c>
      <c r="C885" s="9" t="s">
        <v>143</v>
      </c>
      <c r="D885" s="17">
        <f t="shared" si="68"/>
        <v>8</v>
      </c>
      <c r="E885" s="10">
        <f t="shared" si="65"/>
        <v>8</v>
      </c>
      <c r="F885" s="11">
        <v>8</v>
      </c>
      <c r="G885" s="9">
        <v>520336</v>
      </c>
      <c r="H885" s="13">
        <v>40415.527083333327</v>
      </c>
      <c r="I885" s="14">
        <v>1.69</v>
      </c>
      <c r="J885" s="23">
        <f t="shared" si="66"/>
        <v>1.69</v>
      </c>
      <c r="K885" s="12">
        <v>40415</v>
      </c>
      <c r="L885" s="24">
        <v>0.52708333333333335</v>
      </c>
      <c r="M885" t="s">
        <v>1013</v>
      </c>
      <c r="N885" s="15" t="str">
        <f t="shared" si="67"/>
        <v>12:39 PM</v>
      </c>
      <c r="O885" s="9" t="s">
        <v>9</v>
      </c>
      <c r="P885" s="20">
        <f t="shared" si="69"/>
        <v>13.52</v>
      </c>
    </row>
    <row r="886" spans="1:16" x14ac:dyDescent="0.25">
      <c r="A886" s="9">
        <v>14303</v>
      </c>
      <c r="B886" s="9">
        <v>22178</v>
      </c>
      <c r="C886" s="9" t="s">
        <v>193</v>
      </c>
      <c r="D886" s="17">
        <f t="shared" si="68"/>
        <v>12</v>
      </c>
      <c r="E886" s="10">
        <f t="shared" si="65"/>
        <v>12</v>
      </c>
      <c r="F886" s="11">
        <v>12</v>
      </c>
      <c r="G886" s="9">
        <v>529522</v>
      </c>
      <c r="H886" s="13">
        <v>40479.650694444441</v>
      </c>
      <c r="I886" s="14">
        <v>1.25</v>
      </c>
      <c r="J886" s="23">
        <f t="shared" si="66"/>
        <v>1.25</v>
      </c>
      <c r="K886" s="12">
        <v>40479</v>
      </c>
      <c r="L886" s="24">
        <v>0.15069444444444444</v>
      </c>
      <c r="M886" t="s">
        <v>1013</v>
      </c>
      <c r="N886" s="15" t="str">
        <f t="shared" si="67"/>
        <v>3:37 PM</v>
      </c>
      <c r="O886" s="9" t="s">
        <v>9</v>
      </c>
      <c r="P886" s="20">
        <f t="shared" si="69"/>
        <v>15</v>
      </c>
    </row>
    <row r="887" spans="1:16" x14ac:dyDescent="0.25">
      <c r="A887" s="9">
        <v>17346</v>
      </c>
      <c r="B887" s="9">
        <v>21467</v>
      </c>
      <c r="C887" s="9" t="s">
        <v>882</v>
      </c>
      <c r="D887" s="17">
        <f t="shared" si="68"/>
        <v>1</v>
      </c>
      <c r="E887" s="10">
        <f t="shared" si="65"/>
        <v>1</v>
      </c>
      <c r="F887" s="11">
        <v>1</v>
      </c>
      <c r="G887" s="9" t="s">
        <v>881</v>
      </c>
      <c r="H887" s="13">
        <v>40421.644444444442</v>
      </c>
      <c r="I887" s="14">
        <v>3.75</v>
      </c>
      <c r="J887" s="23">
        <f t="shared" si="66"/>
        <v>3.75</v>
      </c>
      <c r="K887" s="12">
        <v>40421</v>
      </c>
      <c r="L887" s="24">
        <v>0.14444444444444443</v>
      </c>
      <c r="M887" t="s">
        <v>1013</v>
      </c>
      <c r="N887" s="15" t="str">
        <f t="shared" si="67"/>
        <v>3:28 PM</v>
      </c>
      <c r="O887" s="9" t="s">
        <v>9</v>
      </c>
      <c r="P887" s="20">
        <f t="shared" si="69"/>
        <v>3.75</v>
      </c>
    </row>
    <row r="888" spans="1:16" x14ac:dyDescent="0.25">
      <c r="A888" s="9">
        <v>15764</v>
      </c>
      <c r="B888" s="9">
        <v>21733</v>
      </c>
      <c r="C888" s="9" t="s">
        <v>883</v>
      </c>
      <c r="D888" s="17">
        <f t="shared" si="68"/>
        <v>6</v>
      </c>
      <c r="E888" s="10">
        <f t="shared" si="65"/>
        <v>6</v>
      </c>
      <c r="F888" s="11">
        <v>6</v>
      </c>
      <c r="G888" s="9">
        <v>519586</v>
      </c>
      <c r="H888" s="13">
        <v>40408.581944444442</v>
      </c>
      <c r="I888" s="14">
        <v>2.95</v>
      </c>
      <c r="J888" s="23">
        <f t="shared" si="66"/>
        <v>2.95</v>
      </c>
      <c r="K888" s="12">
        <v>40408</v>
      </c>
      <c r="L888" s="24">
        <v>8.1944444444444445E-2</v>
      </c>
      <c r="M888" t="s">
        <v>1013</v>
      </c>
      <c r="N888" s="15" t="str">
        <f t="shared" si="67"/>
        <v>1:58 PM</v>
      </c>
      <c r="O888" s="9" t="s">
        <v>9</v>
      </c>
      <c r="P888" s="20">
        <f t="shared" si="69"/>
        <v>17.700000000000003</v>
      </c>
    </row>
    <row r="889" spans="1:16" x14ac:dyDescent="0.25">
      <c r="A889" s="9">
        <v>18168</v>
      </c>
      <c r="B889" s="9">
        <v>21231</v>
      </c>
      <c r="C889" s="9" t="s">
        <v>493</v>
      </c>
      <c r="D889" s="17">
        <f t="shared" si="68"/>
        <v>4</v>
      </c>
      <c r="E889" s="10">
        <f t="shared" si="65"/>
        <v>4</v>
      </c>
      <c r="F889" s="11">
        <v>4</v>
      </c>
      <c r="G889" s="9">
        <v>530953</v>
      </c>
      <c r="H889" s="13">
        <v>40486.779166666667</v>
      </c>
      <c r="I889" s="14">
        <v>1.25</v>
      </c>
      <c r="J889" s="23">
        <f t="shared" si="66"/>
        <v>1.25</v>
      </c>
      <c r="K889" s="12">
        <v>40486</v>
      </c>
      <c r="L889" s="24">
        <v>0.27916666666666667</v>
      </c>
      <c r="M889" t="s">
        <v>1013</v>
      </c>
      <c r="N889" s="15" t="str">
        <f t="shared" si="67"/>
        <v>6:42 PM</v>
      </c>
      <c r="O889" s="9" t="s">
        <v>9</v>
      </c>
      <c r="P889" s="20">
        <f t="shared" si="69"/>
        <v>5</v>
      </c>
    </row>
    <row r="890" spans="1:16" x14ac:dyDescent="0.25">
      <c r="A890" s="9">
        <v>14085</v>
      </c>
      <c r="B890" s="9">
        <v>82600</v>
      </c>
      <c r="C890" s="9" t="s">
        <v>268</v>
      </c>
      <c r="D890" s="17">
        <f t="shared" si="68"/>
        <v>3</v>
      </c>
      <c r="E890" s="10">
        <f t="shared" si="65"/>
        <v>3</v>
      </c>
      <c r="F890" s="11">
        <v>3</v>
      </c>
      <c r="G890" s="9">
        <v>492839</v>
      </c>
      <c r="H890" s="13">
        <v>40168.463888888888</v>
      </c>
      <c r="I890" s="14">
        <v>2.1</v>
      </c>
      <c r="J890" s="23">
        <f t="shared" si="66"/>
        <v>2.1</v>
      </c>
      <c r="K890" s="12">
        <v>40168</v>
      </c>
      <c r="L890" s="24">
        <v>0.46388888888888891</v>
      </c>
      <c r="M890" t="s">
        <v>1014</v>
      </c>
      <c r="N890" s="15" t="str">
        <f t="shared" si="67"/>
        <v>11:08 AM</v>
      </c>
      <c r="O890" s="9" t="s">
        <v>9</v>
      </c>
      <c r="P890" s="20">
        <f t="shared" si="69"/>
        <v>6.3000000000000007</v>
      </c>
    </row>
    <row r="891" spans="1:16" x14ac:dyDescent="0.25">
      <c r="A891" s="9">
        <v>14930</v>
      </c>
      <c r="B891" s="9">
        <v>20685</v>
      </c>
      <c r="C891" s="9" t="s">
        <v>884</v>
      </c>
      <c r="D891" s="17">
        <f t="shared" si="68"/>
        <v>2</v>
      </c>
      <c r="E891" s="10">
        <f t="shared" si="65"/>
        <v>2</v>
      </c>
      <c r="F891" s="11">
        <v>2</v>
      </c>
      <c r="G891" s="9">
        <v>520484</v>
      </c>
      <c r="H891" s="17" t="s">
        <v>885</v>
      </c>
      <c r="I891" s="14">
        <v>7.49</v>
      </c>
      <c r="J891" s="23">
        <f t="shared" si="66"/>
        <v>7.49</v>
      </c>
      <c r="K891" t="s">
        <v>1019</v>
      </c>
      <c r="L891" s="25">
        <v>0.48819444444444443</v>
      </c>
      <c r="N891" s="15" t="str">
        <f t="shared" si="67"/>
        <v xml:space="preserve">11:43 </v>
      </c>
      <c r="O891" s="9" t="s">
        <v>230</v>
      </c>
      <c r="P891" s="20">
        <f t="shared" si="69"/>
        <v>14.98</v>
      </c>
    </row>
    <row r="892" spans="1:16" x14ac:dyDescent="0.25">
      <c r="A892" s="9">
        <v>14510</v>
      </c>
      <c r="B892" s="9">
        <v>22816</v>
      </c>
      <c r="C892" s="9" t="s">
        <v>886</v>
      </c>
      <c r="D892" s="17">
        <f t="shared" si="68"/>
        <v>24</v>
      </c>
      <c r="E892" s="10">
        <f t="shared" si="65"/>
        <v>24</v>
      </c>
      <c r="F892" s="11">
        <v>24</v>
      </c>
      <c r="G892" s="9">
        <v>524534</v>
      </c>
      <c r="H892" s="13">
        <v>40450.565972222219</v>
      </c>
      <c r="I892" s="14">
        <v>0.42</v>
      </c>
      <c r="J892" s="23">
        <f t="shared" si="66"/>
        <v>0.42</v>
      </c>
      <c r="K892" s="12">
        <v>40450</v>
      </c>
      <c r="L892" s="24">
        <v>6.5972222222222224E-2</v>
      </c>
      <c r="M892" t="s">
        <v>1013</v>
      </c>
      <c r="N892" s="15" t="str">
        <f t="shared" si="67"/>
        <v>1:35 PM</v>
      </c>
      <c r="O892" s="9" t="s">
        <v>9</v>
      </c>
      <c r="P892" s="20">
        <f t="shared" si="69"/>
        <v>10.08</v>
      </c>
    </row>
    <row r="893" spans="1:16" x14ac:dyDescent="0.25">
      <c r="A893" s="9">
        <v>14382</v>
      </c>
      <c r="B893" s="9">
        <v>20961</v>
      </c>
      <c r="C893" s="9" t="s">
        <v>156</v>
      </c>
      <c r="D893" s="17">
        <f t="shared" si="68"/>
        <v>2</v>
      </c>
      <c r="E893" s="10">
        <f t="shared" si="65"/>
        <v>2</v>
      </c>
      <c r="F893" s="11">
        <v>2</v>
      </c>
      <c r="G893" s="9">
        <v>532821</v>
      </c>
      <c r="H893" s="13">
        <v>40496.688888888893</v>
      </c>
      <c r="I893" s="14" t="s">
        <v>42</v>
      </c>
      <c r="J893" s="23">
        <f t="shared" si="66"/>
        <v>1.25</v>
      </c>
      <c r="K893" s="12">
        <v>40496</v>
      </c>
      <c r="L893" s="24">
        <v>0.18888888888888888</v>
      </c>
      <c r="M893" t="s">
        <v>1013</v>
      </c>
      <c r="N893" s="15" t="str">
        <f t="shared" si="67"/>
        <v>4:32 PM</v>
      </c>
      <c r="O893" s="9" t="s">
        <v>9</v>
      </c>
      <c r="P893" s="20">
        <f t="shared" si="69"/>
        <v>2.5</v>
      </c>
    </row>
    <row r="894" spans="1:16" x14ac:dyDescent="0.25">
      <c r="A894" s="9">
        <v>15050</v>
      </c>
      <c r="B894" s="9">
        <v>22470</v>
      </c>
      <c r="C894" s="16" t="s">
        <v>164</v>
      </c>
      <c r="D894" s="17">
        <f t="shared" si="68"/>
        <v>44</v>
      </c>
      <c r="E894" s="10">
        <f t="shared" si="65"/>
        <v>44</v>
      </c>
      <c r="F894" s="11">
        <v>44</v>
      </c>
      <c r="G894" s="9">
        <v>527073</v>
      </c>
      <c r="H894" s="13">
        <v>40465.595833333333</v>
      </c>
      <c r="I894" s="14">
        <v>2.5499999999999998</v>
      </c>
      <c r="J894" s="23">
        <f t="shared" si="66"/>
        <v>2.5499999999999998</v>
      </c>
      <c r="K894" s="12">
        <v>40465</v>
      </c>
      <c r="L894" s="24">
        <v>9.583333333333334E-2</v>
      </c>
      <c r="M894" t="s">
        <v>1013</v>
      </c>
      <c r="N894" s="15" t="str">
        <f t="shared" si="67"/>
        <v>2:18 PM</v>
      </c>
      <c r="O894" s="9" t="s">
        <v>9</v>
      </c>
      <c r="P894" s="20">
        <f t="shared" si="69"/>
        <v>112.19999999999999</v>
      </c>
    </row>
    <row r="895" spans="1:16" x14ac:dyDescent="0.25">
      <c r="A895" s="9">
        <v>17511</v>
      </c>
      <c r="B895" s="9">
        <v>21268</v>
      </c>
      <c r="C895" s="9" t="s">
        <v>887</v>
      </c>
      <c r="D895" s="17">
        <f t="shared" si="68"/>
        <v>48</v>
      </c>
      <c r="E895" s="10">
        <f t="shared" si="65"/>
        <v>48</v>
      </c>
      <c r="F895" s="11">
        <v>48</v>
      </c>
      <c r="G895" s="9">
        <v>491800</v>
      </c>
      <c r="H895" s="13">
        <v>40161.540277777778</v>
      </c>
      <c r="I895" s="14">
        <v>0.42</v>
      </c>
      <c r="J895" s="23">
        <f t="shared" si="66"/>
        <v>0.42</v>
      </c>
      <c r="K895" s="12">
        <v>40161</v>
      </c>
      <c r="L895" s="24">
        <v>0.54027777777777775</v>
      </c>
      <c r="M895" t="s">
        <v>1013</v>
      </c>
      <c r="N895" s="15" t="str">
        <f t="shared" si="67"/>
        <v>12:58 PM</v>
      </c>
      <c r="O895" s="9" t="s">
        <v>9</v>
      </c>
      <c r="P895" s="20">
        <f t="shared" si="69"/>
        <v>20.16</v>
      </c>
    </row>
    <row r="896" spans="1:16" x14ac:dyDescent="0.25">
      <c r="A896" s="9" t="s">
        <v>889</v>
      </c>
      <c r="B896" s="9">
        <v>22271</v>
      </c>
      <c r="C896" s="9" t="s">
        <v>888</v>
      </c>
      <c r="D896" s="17">
        <f t="shared" si="68"/>
        <v>1</v>
      </c>
      <c r="E896" s="10">
        <f t="shared" si="65"/>
        <v>1</v>
      </c>
      <c r="F896" s="11">
        <v>1</v>
      </c>
      <c r="G896" s="9">
        <v>532989</v>
      </c>
      <c r="H896" s="13">
        <v>40497.589583333327</v>
      </c>
      <c r="I896" s="14">
        <v>2.95</v>
      </c>
      <c r="J896" s="23">
        <f t="shared" si="66"/>
        <v>2.95</v>
      </c>
      <c r="K896" s="12">
        <v>40497</v>
      </c>
      <c r="L896" s="24">
        <v>8.9583333333333334E-2</v>
      </c>
      <c r="M896" t="s">
        <v>1013</v>
      </c>
      <c r="N896" s="15" t="str">
        <f t="shared" si="67"/>
        <v>2:09 PM</v>
      </c>
      <c r="O896" s="9" t="s">
        <v>9</v>
      </c>
      <c r="P896" s="20">
        <f t="shared" si="69"/>
        <v>2.95</v>
      </c>
    </row>
    <row r="897" spans="1:16" x14ac:dyDescent="0.25">
      <c r="A897" s="9" t="s">
        <v>891</v>
      </c>
      <c r="B897" s="9">
        <v>22109</v>
      </c>
      <c r="C897" s="9" t="s">
        <v>821</v>
      </c>
      <c r="D897" s="17">
        <f t="shared" si="68"/>
        <v>1</v>
      </c>
      <c r="E897" s="10">
        <f t="shared" si="65"/>
        <v>-1</v>
      </c>
      <c r="F897" s="11">
        <v>-1</v>
      </c>
      <c r="G897" s="9" t="s">
        <v>890</v>
      </c>
      <c r="H897" s="13">
        <v>40253.421527777777</v>
      </c>
      <c r="I897" s="14">
        <v>3.75</v>
      </c>
      <c r="J897" s="23">
        <f t="shared" si="66"/>
        <v>3.75</v>
      </c>
      <c r="K897" s="12">
        <v>40253</v>
      </c>
      <c r="L897" s="24">
        <v>0.42152777777777778</v>
      </c>
      <c r="M897" t="s">
        <v>1014</v>
      </c>
      <c r="N897" s="15" t="str">
        <f t="shared" si="67"/>
        <v>10:07 AM</v>
      </c>
      <c r="O897" s="9" t="s">
        <v>9</v>
      </c>
      <c r="P897" s="20">
        <f t="shared" si="69"/>
        <v>3.75</v>
      </c>
    </row>
    <row r="898" spans="1:16" x14ac:dyDescent="0.25">
      <c r="A898" s="9">
        <v>16098</v>
      </c>
      <c r="B898" s="9">
        <v>22605</v>
      </c>
      <c r="C898" s="9" t="s">
        <v>103</v>
      </c>
      <c r="D898" s="17">
        <f t="shared" si="68"/>
        <v>4</v>
      </c>
      <c r="E898" s="10">
        <f t="shared" ref="E898:E961" si="70">VALUE(F898)</f>
        <v>4</v>
      </c>
      <c r="F898" s="11">
        <v>4</v>
      </c>
      <c r="G898" s="9">
        <v>504717</v>
      </c>
      <c r="H898" s="13">
        <v>40284.450694444437</v>
      </c>
      <c r="I898" s="14">
        <v>10.95</v>
      </c>
      <c r="J898" s="23">
        <f t="shared" ref="J898:J961" si="71">VALUE(I898)</f>
        <v>10.95</v>
      </c>
      <c r="K898" s="12">
        <v>40284</v>
      </c>
      <c r="L898" s="24">
        <v>0.45069444444444445</v>
      </c>
      <c r="M898" t="s">
        <v>1014</v>
      </c>
      <c r="N898" s="15" t="str">
        <f t="shared" ref="N898:N961" si="72">TEXT(L898,"h:mm")&amp;" "&amp;M898</f>
        <v>10:49 AM</v>
      </c>
      <c r="O898" s="9" t="s">
        <v>9</v>
      </c>
      <c r="P898" s="20">
        <f t="shared" si="69"/>
        <v>43.8</v>
      </c>
    </row>
    <row r="899" spans="1:16" x14ac:dyDescent="0.25">
      <c r="A899" s="9">
        <v>12380</v>
      </c>
      <c r="B899" s="9" t="s">
        <v>751</v>
      </c>
      <c r="C899" s="9" t="s">
        <v>752</v>
      </c>
      <c r="D899" s="17">
        <f t="shared" ref="D899:D962" si="73">ABS(E899)</f>
        <v>6</v>
      </c>
      <c r="E899" s="10">
        <f t="shared" si="70"/>
        <v>6</v>
      </c>
      <c r="F899" s="11">
        <v>6</v>
      </c>
      <c r="G899" s="9">
        <v>513964</v>
      </c>
      <c r="H899" s="13">
        <v>40358.636805555558</v>
      </c>
      <c r="I899" s="14">
        <v>3.75</v>
      </c>
      <c r="J899" s="23">
        <f t="shared" si="71"/>
        <v>3.75</v>
      </c>
      <c r="K899" s="12">
        <v>40358</v>
      </c>
      <c r="L899" s="24">
        <v>0.13680555555555557</v>
      </c>
      <c r="M899" t="s">
        <v>1013</v>
      </c>
      <c r="N899" s="15" t="str">
        <f t="shared" si="72"/>
        <v>3:17 PM</v>
      </c>
      <c r="O899" s="9" t="s">
        <v>82</v>
      </c>
      <c r="P899" s="20">
        <f t="shared" ref="P899:P962" si="74">PRODUCT(D899,(J899))</f>
        <v>22.5</v>
      </c>
    </row>
    <row r="900" spans="1:16" x14ac:dyDescent="0.25">
      <c r="A900" s="9">
        <v>14104</v>
      </c>
      <c r="B900" s="9">
        <v>22090</v>
      </c>
      <c r="C900" s="9" t="s">
        <v>538</v>
      </c>
      <c r="D900" s="17">
        <f t="shared" si="73"/>
        <v>1</v>
      </c>
      <c r="E900" s="10">
        <f t="shared" si="70"/>
        <v>1</v>
      </c>
      <c r="F900" s="11">
        <v>1</v>
      </c>
      <c r="G900" s="9">
        <v>510360</v>
      </c>
      <c r="H900" s="13">
        <v>40326.674305555563</v>
      </c>
      <c r="I900" s="14">
        <v>2.95</v>
      </c>
      <c r="J900" s="23">
        <f t="shared" si="71"/>
        <v>2.95</v>
      </c>
      <c r="K900" s="12">
        <v>40326</v>
      </c>
      <c r="L900" s="24">
        <v>0.17430555555555555</v>
      </c>
      <c r="M900" t="s">
        <v>1013</v>
      </c>
      <c r="N900" s="15" t="str">
        <f t="shared" si="72"/>
        <v>4:11 PM</v>
      </c>
      <c r="O900" s="9" t="s">
        <v>9</v>
      </c>
      <c r="P900" s="20">
        <f t="shared" si="74"/>
        <v>2.95</v>
      </c>
    </row>
    <row r="901" spans="1:16" x14ac:dyDescent="0.25">
      <c r="A901" s="9">
        <v>12476</v>
      </c>
      <c r="B901" s="9">
        <v>22726</v>
      </c>
      <c r="C901" s="9" t="s">
        <v>383</v>
      </c>
      <c r="D901" s="17">
        <f t="shared" si="73"/>
        <v>4</v>
      </c>
      <c r="E901" s="10">
        <f t="shared" si="70"/>
        <v>4</v>
      </c>
      <c r="F901" s="11">
        <v>4</v>
      </c>
      <c r="G901" s="9">
        <v>524323</v>
      </c>
      <c r="H901" s="13">
        <v>40449.611805555563</v>
      </c>
      <c r="I901" s="14">
        <v>3.75</v>
      </c>
      <c r="J901" s="23">
        <f t="shared" si="71"/>
        <v>3.75</v>
      </c>
      <c r="K901" s="12">
        <v>40449</v>
      </c>
      <c r="L901" s="24">
        <v>0.11180555555555556</v>
      </c>
      <c r="M901" t="s">
        <v>1013</v>
      </c>
      <c r="N901" s="15" t="str">
        <f t="shared" si="72"/>
        <v>2:41 PM</v>
      </c>
      <c r="O901" s="9" t="s">
        <v>17</v>
      </c>
      <c r="P901" s="20">
        <f t="shared" si="74"/>
        <v>15</v>
      </c>
    </row>
    <row r="902" spans="1:16" x14ac:dyDescent="0.25">
      <c r="A902" s="9">
        <v>15861</v>
      </c>
      <c r="B902" s="9">
        <v>21156</v>
      </c>
      <c r="C902" s="9" t="s">
        <v>23</v>
      </c>
      <c r="D902" s="17">
        <f t="shared" si="73"/>
        <v>2</v>
      </c>
      <c r="E902" s="10">
        <f t="shared" si="70"/>
        <v>2</v>
      </c>
      <c r="F902" s="11">
        <v>2</v>
      </c>
      <c r="G902" s="9">
        <v>521974</v>
      </c>
      <c r="H902" s="13">
        <v>40430.830555555563</v>
      </c>
      <c r="I902" s="14">
        <v>1.95</v>
      </c>
      <c r="J902" s="23">
        <f t="shared" si="71"/>
        <v>1.95</v>
      </c>
      <c r="K902" s="12">
        <v>40430</v>
      </c>
      <c r="L902" s="24">
        <v>0.33055555555555555</v>
      </c>
      <c r="M902" t="s">
        <v>1013</v>
      </c>
      <c r="N902" s="15" t="str">
        <f t="shared" si="72"/>
        <v>7:56 PM</v>
      </c>
      <c r="O902" s="9" t="s">
        <v>9</v>
      </c>
      <c r="P902" s="20">
        <f t="shared" si="74"/>
        <v>3.9</v>
      </c>
    </row>
    <row r="903" spans="1:16" x14ac:dyDescent="0.25">
      <c r="A903" s="9">
        <v>14684</v>
      </c>
      <c r="B903" s="9">
        <v>22576</v>
      </c>
      <c r="C903" s="9" t="s">
        <v>258</v>
      </c>
      <c r="D903" s="17">
        <f t="shared" si="73"/>
        <v>1</v>
      </c>
      <c r="E903" s="10">
        <f t="shared" si="70"/>
        <v>1</v>
      </c>
      <c r="F903" s="11">
        <v>1</v>
      </c>
      <c r="G903" s="9">
        <v>532764</v>
      </c>
      <c r="H903" s="13">
        <v>40496.588194444441</v>
      </c>
      <c r="I903" s="14">
        <v>0.85</v>
      </c>
      <c r="J903" s="23">
        <f t="shared" si="71"/>
        <v>0.85</v>
      </c>
      <c r="K903" s="12">
        <v>40496</v>
      </c>
      <c r="L903" s="24">
        <v>8.819444444444445E-2</v>
      </c>
      <c r="M903" t="s">
        <v>1013</v>
      </c>
      <c r="N903" s="15" t="str">
        <f t="shared" si="72"/>
        <v>2:07 PM</v>
      </c>
      <c r="O903" s="9" t="s">
        <v>9</v>
      </c>
      <c r="P903" s="20">
        <f t="shared" si="74"/>
        <v>0.85</v>
      </c>
    </row>
    <row r="904" spans="1:16" x14ac:dyDescent="0.25">
      <c r="A904" s="9">
        <v>16619</v>
      </c>
      <c r="B904" s="9" t="s">
        <v>892</v>
      </c>
      <c r="C904" s="9" t="s">
        <v>893</v>
      </c>
      <c r="D904" s="17">
        <f t="shared" si="73"/>
        <v>1</v>
      </c>
      <c r="E904" s="10">
        <f t="shared" si="70"/>
        <v>1</v>
      </c>
      <c r="F904" s="11">
        <v>1</v>
      </c>
      <c r="G904" s="9">
        <v>498696</v>
      </c>
      <c r="H904" s="13">
        <v>40231.503472222219</v>
      </c>
      <c r="I904" s="14">
        <v>10.75</v>
      </c>
      <c r="J904" s="23">
        <f t="shared" si="71"/>
        <v>10.75</v>
      </c>
      <c r="K904" s="12">
        <v>40231</v>
      </c>
      <c r="L904" s="24">
        <v>0.50347222222222221</v>
      </c>
      <c r="M904" t="s">
        <v>1013</v>
      </c>
      <c r="N904" s="15" t="str">
        <f t="shared" si="72"/>
        <v>12:05 PM</v>
      </c>
      <c r="O904" s="9" t="s">
        <v>9</v>
      </c>
      <c r="P904" s="20">
        <f t="shared" si="74"/>
        <v>10.75</v>
      </c>
    </row>
    <row r="905" spans="1:16" x14ac:dyDescent="0.25">
      <c r="A905" s="9">
        <v>16108</v>
      </c>
      <c r="B905" s="9" t="s">
        <v>277</v>
      </c>
      <c r="C905" s="9" t="s">
        <v>894</v>
      </c>
      <c r="D905" s="17">
        <f t="shared" si="73"/>
        <v>10</v>
      </c>
      <c r="E905" s="10">
        <f t="shared" si="70"/>
        <v>10</v>
      </c>
      <c r="F905" s="11">
        <v>10</v>
      </c>
      <c r="G905" s="9">
        <v>501665</v>
      </c>
      <c r="H905" s="13">
        <v>40255.593055555553</v>
      </c>
      <c r="I905" s="14">
        <v>1.95</v>
      </c>
      <c r="J905" s="23">
        <f t="shared" si="71"/>
        <v>1.95</v>
      </c>
      <c r="K905" s="12">
        <v>40255</v>
      </c>
      <c r="L905" s="24">
        <v>9.3055555555555558E-2</v>
      </c>
      <c r="M905" t="s">
        <v>1013</v>
      </c>
      <c r="N905" s="15" t="str">
        <f t="shared" si="72"/>
        <v>2:14 PM</v>
      </c>
      <c r="O905" s="9" t="s">
        <v>9</v>
      </c>
      <c r="P905" s="20">
        <f t="shared" si="74"/>
        <v>19.5</v>
      </c>
    </row>
    <row r="906" spans="1:16" x14ac:dyDescent="0.25">
      <c r="A906" s="9" t="s">
        <v>896</v>
      </c>
      <c r="B906" s="9">
        <v>21587</v>
      </c>
      <c r="C906" s="9" t="s">
        <v>895</v>
      </c>
      <c r="D906" s="17">
        <f t="shared" si="73"/>
        <v>1</v>
      </c>
      <c r="E906" s="10">
        <f t="shared" si="70"/>
        <v>1</v>
      </c>
      <c r="F906" s="11">
        <v>1</v>
      </c>
      <c r="G906" s="9">
        <v>534003</v>
      </c>
      <c r="H906" s="13">
        <v>40501.602083333331</v>
      </c>
      <c r="I906" s="14">
        <v>2.5499999999999998</v>
      </c>
      <c r="J906" s="23">
        <f t="shared" si="71"/>
        <v>2.5499999999999998</v>
      </c>
      <c r="K906" s="12">
        <v>40501</v>
      </c>
      <c r="L906" s="24">
        <v>0.10208333333333333</v>
      </c>
      <c r="M906" t="s">
        <v>1013</v>
      </c>
      <c r="N906" s="15" t="str">
        <f t="shared" si="72"/>
        <v>2:27 PM</v>
      </c>
      <c r="O906" s="9" t="s">
        <v>9</v>
      </c>
      <c r="P906" s="20">
        <f t="shared" si="74"/>
        <v>2.5499999999999998</v>
      </c>
    </row>
    <row r="907" spans="1:16" x14ac:dyDescent="0.25">
      <c r="A907" s="9">
        <v>14506</v>
      </c>
      <c r="B907" s="9">
        <v>84773</v>
      </c>
      <c r="C907" s="9" t="s">
        <v>823</v>
      </c>
      <c r="D907" s="17">
        <f t="shared" si="73"/>
        <v>2</v>
      </c>
      <c r="E907" s="10">
        <f t="shared" si="70"/>
        <v>2</v>
      </c>
      <c r="F907" s="11">
        <v>2</v>
      </c>
      <c r="G907" s="9">
        <v>530350</v>
      </c>
      <c r="H907" s="13">
        <v>40484.658333333333</v>
      </c>
      <c r="I907" s="14">
        <v>2.95</v>
      </c>
      <c r="J907" s="23">
        <f t="shared" si="71"/>
        <v>2.95</v>
      </c>
      <c r="K907" s="12">
        <v>40484</v>
      </c>
      <c r="L907" s="24">
        <v>0.15833333333333333</v>
      </c>
      <c r="M907" t="s">
        <v>1013</v>
      </c>
      <c r="N907" s="15" t="str">
        <f t="shared" si="72"/>
        <v>3:48 PM</v>
      </c>
      <c r="O907" s="9" t="s">
        <v>9</v>
      </c>
      <c r="P907" s="20">
        <f t="shared" si="74"/>
        <v>5.9</v>
      </c>
    </row>
    <row r="908" spans="1:16" x14ac:dyDescent="0.25">
      <c r="A908" s="9">
        <v>14040</v>
      </c>
      <c r="B908" s="9">
        <v>22750</v>
      </c>
      <c r="C908" s="9" t="s">
        <v>545</v>
      </c>
      <c r="D908" s="17">
        <f t="shared" si="73"/>
        <v>3</v>
      </c>
      <c r="E908" s="10">
        <f t="shared" si="70"/>
        <v>3</v>
      </c>
      <c r="F908" s="11">
        <v>3</v>
      </c>
      <c r="G908" s="9">
        <v>526204</v>
      </c>
      <c r="H908" s="13">
        <v>40461.557638888888</v>
      </c>
      <c r="I908" s="14">
        <v>3.75</v>
      </c>
      <c r="J908" s="23">
        <f t="shared" si="71"/>
        <v>3.75</v>
      </c>
      <c r="K908" s="12">
        <v>40461</v>
      </c>
      <c r="L908" s="24">
        <v>5.7638888888888892E-2</v>
      </c>
      <c r="M908" t="s">
        <v>1013</v>
      </c>
      <c r="N908" s="15" t="str">
        <f t="shared" si="72"/>
        <v>1:23 PM</v>
      </c>
      <c r="O908" s="9" t="s">
        <v>9</v>
      </c>
      <c r="P908" s="20">
        <f t="shared" si="74"/>
        <v>11.25</v>
      </c>
    </row>
    <row r="909" spans="1:16" x14ac:dyDescent="0.25">
      <c r="A909" s="9">
        <v>13276</v>
      </c>
      <c r="B909" s="9">
        <v>21889</v>
      </c>
      <c r="C909" s="9" t="s">
        <v>346</v>
      </c>
      <c r="D909" s="17">
        <f t="shared" si="73"/>
        <v>2</v>
      </c>
      <c r="E909" s="10">
        <f t="shared" si="70"/>
        <v>2</v>
      </c>
      <c r="F909" s="11">
        <v>2</v>
      </c>
      <c r="G909" s="9">
        <v>500338</v>
      </c>
      <c r="H909" s="13">
        <v>40244.586805555547</v>
      </c>
      <c r="I909" s="14">
        <v>1.25</v>
      </c>
      <c r="J909" s="23">
        <f t="shared" si="71"/>
        <v>1.25</v>
      </c>
      <c r="K909" s="12">
        <v>40244</v>
      </c>
      <c r="L909" s="24">
        <v>8.6805555555555552E-2</v>
      </c>
      <c r="M909" t="s">
        <v>1013</v>
      </c>
      <c r="N909" s="15" t="str">
        <f t="shared" si="72"/>
        <v>2:05 PM</v>
      </c>
      <c r="O909" s="9" t="s">
        <v>9</v>
      </c>
      <c r="P909" s="20">
        <f t="shared" si="74"/>
        <v>2.5</v>
      </c>
    </row>
    <row r="910" spans="1:16" x14ac:dyDescent="0.25">
      <c r="A910" s="9">
        <v>14534</v>
      </c>
      <c r="B910" s="9">
        <v>21544</v>
      </c>
      <c r="C910" s="9" t="s">
        <v>897</v>
      </c>
      <c r="D910" s="17">
        <f t="shared" si="73"/>
        <v>2</v>
      </c>
      <c r="E910" s="10">
        <f t="shared" si="70"/>
        <v>2</v>
      </c>
      <c r="F910" s="11">
        <v>2</v>
      </c>
      <c r="G910" s="9">
        <v>511266</v>
      </c>
      <c r="H910" s="13">
        <v>40336.535416666673</v>
      </c>
      <c r="I910" s="14">
        <v>0.85</v>
      </c>
      <c r="J910" s="23">
        <f t="shared" si="71"/>
        <v>0.85</v>
      </c>
      <c r="K910" s="12">
        <v>40336</v>
      </c>
      <c r="L910" s="24">
        <v>0.53541666666666665</v>
      </c>
      <c r="M910" t="s">
        <v>1013</v>
      </c>
      <c r="N910" s="15" t="str">
        <f t="shared" si="72"/>
        <v>12:51 PM</v>
      </c>
      <c r="O910" s="9" t="s">
        <v>9</v>
      </c>
      <c r="P910" s="20">
        <f t="shared" si="74"/>
        <v>1.7</v>
      </c>
    </row>
    <row r="911" spans="1:16" x14ac:dyDescent="0.25">
      <c r="A911" s="9">
        <v>14606</v>
      </c>
      <c r="B911" s="9">
        <v>21219</v>
      </c>
      <c r="C911" s="9" t="s">
        <v>898</v>
      </c>
      <c r="D911" s="17">
        <f t="shared" si="73"/>
        <v>10</v>
      </c>
      <c r="E911" s="10">
        <f t="shared" si="70"/>
        <v>10</v>
      </c>
      <c r="F911" s="11" t="s">
        <v>59</v>
      </c>
      <c r="G911" s="9">
        <v>528957</v>
      </c>
      <c r="H911" s="13">
        <v>40477.367361111108</v>
      </c>
      <c r="I911" s="14">
        <v>1.25</v>
      </c>
      <c r="J911" s="23">
        <f t="shared" si="71"/>
        <v>1.25</v>
      </c>
      <c r="K911" s="12">
        <v>40477</v>
      </c>
      <c r="L911" s="24">
        <v>0.36736111111111114</v>
      </c>
      <c r="M911" t="s">
        <v>1014</v>
      </c>
      <c r="N911" s="15" t="str">
        <f t="shared" si="72"/>
        <v>8:49 AM</v>
      </c>
      <c r="O911" s="9" t="s">
        <v>17</v>
      </c>
      <c r="P911" s="20">
        <f t="shared" si="74"/>
        <v>12.5</v>
      </c>
    </row>
    <row r="912" spans="1:16" x14ac:dyDescent="0.25">
      <c r="A912" s="9">
        <v>12451</v>
      </c>
      <c r="B912" s="9">
        <v>22558</v>
      </c>
      <c r="C912" s="9" t="s">
        <v>899</v>
      </c>
      <c r="D912" s="17">
        <f t="shared" si="73"/>
        <v>24</v>
      </c>
      <c r="E912" s="10">
        <f t="shared" si="70"/>
        <v>24</v>
      </c>
      <c r="F912" s="11">
        <v>24</v>
      </c>
      <c r="G912" s="9">
        <v>513762</v>
      </c>
      <c r="H912" s="13">
        <v>40357.540277777778</v>
      </c>
      <c r="I912" s="14">
        <v>1.25</v>
      </c>
      <c r="J912" s="23">
        <f t="shared" si="71"/>
        <v>1.25</v>
      </c>
      <c r="K912" s="12">
        <v>40357</v>
      </c>
      <c r="L912" s="24">
        <v>0.54027777777777775</v>
      </c>
      <c r="M912" t="s">
        <v>1013</v>
      </c>
      <c r="N912" s="15" t="str">
        <f t="shared" si="72"/>
        <v>12:58 PM</v>
      </c>
      <c r="O912" s="9" t="s">
        <v>343</v>
      </c>
      <c r="P912" s="20">
        <f t="shared" si="74"/>
        <v>30</v>
      </c>
    </row>
    <row r="913" spans="1:16" x14ac:dyDescent="0.25">
      <c r="A913" s="9">
        <v>16042</v>
      </c>
      <c r="B913" s="9">
        <v>22582</v>
      </c>
      <c r="C913" s="9" t="s">
        <v>382</v>
      </c>
      <c r="D913" s="17">
        <f t="shared" si="73"/>
        <v>6</v>
      </c>
      <c r="E913" s="10">
        <f t="shared" si="70"/>
        <v>6</v>
      </c>
      <c r="F913" s="11">
        <v>6</v>
      </c>
      <c r="G913" s="9">
        <v>522086</v>
      </c>
      <c r="H913" s="13">
        <v>40433.5</v>
      </c>
      <c r="I913" s="14">
        <v>2.5499999999999998</v>
      </c>
      <c r="J913" s="23">
        <f t="shared" si="71"/>
        <v>2.5499999999999998</v>
      </c>
      <c r="K913" s="12">
        <v>40433</v>
      </c>
      <c r="L913" s="24">
        <v>0.5</v>
      </c>
      <c r="M913" t="s">
        <v>1013</v>
      </c>
      <c r="N913" s="15" t="str">
        <f t="shared" si="72"/>
        <v>12:00 PM</v>
      </c>
      <c r="O913" s="9" t="s">
        <v>9</v>
      </c>
      <c r="P913" s="20">
        <f t="shared" si="74"/>
        <v>15.299999999999999</v>
      </c>
    </row>
    <row r="914" spans="1:16" x14ac:dyDescent="0.25">
      <c r="A914" s="9">
        <v>18170</v>
      </c>
      <c r="B914" s="9">
        <v>22469</v>
      </c>
      <c r="C914" s="9" t="s">
        <v>663</v>
      </c>
      <c r="D914" s="17">
        <f t="shared" si="73"/>
        <v>10</v>
      </c>
      <c r="E914" s="10">
        <f t="shared" si="70"/>
        <v>10</v>
      </c>
      <c r="F914" s="11">
        <v>10</v>
      </c>
      <c r="G914" s="9">
        <v>536213</v>
      </c>
      <c r="H914" s="13">
        <v>40512.564583333333</v>
      </c>
      <c r="I914" s="14">
        <v>1.65</v>
      </c>
      <c r="J914" s="23">
        <f t="shared" si="71"/>
        <v>1.65</v>
      </c>
      <c r="K914" s="12">
        <v>40512</v>
      </c>
      <c r="L914" s="24">
        <v>6.458333333333334E-2</v>
      </c>
      <c r="M914" t="s">
        <v>1013</v>
      </c>
      <c r="N914" s="15" t="str">
        <f t="shared" si="72"/>
        <v>1:33 PM</v>
      </c>
      <c r="O914" s="9" t="s">
        <v>9</v>
      </c>
      <c r="P914" s="20">
        <f t="shared" si="74"/>
        <v>16.5</v>
      </c>
    </row>
    <row r="915" spans="1:16" x14ac:dyDescent="0.25">
      <c r="A915" s="9">
        <v>15123</v>
      </c>
      <c r="B915" s="9">
        <v>22331</v>
      </c>
      <c r="C915" s="9" t="s">
        <v>309</v>
      </c>
      <c r="D915" s="17">
        <f t="shared" si="73"/>
        <v>8</v>
      </c>
      <c r="E915" s="10">
        <f t="shared" si="70"/>
        <v>8</v>
      </c>
      <c r="F915" s="11">
        <v>8</v>
      </c>
      <c r="G915" s="9">
        <v>501320</v>
      </c>
      <c r="H915" s="13">
        <v>40253.40902777778</v>
      </c>
      <c r="I915" s="14">
        <v>1.65</v>
      </c>
      <c r="J915" s="23">
        <f t="shared" si="71"/>
        <v>1.65</v>
      </c>
      <c r="K915" s="12">
        <v>40253</v>
      </c>
      <c r="L915" s="24">
        <v>0.40902777777777777</v>
      </c>
      <c r="M915" t="s">
        <v>1014</v>
      </c>
      <c r="N915" s="15" t="str">
        <f t="shared" si="72"/>
        <v>9:49 AM</v>
      </c>
      <c r="O915" s="9" t="s">
        <v>9</v>
      </c>
      <c r="P915" s="20">
        <f t="shared" si="74"/>
        <v>13.2</v>
      </c>
    </row>
    <row r="916" spans="1:16" x14ac:dyDescent="0.25">
      <c r="A916" s="9">
        <v>17107</v>
      </c>
      <c r="B916" s="9">
        <v>22236</v>
      </c>
      <c r="C916" s="9" t="s">
        <v>80</v>
      </c>
      <c r="D916" s="17">
        <f t="shared" si="73"/>
        <v>2</v>
      </c>
      <c r="E916" s="10">
        <f t="shared" si="70"/>
        <v>2</v>
      </c>
      <c r="F916" s="11">
        <v>2</v>
      </c>
      <c r="G916" s="9">
        <v>496341</v>
      </c>
      <c r="H916" s="13">
        <v>40209.657638888893</v>
      </c>
      <c r="I916" s="14">
        <v>12.75</v>
      </c>
      <c r="J916" s="23">
        <f t="shared" si="71"/>
        <v>12.75</v>
      </c>
      <c r="K916" s="12">
        <v>40209</v>
      </c>
      <c r="L916" s="24">
        <v>0.15763888888888888</v>
      </c>
      <c r="M916" t="s">
        <v>1013</v>
      </c>
      <c r="N916" s="15" t="str">
        <f t="shared" si="72"/>
        <v>3:47 PM</v>
      </c>
      <c r="O916" s="9" t="s">
        <v>9</v>
      </c>
      <c r="P916" s="20">
        <f t="shared" si="74"/>
        <v>25.5</v>
      </c>
    </row>
    <row r="917" spans="1:16" x14ac:dyDescent="0.25">
      <c r="A917" s="9">
        <v>15005</v>
      </c>
      <c r="B917" s="9">
        <v>22124</v>
      </c>
      <c r="C917" s="9" t="s">
        <v>900</v>
      </c>
      <c r="D917" s="17">
        <f t="shared" si="73"/>
        <v>1</v>
      </c>
      <c r="E917" s="10">
        <f t="shared" si="70"/>
        <v>1</v>
      </c>
      <c r="F917" s="11">
        <v>1</v>
      </c>
      <c r="G917" s="9">
        <v>492540</v>
      </c>
      <c r="H917" s="13">
        <v>40164.566666666673</v>
      </c>
      <c r="I917" s="14">
        <v>2.95</v>
      </c>
      <c r="J917" s="23">
        <f t="shared" si="71"/>
        <v>2.95</v>
      </c>
      <c r="K917" s="12">
        <v>40164</v>
      </c>
      <c r="L917" s="24">
        <v>6.6666666666666666E-2</v>
      </c>
      <c r="M917" t="s">
        <v>1013</v>
      </c>
      <c r="N917" s="15" t="str">
        <f t="shared" si="72"/>
        <v>1:36 PM</v>
      </c>
      <c r="O917" s="9" t="s">
        <v>9</v>
      </c>
      <c r="P917" s="20">
        <f t="shared" si="74"/>
        <v>2.95</v>
      </c>
    </row>
    <row r="918" spans="1:16" x14ac:dyDescent="0.25">
      <c r="A918" s="9">
        <v>17230</v>
      </c>
      <c r="B918" s="9">
        <v>85047</v>
      </c>
      <c r="C918" s="9" t="s">
        <v>374</v>
      </c>
      <c r="D918" s="17">
        <f t="shared" si="73"/>
        <v>6</v>
      </c>
      <c r="E918" s="10">
        <f t="shared" si="70"/>
        <v>6</v>
      </c>
      <c r="F918" s="11">
        <v>6</v>
      </c>
      <c r="G918" s="9">
        <v>496338</v>
      </c>
      <c r="H918" s="13">
        <v>40209.648611111108</v>
      </c>
      <c r="I918" s="14">
        <v>6.35</v>
      </c>
      <c r="J918" s="23">
        <f t="shared" si="71"/>
        <v>6.35</v>
      </c>
      <c r="K918" s="12">
        <v>40209</v>
      </c>
      <c r="L918" s="24">
        <v>0.14861111111111111</v>
      </c>
      <c r="M918" t="s">
        <v>1013</v>
      </c>
      <c r="N918" s="15" t="str">
        <f t="shared" si="72"/>
        <v>3:34 PM</v>
      </c>
      <c r="O918" s="9" t="s">
        <v>9</v>
      </c>
      <c r="P918" s="20">
        <f t="shared" si="74"/>
        <v>38.099999999999994</v>
      </c>
    </row>
    <row r="919" spans="1:16" x14ac:dyDescent="0.25">
      <c r="A919" s="9">
        <v>17611</v>
      </c>
      <c r="B919" s="9" t="s">
        <v>901</v>
      </c>
      <c r="C919" s="9" t="s">
        <v>902</v>
      </c>
      <c r="D919" s="17">
        <f t="shared" si="73"/>
        <v>1</v>
      </c>
      <c r="E919" s="10">
        <f t="shared" si="70"/>
        <v>1</v>
      </c>
      <c r="F919" s="11">
        <v>1</v>
      </c>
      <c r="G919" s="9">
        <v>501884</v>
      </c>
      <c r="H919" s="13">
        <v>40258.586111111108</v>
      </c>
      <c r="I919" s="14">
        <v>6.95</v>
      </c>
      <c r="J919" s="23">
        <f t="shared" si="71"/>
        <v>6.95</v>
      </c>
      <c r="K919" s="12">
        <v>40258</v>
      </c>
      <c r="L919" s="24">
        <v>8.611111111111111E-2</v>
      </c>
      <c r="M919" t="s">
        <v>1013</v>
      </c>
      <c r="N919" s="15" t="str">
        <f t="shared" si="72"/>
        <v>2:04 PM</v>
      </c>
      <c r="O919" s="9" t="s">
        <v>9</v>
      </c>
      <c r="P919" s="20">
        <f t="shared" si="74"/>
        <v>6.95</v>
      </c>
    </row>
    <row r="920" spans="1:16" x14ac:dyDescent="0.25">
      <c r="A920" s="9">
        <v>13883</v>
      </c>
      <c r="B920" s="9">
        <v>21716</v>
      </c>
      <c r="C920" s="9" t="s">
        <v>903</v>
      </c>
      <c r="D920" s="17">
        <f t="shared" si="73"/>
        <v>8</v>
      </c>
      <c r="E920" s="10">
        <f t="shared" si="70"/>
        <v>8</v>
      </c>
      <c r="F920" s="11">
        <v>8</v>
      </c>
      <c r="G920" s="9">
        <v>501168</v>
      </c>
      <c r="H920" s="13">
        <v>40252.418749999997</v>
      </c>
      <c r="I920" s="14">
        <v>2.5499999999999998</v>
      </c>
      <c r="J920" s="23">
        <f t="shared" si="71"/>
        <v>2.5499999999999998</v>
      </c>
      <c r="K920" s="12">
        <v>40252</v>
      </c>
      <c r="L920" s="24">
        <v>0.41875000000000001</v>
      </c>
      <c r="M920" t="s">
        <v>1014</v>
      </c>
      <c r="N920" s="15" t="str">
        <f t="shared" si="72"/>
        <v>10:03 AM</v>
      </c>
      <c r="O920" s="9" t="s">
        <v>9</v>
      </c>
      <c r="P920" s="20">
        <f t="shared" si="74"/>
        <v>20.399999999999999</v>
      </c>
    </row>
    <row r="921" spans="1:16" x14ac:dyDescent="0.25">
      <c r="A921" s="9">
        <v>14807</v>
      </c>
      <c r="B921" s="9">
        <v>22071</v>
      </c>
      <c r="C921" s="9" t="s">
        <v>904</v>
      </c>
      <c r="D921" s="17">
        <f t="shared" si="73"/>
        <v>3</v>
      </c>
      <c r="E921" s="10">
        <f t="shared" si="70"/>
        <v>3</v>
      </c>
      <c r="F921" s="11">
        <v>3</v>
      </c>
      <c r="G921" s="9">
        <v>499465</v>
      </c>
      <c r="H921" s="13">
        <v>40237.481249999997</v>
      </c>
      <c r="I921" s="14">
        <v>3.75</v>
      </c>
      <c r="J921" s="23">
        <f t="shared" si="71"/>
        <v>3.75</v>
      </c>
      <c r="K921" s="12">
        <v>40237</v>
      </c>
      <c r="L921" s="24">
        <v>0.48125000000000001</v>
      </c>
      <c r="M921" t="s">
        <v>1014</v>
      </c>
      <c r="N921" s="15" t="str">
        <f t="shared" si="72"/>
        <v>11:33 AM</v>
      </c>
      <c r="O921" s="9" t="s">
        <v>9</v>
      </c>
      <c r="P921" s="20">
        <f t="shared" si="74"/>
        <v>11.25</v>
      </c>
    </row>
    <row r="922" spans="1:16" x14ac:dyDescent="0.25">
      <c r="A922" s="9">
        <v>18109</v>
      </c>
      <c r="B922" s="9">
        <v>21259</v>
      </c>
      <c r="C922" s="9" t="s">
        <v>905</v>
      </c>
      <c r="D922" s="17">
        <f t="shared" si="73"/>
        <v>4</v>
      </c>
      <c r="E922" s="10">
        <f t="shared" si="70"/>
        <v>4</v>
      </c>
      <c r="F922" s="11">
        <v>4</v>
      </c>
      <c r="G922" s="9">
        <v>535981</v>
      </c>
      <c r="H922" s="13">
        <v>40511.54791666667</v>
      </c>
      <c r="I922" s="14">
        <v>5.95</v>
      </c>
      <c r="J922" s="23">
        <f t="shared" si="71"/>
        <v>5.95</v>
      </c>
      <c r="K922" s="12">
        <v>40511</v>
      </c>
      <c r="L922" s="24">
        <v>4.791666666666667E-2</v>
      </c>
      <c r="M922" t="s">
        <v>1013</v>
      </c>
      <c r="N922" s="15" t="str">
        <f t="shared" si="72"/>
        <v>1:09 PM</v>
      </c>
      <c r="O922" s="9" t="s">
        <v>9</v>
      </c>
      <c r="P922" s="20">
        <f t="shared" si="74"/>
        <v>23.8</v>
      </c>
    </row>
    <row r="923" spans="1:16" x14ac:dyDescent="0.25">
      <c r="A923" s="9">
        <v>15547</v>
      </c>
      <c r="B923" s="9">
        <v>21351</v>
      </c>
      <c r="C923" s="9" t="s">
        <v>478</v>
      </c>
      <c r="D923" s="17">
        <f t="shared" si="73"/>
        <v>16</v>
      </c>
      <c r="E923" s="10">
        <f t="shared" si="70"/>
        <v>16</v>
      </c>
      <c r="F923" s="11">
        <v>16</v>
      </c>
      <c r="G923" s="9">
        <v>526207</v>
      </c>
      <c r="H923" s="13">
        <v>40461.563194444447</v>
      </c>
      <c r="I923" s="14">
        <v>1.95</v>
      </c>
      <c r="J923" s="23">
        <f t="shared" si="71"/>
        <v>1.95</v>
      </c>
      <c r="K923" s="12">
        <v>40461</v>
      </c>
      <c r="L923" s="24">
        <v>6.3194444444444442E-2</v>
      </c>
      <c r="M923" t="s">
        <v>1013</v>
      </c>
      <c r="N923" s="15" t="str">
        <f t="shared" si="72"/>
        <v>1:31 PM</v>
      </c>
      <c r="O923" s="9" t="s">
        <v>9</v>
      </c>
      <c r="P923" s="20">
        <f t="shared" si="74"/>
        <v>31.2</v>
      </c>
    </row>
    <row r="924" spans="1:16" x14ac:dyDescent="0.25">
      <c r="A924" s="9">
        <v>14911</v>
      </c>
      <c r="B924" s="9">
        <v>22577</v>
      </c>
      <c r="C924" s="9" t="s">
        <v>601</v>
      </c>
      <c r="D924" s="17">
        <f t="shared" si="73"/>
        <v>12</v>
      </c>
      <c r="E924" s="10">
        <f t="shared" si="70"/>
        <v>12</v>
      </c>
      <c r="F924" s="11">
        <v>12</v>
      </c>
      <c r="G924" s="9">
        <v>525013</v>
      </c>
      <c r="H924" s="13">
        <v>40454.46875</v>
      </c>
      <c r="I924" s="14">
        <v>0.85</v>
      </c>
      <c r="J924" s="23">
        <f t="shared" si="71"/>
        <v>0.85</v>
      </c>
      <c r="K924" s="12">
        <v>40454</v>
      </c>
      <c r="L924" s="24">
        <v>0.46875</v>
      </c>
      <c r="M924" t="s">
        <v>1014</v>
      </c>
      <c r="N924" s="15" t="str">
        <f t="shared" si="72"/>
        <v>11:15 AM</v>
      </c>
      <c r="O924" s="9" t="s">
        <v>11</v>
      </c>
      <c r="P924" s="20">
        <f t="shared" si="74"/>
        <v>10.199999999999999</v>
      </c>
    </row>
    <row r="925" spans="1:16" x14ac:dyDescent="0.25">
      <c r="A925" s="9">
        <v>17261</v>
      </c>
      <c r="B925" s="9">
        <v>22382</v>
      </c>
      <c r="C925" s="9" t="s">
        <v>906</v>
      </c>
      <c r="D925" s="17">
        <f t="shared" si="73"/>
        <v>2</v>
      </c>
      <c r="E925" s="10">
        <f t="shared" si="70"/>
        <v>2</v>
      </c>
      <c r="F925" s="11">
        <v>2</v>
      </c>
      <c r="G925" s="9">
        <v>516157</v>
      </c>
      <c r="H925" s="13">
        <v>40377.492361111108</v>
      </c>
      <c r="I925" s="14">
        <v>1.65</v>
      </c>
      <c r="J925" s="23">
        <f t="shared" si="71"/>
        <v>1.65</v>
      </c>
      <c r="K925" s="12">
        <v>40377</v>
      </c>
      <c r="L925" s="24">
        <v>0.49236111111111114</v>
      </c>
      <c r="M925" t="s">
        <v>1014</v>
      </c>
      <c r="N925" s="15" t="str">
        <f t="shared" si="72"/>
        <v>11:49 AM</v>
      </c>
      <c r="O925" s="9" t="s">
        <v>9</v>
      </c>
      <c r="P925" s="20">
        <f t="shared" si="74"/>
        <v>3.3</v>
      </c>
    </row>
    <row r="926" spans="1:16" x14ac:dyDescent="0.25">
      <c r="A926" s="9">
        <v>13089</v>
      </c>
      <c r="B926" s="9">
        <v>21485</v>
      </c>
      <c r="C926" s="9" t="s">
        <v>907</v>
      </c>
      <c r="D926" s="17">
        <f t="shared" si="73"/>
        <v>48</v>
      </c>
      <c r="E926" s="10">
        <f t="shared" si="70"/>
        <v>48</v>
      </c>
      <c r="F926" s="11">
        <v>48</v>
      </c>
      <c r="G926" s="9">
        <v>537393</v>
      </c>
      <c r="H926" s="13">
        <v>40518.582638888889</v>
      </c>
      <c r="I926" s="14">
        <v>4.25</v>
      </c>
      <c r="J926" s="23">
        <f t="shared" si="71"/>
        <v>4.25</v>
      </c>
      <c r="K926" s="12">
        <v>40518</v>
      </c>
      <c r="L926" s="24">
        <v>8.2638888888888887E-2</v>
      </c>
      <c r="M926" t="s">
        <v>1013</v>
      </c>
      <c r="N926" s="15" t="str">
        <f t="shared" si="72"/>
        <v>1:59 PM</v>
      </c>
      <c r="O926" s="9" t="s">
        <v>9</v>
      </c>
      <c r="P926" s="20">
        <f t="shared" si="74"/>
        <v>204</v>
      </c>
    </row>
    <row r="927" spans="1:16" x14ac:dyDescent="0.25">
      <c r="A927" s="9">
        <v>17142</v>
      </c>
      <c r="B927" s="9">
        <v>21203</v>
      </c>
      <c r="C927" s="9" t="s">
        <v>908</v>
      </c>
      <c r="D927" s="17">
        <f t="shared" si="73"/>
        <v>6</v>
      </c>
      <c r="E927" s="10">
        <f t="shared" si="70"/>
        <v>6</v>
      </c>
      <c r="F927" s="11">
        <v>6</v>
      </c>
      <c r="G927" s="9">
        <v>513426</v>
      </c>
      <c r="H927" s="13">
        <v>40353.542361111111</v>
      </c>
      <c r="I927" s="14">
        <v>1.65</v>
      </c>
      <c r="J927" s="23">
        <f t="shared" si="71"/>
        <v>1.65</v>
      </c>
      <c r="K927" s="12">
        <v>40353</v>
      </c>
      <c r="L927" s="24">
        <v>4.2361111111111113E-2</v>
      </c>
      <c r="M927" t="s">
        <v>1013</v>
      </c>
      <c r="N927" s="15" t="str">
        <f t="shared" si="72"/>
        <v>1:01 PM</v>
      </c>
      <c r="O927" s="9" t="s">
        <v>9</v>
      </c>
      <c r="P927" s="20">
        <f t="shared" si="74"/>
        <v>9.8999999999999986</v>
      </c>
    </row>
    <row r="928" spans="1:16" x14ac:dyDescent="0.25">
      <c r="A928" s="9">
        <v>14215</v>
      </c>
      <c r="B928" s="9">
        <v>22195</v>
      </c>
      <c r="C928" s="9" t="s">
        <v>909</v>
      </c>
      <c r="D928" s="17">
        <f t="shared" si="73"/>
        <v>12</v>
      </c>
      <c r="E928" s="10">
        <f t="shared" si="70"/>
        <v>12</v>
      </c>
      <c r="F928" s="11">
        <v>12</v>
      </c>
      <c r="G928" s="9">
        <v>495072</v>
      </c>
      <c r="H928" s="13">
        <v>40199.348611111112</v>
      </c>
      <c r="I928" s="14">
        <v>1.65</v>
      </c>
      <c r="J928" s="23">
        <f t="shared" si="71"/>
        <v>1.65</v>
      </c>
      <c r="K928" s="12">
        <v>40199</v>
      </c>
      <c r="L928" s="24">
        <v>0.34861111111111109</v>
      </c>
      <c r="M928" t="s">
        <v>1014</v>
      </c>
      <c r="N928" s="15" t="str">
        <f t="shared" si="72"/>
        <v>8:22 AM</v>
      </c>
      <c r="O928" s="9" t="s">
        <v>9</v>
      </c>
      <c r="P928" s="20">
        <f t="shared" si="74"/>
        <v>19.799999999999997</v>
      </c>
    </row>
    <row r="929" spans="1:16" x14ac:dyDescent="0.25">
      <c r="A929" s="9">
        <v>12419</v>
      </c>
      <c r="B929" s="9">
        <v>22363</v>
      </c>
      <c r="C929" s="9" t="s">
        <v>910</v>
      </c>
      <c r="D929" s="17">
        <f t="shared" si="73"/>
        <v>6</v>
      </c>
      <c r="E929" s="10">
        <f t="shared" si="70"/>
        <v>6</v>
      </c>
      <c r="F929" s="11">
        <v>6</v>
      </c>
      <c r="G929" s="9">
        <v>528438</v>
      </c>
      <c r="H929" s="13">
        <v>40473.444444444453</v>
      </c>
      <c r="I929" s="14">
        <v>2.95</v>
      </c>
      <c r="J929" s="23">
        <f t="shared" si="71"/>
        <v>2.95</v>
      </c>
      <c r="K929" s="12">
        <v>40473</v>
      </c>
      <c r="L929" s="24">
        <v>0.44444444444444442</v>
      </c>
      <c r="M929" t="s">
        <v>1014</v>
      </c>
      <c r="N929" s="15" t="str">
        <f t="shared" si="72"/>
        <v>10:40 AM</v>
      </c>
      <c r="O929" s="9" t="s">
        <v>568</v>
      </c>
      <c r="P929" s="20">
        <f t="shared" si="74"/>
        <v>17.700000000000003</v>
      </c>
    </row>
    <row r="930" spans="1:16" x14ac:dyDescent="0.25">
      <c r="A930" s="9">
        <v>12766</v>
      </c>
      <c r="B930" s="9">
        <v>22355</v>
      </c>
      <c r="C930" s="9" t="s">
        <v>766</v>
      </c>
      <c r="D930" s="17">
        <f t="shared" si="73"/>
        <v>10</v>
      </c>
      <c r="E930" s="10">
        <f t="shared" si="70"/>
        <v>10</v>
      </c>
      <c r="F930" s="11">
        <v>10</v>
      </c>
      <c r="G930" s="9">
        <v>533143</v>
      </c>
      <c r="H930" s="13">
        <v>40498.561111111107</v>
      </c>
      <c r="I930" s="14">
        <v>0.85</v>
      </c>
      <c r="J930" s="23">
        <f t="shared" si="71"/>
        <v>0.85</v>
      </c>
      <c r="K930" s="12">
        <v>40498</v>
      </c>
      <c r="L930" s="24">
        <v>6.1111111111111109E-2</v>
      </c>
      <c r="M930" t="s">
        <v>1013</v>
      </c>
      <c r="N930" s="15" t="str">
        <f t="shared" si="72"/>
        <v>1:28 PM</v>
      </c>
      <c r="O930" s="9" t="s">
        <v>245</v>
      </c>
      <c r="P930" s="20">
        <f t="shared" si="74"/>
        <v>8.5</v>
      </c>
    </row>
    <row r="931" spans="1:16" x14ac:dyDescent="0.25">
      <c r="A931" s="9">
        <v>15889</v>
      </c>
      <c r="B931" s="9">
        <v>21491</v>
      </c>
      <c r="C931" s="9" t="s">
        <v>911</v>
      </c>
      <c r="D931" s="17">
        <f t="shared" si="73"/>
        <v>2</v>
      </c>
      <c r="E931" s="10">
        <f t="shared" si="70"/>
        <v>2</v>
      </c>
      <c r="F931" s="11">
        <v>2</v>
      </c>
      <c r="G931" s="9">
        <v>491186</v>
      </c>
      <c r="H931" s="13">
        <v>40157.51458333333</v>
      </c>
      <c r="I931" s="14">
        <v>1.95</v>
      </c>
      <c r="J931" s="23">
        <f t="shared" si="71"/>
        <v>1.95</v>
      </c>
      <c r="K931" s="12">
        <v>40157</v>
      </c>
      <c r="L931" s="24">
        <v>0.51458333333333328</v>
      </c>
      <c r="M931" t="s">
        <v>1013</v>
      </c>
      <c r="N931" s="15" t="str">
        <f t="shared" si="72"/>
        <v>12:21 PM</v>
      </c>
      <c r="O931" s="9" t="s">
        <v>9</v>
      </c>
      <c r="P931" s="20">
        <f t="shared" si="74"/>
        <v>3.9</v>
      </c>
    </row>
    <row r="932" spans="1:16" x14ac:dyDescent="0.25">
      <c r="A932" s="9">
        <v>12668</v>
      </c>
      <c r="B932" s="9">
        <v>21426</v>
      </c>
      <c r="C932" s="9" t="s">
        <v>137</v>
      </c>
      <c r="D932" s="17">
        <f t="shared" si="73"/>
        <v>6</v>
      </c>
      <c r="E932" s="10">
        <f t="shared" si="70"/>
        <v>6</v>
      </c>
      <c r="F932" s="11">
        <v>6</v>
      </c>
      <c r="G932" s="9">
        <v>496340</v>
      </c>
      <c r="H932" s="13">
        <v>40209.65625</v>
      </c>
      <c r="I932" s="14">
        <v>2.1</v>
      </c>
      <c r="J932" s="23">
        <f t="shared" si="71"/>
        <v>2.1</v>
      </c>
      <c r="K932" s="12">
        <v>40209</v>
      </c>
      <c r="L932" s="24">
        <v>0.15625</v>
      </c>
      <c r="M932" t="s">
        <v>1013</v>
      </c>
      <c r="N932" s="15" t="str">
        <f t="shared" si="72"/>
        <v>3:45 PM</v>
      </c>
      <c r="O932" s="9" t="s">
        <v>17</v>
      </c>
      <c r="P932" s="20">
        <f t="shared" si="74"/>
        <v>12.600000000000001</v>
      </c>
    </row>
    <row r="933" spans="1:16" x14ac:dyDescent="0.25">
      <c r="A933" s="9">
        <v>14606</v>
      </c>
      <c r="B933" s="9">
        <v>22199</v>
      </c>
      <c r="C933" s="9" t="s">
        <v>912</v>
      </c>
      <c r="D933" s="17">
        <f t="shared" si="73"/>
        <v>1</v>
      </c>
      <c r="E933" s="10">
        <f t="shared" si="70"/>
        <v>1</v>
      </c>
      <c r="F933" s="11">
        <v>1</v>
      </c>
      <c r="G933" s="9">
        <v>527358</v>
      </c>
      <c r="H933" s="13">
        <v>40468.445833333331</v>
      </c>
      <c r="I933" s="14">
        <v>4.25</v>
      </c>
      <c r="J933" s="23">
        <f t="shared" si="71"/>
        <v>4.25</v>
      </c>
      <c r="K933" s="12">
        <v>40468</v>
      </c>
      <c r="L933" s="24">
        <v>0.44583333333333336</v>
      </c>
      <c r="M933" t="s">
        <v>1014</v>
      </c>
      <c r="N933" s="15" t="str">
        <f t="shared" si="72"/>
        <v>10:42 AM</v>
      </c>
      <c r="O933" s="9" t="s">
        <v>9</v>
      </c>
      <c r="P933" s="20">
        <f t="shared" si="74"/>
        <v>4.25</v>
      </c>
    </row>
    <row r="934" spans="1:16" x14ac:dyDescent="0.25">
      <c r="A934" s="9">
        <v>13884</v>
      </c>
      <c r="B934" s="9">
        <v>84580</v>
      </c>
      <c r="C934" s="9" t="s">
        <v>127</v>
      </c>
      <c r="D934" s="17">
        <f t="shared" si="73"/>
        <v>1</v>
      </c>
      <c r="E934" s="10">
        <f t="shared" si="70"/>
        <v>1</v>
      </c>
      <c r="F934" s="11">
        <v>1</v>
      </c>
      <c r="G934" s="9">
        <v>533968</v>
      </c>
      <c r="H934" s="13">
        <v>40501.551388888889</v>
      </c>
      <c r="I934" s="14">
        <v>3.75</v>
      </c>
      <c r="J934" s="23">
        <f t="shared" si="71"/>
        <v>3.75</v>
      </c>
      <c r="K934" s="12">
        <v>40501</v>
      </c>
      <c r="L934" s="24">
        <v>5.1388888888888887E-2</v>
      </c>
      <c r="M934" t="s">
        <v>1013</v>
      </c>
      <c r="N934" s="15" t="str">
        <f t="shared" si="72"/>
        <v>1:14 PM</v>
      </c>
      <c r="O934" s="9" t="s">
        <v>9</v>
      </c>
      <c r="P934" s="20">
        <f t="shared" si="74"/>
        <v>3.75</v>
      </c>
    </row>
    <row r="935" spans="1:16" x14ac:dyDescent="0.25">
      <c r="A935" s="9">
        <v>13001</v>
      </c>
      <c r="B935" s="9">
        <v>82583</v>
      </c>
      <c r="C935" s="9" t="s">
        <v>913</v>
      </c>
      <c r="D935" s="17">
        <f t="shared" si="73"/>
        <v>12</v>
      </c>
      <c r="E935" s="10">
        <f t="shared" si="70"/>
        <v>12</v>
      </c>
      <c r="F935" s="11">
        <v>12</v>
      </c>
      <c r="G935" s="9">
        <v>506114</v>
      </c>
      <c r="H935" s="13">
        <v>40295.574999999997</v>
      </c>
      <c r="I935" s="14">
        <v>2.1</v>
      </c>
      <c r="J935" s="23">
        <f t="shared" si="71"/>
        <v>2.1</v>
      </c>
      <c r="K935" s="12">
        <v>40295</v>
      </c>
      <c r="L935" s="24">
        <v>7.4999999999999997E-2</v>
      </c>
      <c r="M935" t="s">
        <v>1013</v>
      </c>
      <c r="N935" s="15" t="str">
        <f t="shared" si="72"/>
        <v>1:48 PM</v>
      </c>
      <c r="O935" s="9" t="s">
        <v>9</v>
      </c>
      <c r="P935" s="20">
        <f t="shared" si="74"/>
        <v>25.200000000000003</v>
      </c>
    </row>
    <row r="936" spans="1:16" x14ac:dyDescent="0.25">
      <c r="A936" s="9">
        <v>12997</v>
      </c>
      <c r="B936" s="9" t="s">
        <v>153</v>
      </c>
      <c r="C936" s="9" t="s">
        <v>154</v>
      </c>
      <c r="D936" s="17">
        <f t="shared" si="73"/>
        <v>12</v>
      </c>
      <c r="E936" s="10">
        <f t="shared" si="70"/>
        <v>12</v>
      </c>
      <c r="F936" s="11">
        <v>12</v>
      </c>
      <c r="G936" s="9">
        <v>531945</v>
      </c>
      <c r="H936" s="13">
        <v>40492.511111111111</v>
      </c>
      <c r="I936" s="14">
        <v>2.95</v>
      </c>
      <c r="J936" s="23">
        <f t="shared" si="71"/>
        <v>2.95</v>
      </c>
      <c r="K936" s="12">
        <v>40492</v>
      </c>
      <c r="L936" s="24">
        <v>0.51111111111111107</v>
      </c>
      <c r="M936" t="s">
        <v>1013</v>
      </c>
      <c r="N936" s="15" t="str">
        <f t="shared" si="72"/>
        <v>12:16 PM</v>
      </c>
      <c r="O936" s="9" t="s">
        <v>9</v>
      </c>
      <c r="P936" s="20">
        <f t="shared" si="74"/>
        <v>35.400000000000006</v>
      </c>
    </row>
    <row r="937" spans="1:16" x14ac:dyDescent="0.25">
      <c r="A937" s="9">
        <v>12714</v>
      </c>
      <c r="B937" s="9" t="s">
        <v>53</v>
      </c>
      <c r="C937" s="9" t="s">
        <v>54</v>
      </c>
      <c r="D937" s="17">
        <f t="shared" si="73"/>
        <v>9</v>
      </c>
      <c r="E937" s="10">
        <f t="shared" si="70"/>
        <v>9</v>
      </c>
      <c r="F937" s="11">
        <v>9</v>
      </c>
      <c r="G937" s="9">
        <v>521822</v>
      </c>
      <c r="H937" s="13">
        <v>40430.442361111112</v>
      </c>
      <c r="I937" s="14">
        <v>5.95</v>
      </c>
      <c r="J937" s="23">
        <f t="shared" si="71"/>
        <v>5.95</v>
      </c>
      <c r="K937" s="12">
        <v>40430</v>
      </c>
      <c r="L937" s="24">
        <v>0.44236111111111109</v>
      </c>
      <c r="M937" t="s">
        <v>1014</v>
      </c>
      <c r="N937" s="15" t="str">
        <f t="shared" si="72"/>
        <v>10:37 AM</v>
      </c>
      <c r="O937" s="9" t="s">
        <v>28</v>
      </c>
      <c r="P937" s="20">
        <f t="shared" si="74"/>
        <v>53.550000000000004</v>
      </c>
    </row>
    <row r="938" spans="1:16" x14ac:dyDescent="0.25">
      <c r="A938" s="9">
        <v>17841</v>
      </c>
      <c r="B938" s="9">
        <v>20978</v>
      </c>
      <c r="C938" s="9" t="s">
        <v>914</v>
      </c>
      <c r="D938" s="17">
        <f t="shared" si="73"/>
        <v>1</v>
      </c>
      <c r="E938" s="10">
        <f t="shared" si="70"/>
        <v>1</v>
      </c>
      <c r="F938" s="11">
        <v>1</v>
      </c>
      <c r="G938" s="9">
        <v>509100</v>
      </c>
      <c r="H938" s="13">
        <v>40318.492361111108</v>
      </c>
      <c r="I938" s="14">
        <v>1.25</v>
      </c>
      <c r="J938" s="23">
        <f t="shared" si="71"/>
        <v>1.25</v>
      </c>
      <c r="K938" s="12">
        <v>40318</v>
      </c>
      <c r="L938" s="24">
        <v>0.49236111111111114</v>
      </c>
      <c r="M938" t="s">
        <v>1014</v>
      </c>
      <c r="N938" s="15" t="str">
        <f t="shared" si="72"/>
        <v>11:49 AM</v>
      </c>
      <c r="O938" s="9" t="s">
        <v>9</v>
      </c>
      <c r="P938" s="20">
        <f t="shared" si="74"/>
        <v>1.25</v>
      </c>
    </row>
    <row r="939" spans="1:16" x14ac:dyDescent="0.25">
      <c r="A939" s="9">
        <v>13081</v>
      </c>
      <c r="B939" s="9" t="s">
        <v>915</v>
      </c>
      <c r="C939" s="9" t="s">
        <v>916</v>
      </c>
      <c r="D939" s="17">
        <f t="shared" si="73"/>
        <v>24</v>
      </c>
      <c r="E939" s="10">
        <f t="shared" si="70"/>
        <v>24</v>
      </c>
      <c r="F939" s="11">
        <v>24</v>
      </c>
      <c r="G939" s="9">
        <v>493812</v>
      </c>
      <c r="H939" s="13">
        <v>40185.494444444441</v>
      </c>
      <c r="I939" s="14">
        <v>0.42</v>
      </c>
      <c r="J939" s="23">
        <f t="shared" si="71"/>
        <v>0.42</v>
      </c>
      <c r="K939" s="12">
        <v>40185</v>
      </c>
      <c r="L939" s="24">
        <v>0.49444444444444446</v>
      </c>
      <c r="M939" t="s">
        <v>1014</v>
      </c>
      <c r="N939" s="15" t="str">
        <f t="shared" si="72"/>
        <v>11:52 AM</v>
      </c>
      <c r="O939" s="9" t="s">
        <v>9</v>
      </c>
      <c r="P939" s="20">
        <f t="shared" si="74"/>
        <v>10.08</v>
      </c>
    </row>
    <row r="940" spans="1:16" x14ac:dyDescent="0.25">
      <c r="A940" s="9">
        <v>17491</v>
      </c>
      <c r="B940" s="9">
        <v>21670</v>
      </c>
      <c r="C940" s="9" t="s">
        <v>631</v>
      </c>
      <c r="D940" s="17">
        <f t="shared" si="73"/>
        <v>12</v>
      </c>
      <c r="E940" s="10">
        <f t="shared" si="70"/>
        <v>12</v>
      </c>
      <c r="F940" s="11">
        <v>12</v>
      </c>
      <c r="G940" s="9">
        <v>511772</v>
      </c>
      <c r="H940" s="13">
        <v>40339.509722222218</v>
      </c>
      <c r="I940" s="14">
        <v>1.25</v>
      </c>
      <c r="J940" s="23">
        <f t="shared" si="71"/>
        <v>1.25</v>
      </c>
      <c r="K940" s="12">
        <v>40339</v>
      </c>
      <c r="L940" s="24">
        <v>0.50972222222222219</v>
      </c>
      <c r="M940" t="s">
        <v>1013</v>
      </c>
      <c r="N940" s="15" t="str">
        <f t="shared" si="72"/>
        <v>12:14 PM</v>
      </c>
      <c r="O940" s="9" t="s">
        <v>9</v>
      </c>
      <c r="P940" s="20">
        <f t="shared" si="74"/>
        <v>15</v>
      </c>
    </row>
    <row r="941" spans="1:16" x14ac:dyDescent="0.25">
      <c r="A941" s="9">
        <v>17675</v>
      </c>
      <c r="B941" s="9">
        <v>85042</v>
      </c>
      <c r="C941" s="9" t="s">
        <v>661</v>
      </c>
      <c r="D941" s="17">
        <f t="shared" si="73"/>
        <v>8</v>
      </c>
      <c r="E941" s="10">
        <f t="shared" si="70"/>
        <v>8</v>
      </c>
      <c r="F941" s="11">
        <v>8</v>
      </c>
      <c r="G941" s="9">
        <v>505380</v>
      </c>
      <c r="H941" s="13">
        <v>40290.35833333333</v>
      </c>
      <c r="I941" s="14">
        <v>4.95</v>
      </c>
      <c r="J941" s="23">
        <f t="shared" si="71"/>
        <v>4.95</v>
      </c>
      <c r="K941" s="12">
        <v>40290</v>
      </c>
      <c r="L941" s="24">
        <v>0.35833333333333334</v>
      </c>
      <c r="M941" t="s">
        <v>1014</v>
      </c>
      <c r="N941" s="15" t="str">
        <f t="shared" si="72"/>
        <v>8:36 AM</v>
      </c>
      <c r="O941" s="9" t="s">
        <v>9</v>
      </c>
      <c r="P941" s="20">
        <f t="shared" si="74"/>
        <v>39.6</v>
      </c>
    </row>
    <row r="942" spans="1:16" x14ac:dyDescent="0.25">
      <c r="A942" s="9">
        <v>15249</v>
      </c>
      <c r="B942" s="9">
        <v>22078</v>
      </c>
      <c r="C942" s="9" t="s">
        <v>917</v>
      </c>
      <c r="D942" s="17">
        <f t="shared" si="73"/>
        <v>10</v>
      </c>
      <c r="E942" s="10">
        <f t="shared" si="70"/>
        <v>10</v>
      </c>
      <c r="F942" s="11" t="s">
        <v>59</v>
      </c>
      <c r="G942" s="9">
        <v>511174</v>
      </c>
      <c r="H942" s="13">
        <v>40336.505555555559</v>
      </c>
      <c r="I942" s="14">
        <v>2.1</v>
      </c>
      <c r="J942" s="23">
        <f t="shared" si="71"/>
        <v>2.1</v>
      </c>
      <c r="K942" s="12">
        <v>40336</v>
      </c>
      <c r="L942" s="24">
        <v>0.50555555555555554</v>
      </c>
      <c r="M942" t="s">
        <v>1013</v>
      </c>
      <c r="N942" s="15" t="str">
        <f t="shared" si="72"/>
        <v>12:08 PM</v>
      </c>
      <c r="O942" s="9" t="s">
        <v>9</v>
      </c>
      <c r="P942" s="20">
        <f t="shared" si="74"/>
        <v>21</v>
      </c>
    </row>
    <row r="943" spans="1:16" x14ac:dyDescent="0.25">
      <c r="A943" s="9">
        <v>14194</v>
      </c>
      <c r="B943" s="9">
        <v>22090</v>
      </c>
      <c r="C943" s="9" t="s">
        <v>538</v>
      </c>
      <c r="D943" s="17">
        <f t="shared" si="73"/>
        <v>6</v>
      </c>
      <c r="E943" s="10">
        <f t="shared" si="70"/>
        <v>6</v>
      </c>
      <c r="F943" s="11">
        <v>6</v>
      </c>
      <c r="G943" s="9">
        <v>506246</v>
      </c>
      <c r="H943" s="13">
        <v>40296.557638888888</v>
      </c>
      <c r="I943" s="14">
        <v>2.95</v>
      </c>
      <c r="J943" s="23">
        <f t="shared" si="71"/>
        <v>2.95</v>
      </c>
      <c r="K943" s="12">
        <v>40296</v>
      </c>
      <c r="L943" s="24">
        <v>5.7638888888888892E-2</v>
      </c>
      <c r="M943" t="s">
        <v>1013</v>
      </c>
      <c r="N943" s="15" t="str">
        <f t="shared" si="72"/>
        <v>1:23 PM</v>
      </c>
      <c r="O943" s="9" t="s">
        <v>9</v>
      </c>
      <c r="P943" s="20">
        <f t="shared" si="74"/>
        <v>17.700000000000003</v>
      </c>
    </row>
    <row r="944" spans="1:16" x14ac:dyDescent="0.25">
      <c r="A944" s="9">
        <v>13982</v>
      </c>
      <c r="B944" s="9">
        <v>21363</v>
      </c>
      <c r="C944" s="9" t="s">
        <v>918</v>
      </c>
      <c r="D944" s="17">
        <f t="shared" si="73"/>
        <v>6</v>
      </c>
      <c r="E944" s="10">
        <f t="shared" si="70"/>
        <v>6</v>
      </c>
      <c r="F944" s="11">
        <v>6</v>
      </c>
      <c r="G944" s="9">
        <v>508996</v>
      </c>
      <c r="H944" s="13">
        <v>40317.536111111112</v>
      </c>
      <c r="I944" s="14">
        <v>4.95</v>
      </c>
      <c r="J944" s="23">
        <f t="shared" si="71"/>
        <v>4.95</v>
      </c>
      <c r="K944" s="12">
        <v>40317</v>
      </c>
      <c r="L944" s="24">
        <v>0.53611111111111109</v>
      </c>
      <c r="M944" t="s">
        <v>1013</v>
      </c>
      <c r="N944" s="15" t="str">
        <f t="shared" si="72"/>
        <v>12:52 PM</v>
      </c>
      <c r="O944" s="9" t="s">
        <v>9</v>
      </c>
      <c r="P944" s="20">
        <f t="shared" si="74"/>
        <v>29.700000000000003</v>
      </c>
    </row>
    <row r="945" spans="1:16" x14ac:dyDescent="0.25">
      <c r="A945" s="9">
        <v>14099</v>
      </c>
      <c r="B945" s="9">
        <v>85152</v>
      </c>
      <c r="C945" s="9" t="s">
        <v>919</v>
      </c>
      <c r="D945" s="17">
        <f t="shared" si="73"/>
        <v>5</v>
      </c>
      <c r="E945" s="10">
        <f t="shared" si="70"/>
        <v>5</v>
      </c>
      <c r="F945" s="11">
        <v>5</v>
      </c>
      <c r="G945" s="9">
        <v>491178</v>
      </c>
      <c r="H945" s="13">
        <v>40157.496527777781</v>
      </c>
      <c r="I945" s="14">
        <v>2.1</v>
      </c>
      <c r="J945" s="23">
        <f t="shared" si="71"/>
        <v>2.1</v>
      </c>
      <c r="K945" s="12">
        <v>40157</v>
      </c>
      <c r="L945" s="24">
        <v>0.49652777777777779</v>
      </c>
      <c r="M945" t="s">
        <v>1014</v>
      </c>
      <c r="N945" s="15" t="str">
        <f t="shared" si="72"/>
        <v>11:55 AM</v>
      </c>
      <c r="O945" s="9" t="s">
        <v>9</v>
      </c>
      <c r="P945" s="20">
        <f t="shared" si="74"/>
        <v>10.5</v>
      </c>
    </row>
    <row r="946" spans="1:16" x14ac:dyDescent="0.25">
      <c r="A946" s="9">
        <v>13001</v>
      </c>
      <c r="B946" s="9">
        <v>47566</v>
      </c>
      <c r="C946" s="9" t="s">
        <v>55</v>
      </c>
      <c r="D946" s="17">
        <f t="shared" si="73"/>
        <v>15</v>
      </c>
      <c r="E946" s="10">
        <f t="shared" si="70"/>
        <v>15</v>
      </c>
      <c r="F946" s="11">
        <v>15</v>
      </c>
      <c r="G946" s="9">
        <v>502608</v>
      </c>
      <c r="H946" s="13">
        <v>40262.578472222223</v>
      </c>
      <c r="I946" s="14">
        <v>4.6500000000000004</v>
      </c>
      <c r="J946" s="23">
        <f t="shared" si="71"/>
        <v>4.6500000000000004</v>
      </c>
      <c r="K946" s="12">
        <v>40262</v>
      </c>
      <c r="L946" s="24">
        <v>7.8472222222222221E-2</v>
      </c>
      <c r="M946" t="s">
        <v>1013</v>
      </c>
      <c r="N946" s="15" t="str">
        <f t="shared" si="72"/>
        <v>1:53 PM</v>
      </c>
      <c r="O946" s="9" t="s">
        <v>9</v>
      </c>
      <c r="P946" s="20">
        <f t="shared" si="74"/>
        <v>69.75</v>
      </c>
    </row>
    <row r="947" spans="1:16" x14ac:dyDescent="0.25">
      <c r="A947" s="9">
        <v>13117</v>
      </c>
      <c r="B947" s="9">
        <v>22809</v>
      </c>
      <c r="C947" s="9" t="s">
        <v>920</v>
      </c>
      <c r="D947" s="17">
        <f t="shared" si="73"/>
        <v>6</v>
      </c>
      <c r="E947" s="10">
        <f t="shared" si="70"/>
        <v>6</v>
      </c>
      <c r="F947" s="11">
        <v>6</v>
      </c>
      <c r="G947" s="9">
        <v>528169</v>
      </c>
      <c r="H947" s="13">
        <v>40472.413194444453</v>
      </c>
      <c r="I947" s="14">
        <v>1.25</v>
      </c>
      <c r="J947" s="23">
        <f t="shared" si="71"/>
        <v>1.25</v>
      </c>
      <c r="K947" s="12">
        <v>40472</v>
      </c>
      <c r="L947" s="24">
        <v>0.41319444444444442</v>
      </c>
      <c r="M947" t="s">
        <v>1014</v>
      </c>
      <c r="N947" s="15" t="str">
        <f t="shared" si="72"/>
        <v>9:55 AM</v>
      </c>
      <c r="O947" s="9" t="s">
        <v>9</v>
      </c>
      <c r="P947" s="20">
        <f t="shared" si="74"/>
        <v>7.5</v>
      </c>
    </row>
    <row r="948" spans="1:16" x14ac:dyDescent="0.25">
      <c r="A948" s="9">
        <v>14505</v>
      </c>
      <c r="B948" s="9">
        <v>84755</v>
      </c>
      <c r="C948" s="9" t="s">
        <v>921</v>
      </c>
      <c r="D948" s="17">
        <f t="shared" si="73"/>
        <v>12</v>
      </c>
      <c r="E948" s="10">
        <f t="shared" si="70"/>
        <v>12</v>
      </c>
      <c r="F948" s="11">
        <v>12</v>
      </c>
      <c r="G948" s="9">
        <v>513625</v>
      </c>
      <c r="H948" s="13">
        <v>40356.54791666667</v>
      </c>
      <c r="I948" s="14">
        <v>0.65</v>
      </c>
      <c r="J948" s="23">
        <f t="shared" si="71"/>
        <v>0.65</v>
      </c>
      <c r="K948" s="12">
        <v>40356</v>
      </c>
      <c r="L948" s="24">
        <v>4.791666666666667E-2</v>
      </c>
      <c r="M948" t="s">
        <v>1013</v>
      </c>
      <c r="N948" s="15" t="str">
        <f t="shared" si="72"/>
        <v>1:09 PM</v>
      </c>
      <c r="O948" s="9" t="s">
        <v>9</v>
      </c>
      <c r="P948" s="20">
        <f t="shared" si="74"/>
        <v>7.8000000000000007</v>
      </c>
    </row>
    <row r="949" spans="1:16" x14ac:dyDescent="0.25">
      <c r="A949" s="9">
        <v>15005</v>
      </c>
      <c r="B949" s="9">
        <v>22625</v>
      </c>
      <c r="C949" s="9" t="s">
        <v>423</v>
      </c>
      <c r="D949" s="17">
        <f t="shared" si="73"/>
        <v>1</v>
      </c>
      <c r="E949" s="10">
        <f t="shared" si="70"/>
        <v>1</v>
      </c>
      <c r="F949" s="11">
        <v>1</v>
      </c>
      <c r="G949" s="9">
        <v>530543</v>
      </c>
      <c r="H949" s="13">
        <v>40485.548611111109</v>
      </c>
      <c r="I949" s="14">
        <v>1.25</v>
      </c>
      <c r="J949" s="23">
        <f t="shared" si="71"/>
        <v>1.25</v>
      </c>
      <c r="K949" s="12">
        <v>40485</v>
      </c>
      <c r="L949" s="24">
        <v>4.8611111111111112E-2</v>
      </c>
      <c r="M949" t="s">
        <v>1013</v>
      </c>
      <c r="N949" s="15" t="str">
        <f t="shared" si="72"/>
        <v>1:10 PM</v>
      </c>
      <c r="O949" s="9" t="s">
        <v>9</v>
      </c>
      <c r="P949" s="20">
        <f t="shared" si="74"/>
        <v>1.25</v>
      </c>
    </row>
    <row r="950" spans="1:16" x14ac:dyDescent="0.25">
      <c r="A950" s="9">
        <v>15400</v>
      </c>
      <c r="B950" s="9">
        <v>21746</v>
      </c>
      <c r="C950" s="9" t="s">
        <v>922</v>
      </c>
      <c r="D950" s="17">
        <f t="shared" si="73"/>
        <v>24</v>
      </c>
      <c r="E950" s="10">
        <f t="shared" si="70"/>
        <v>24</v>
      </c>
      <c r="F950" s="11">
        <v>24</v>
      </c>
      <c r="G950" s="9">
        <v>518224</v>
      </c>
      <c r="H950" s="13">
        <v>40395.59097222222</v>
      </c>
      <c r="I950" s="14">
        <v>1.25</v>
      </c>
      <c r="J950" s="23">
        <f t="shared" si="71"/>
        <v>1.25</v>
      </c>
      <c r="K950" s="12">
        <v>40395</v>
      </c>
      <c r="L950" s="24">
        <v>9.0972222222222218E-2</v>
      </c>
      <c r="M950" t="s">
        <v>1013</v>
      </c>
      <c r="N950" s="15" t="str">
        <f t="shared" si="72"/>
        <v>2:11 PM</v>
      </c>
      <c r="O950" s="9" t="s">
        <v>9</v>
      </c>
      <c r="P950" s="20">
        <f t="shared" si="74"/>
        <v>30</v>
      </c>
    </row>
    <row r="951" spans="1:16" x14ac:dyDescent="0.25">
      <c r="A951" s="9">
        <v>15260</v>
      </c>
      <c r="B951" s="9">
        <v>22089</v>
      </c>
      <c r="C951" s="9" t="s">
        <v>923</v>
      </c>
      <c r="D951" s="17">
        <f t="shared" si="73"/>
        <v>6</v>
      </c>
      <c r="E951" s="10">
        <f t="shared" si="70"/>
        <v>6</v>
      </c>
      <c r="F951" s="11">
        <v>6</v>
      </c>
      <c r="G951" s="9">
        <v>516944</v>
      </c>
      <c r="H951" s="13">
        <v>40384.622916666667</v>
      </c>
      <c r="I951" s="14">
        <v>2.95</v>
      </c>
      <c r="J951" s="23">
        <f t="shared" si="71"/>
        <v>2.95</v>
      </c>
      <c r="K951" s="12">
        <v>40384</v>
      </c>
      <c r="L951" s="24">
        <v>0.12291666666666666</v>
      </c>
      <c r="M951" t="s">
        <v>1013</v>
      </c>
      <c r="N951" s="15" t="str">
        <f t="shared" si="72"/>
        <v>2:57 PM</v>
      </c>
      <c r="O951" s="9" t="s">
        <v>9</v>
      </c>
      <c r="P951" s="20">
        <f t="shared" si="74"/>
        <v>17.700000000000003</v>
      </c>
    </row>
    <row r="952" spans="1:16" x14ac:dyDescent="0.25">
      <c r="A952" s="9">
        <v>12720</v>
      </c>
      <c r="B952" s="9">
        <v>82551</v>
      </c>
      <c r="C952" s="9" t="s">
        <v>662</v>
      </c>
      <c r="D952" s="17">
        <f t="shared" si="73"/>
        <v>12</v>
      </c>
      <c r="E952" s="10">
        <f t="shared" si="70"/>
        <v>12</v>
      </c>
      <c r="F952" s="11">
        <v>12</v>
      </c>
      <c r="G952" s="9">
        <v>528757</v>
      </c>
      <c r="H952" s="13">
        <v>40475.644444444442</v>
      </c>
      <c r="I952" s="14">
        <v>1.45</v>
      </c>
      <c r="J952" s="23">
        <f t="shared" si="71"/>
        <v>1.45</v>
      </c>
      <c r="K952" s="12">
        <v>40475</v>
      </c>
      <c r="L952" s="24">
        <v>0.14444444444444443</v>
      </c>
      <c r="M952" t="s">
        <v>1013</v>
      </c>
      <c r="N952" s="15" t="str">
        <f t="shared" si="72"/>
        <v>3:28 PM</v>
      </c>
      <c r="O952" s="9" t="s">
        <v>17</v>
      </c>
      <c r="P952" s="20">
        <f t="shared" si="74"/>
        <v>17.399999999999999</v>
      </c>
    </row>
    <row r="953" spans="1:16" x14ac:dyDescent="0.25">
      <c r="A953" s="9">
        <v>12921</v>
      </c>
      <c r="B953" s="9">
        <v>20966</v>
      </c>
      <c r="C953" s="9" t="s">
        <v>329</v>
      </c>
      <c r="D953" s="17">
        <f t="shared" si="73"/>
        <v>10</v>
      </c>
      <c r="E953" s="10">
        <f t="shared" si="70"/>
        <v>10</v>
      </c>
      <c r="F953" s="11">
        <v>10</v>
      </c>
      <c r="G953" s="9">
        <v>533959</v>
      </c>
      <c r="H953" s="13">
        <v>40501.538888888892</v>
      </c>
      <c r="I953" s="14">
        <v>1.25</v>
      </c>
      <c r="J953" s="23">
        <f t="shared" si="71"/>
        <v>1.25</v>
      </c>
      <c r="K953" s="12">
        <v>40501</v>
      </c>
      <c r="L953" s="24">
        <v>0.53888888888888886</v>
      </c>
      <c r="M953" t="s">
        <v>1013</v>
      </c>
      <c r="N953" s="15" t="str">
        <f t="shared" si="72"/>
        <v>12:56 PM</v>
      </c>
      <c r="O953" s="9" t="s">
        <v>9</v>
      </c>
      <c r="P953" s="20">
        <f t="shared" si="74"/>
        <v>12.5</v>
      </c>
    </row>
    <row r="954" spans="1:16" x14ac:dyDescent="0.25">
      <c r="A954" s="9">
        <v>13113</v>
      </c>
      <c r="B954" s="9" t="s">
        <v>924</v>
      </c>
      <c r="C954" s="9" t="s">
        <v>925</v>
      </c>
      <c r="D954" s="17">
        <f t="shared" si="73"/>
        <v>4</v>
      </c>
      <c r="E954" s="10">
        <f t="shared" si="70"/>
        <v>4</v>
      </c>
      <c r="F954" s="11">
        <v>4</v>
      </c>
      <c r="G954" s="9">
        <v>510416</v>
      </c>
      <c r="H954" s="13">
        <v>40328.472916666673</v>
      </c>
      <c r="I954" s="14">
        <v>4.6500000000000004</v>
      </c>
      <c r="J954" s="23">
        <f t="shared" si="71"/>
        <v>4.6500000000000004</v>
      </c>
      <c r="K954" s="12">
        <v>40328</v>
      </c>
      <c r="L954" s="24">
        <v>0.47291666666666665</v>
      </c>
      <c r="M954" t="s">
        <v>1014</v>
      </c>
      <c r="N954" s="15" t="str">
        <f t="shared" si="72"/>
        <v>11:21 AM</v>
      </c>
      <c r="O954" s="9" t="s">
        <v>9</v>
      </c>
      <c r="P954" s="20">
        <f t="shared" si="74"/>
        <v>18.600000000000001</v>
      </c>
    </row>
    <row r="955" spans="1:16" x14ac:dyDescent="0.25">
      <c r="A955" s="9">
        <v>14857</v>
      </c>
      <c r="B955" s="9">
        <v>22565</v>
      </c>
      <c r="C955" s="9" t="s">
        <v>926</v>
      </c>
      <c r="D955" s="17">
        <f t="shared" si="73"/>
        <v>12</v>
      </c>
      <c r="E955" s="10">
        <f t="shared" si="70"/>
        <v>12</v>
      </c>
      <c r="F955" s="11">
        <v>12</v>
      </c>
      <c r="G955" s="9">
        <v>510450</v>
      </c>
      <c r="H955" s="13">
        <v>40330.404166666667</v>
      </c>
      <c r="I955" s="14">
        <v>0.85</v>
      </c>
      <c r="J955" s="23">
        <f t="shared" si="71"/>
        <v>0.85</v>
      </c>
      <c r="K955" s="12">
        <v>40330</v>
      </c>
      <c r="L955" s="24">
        <v>0.40416666666666667</v>
      </c>
      <c r="M955" t="s">
        <v>1014</v>
      </c>
      <c r="N955" s="15" t="str">
        <f t="shared" si="72"/>
        <v>9:42 AM</v>
      </c>
      <c r="O955" s="9" t="s">
        <v>9</v>
      </c>
      <c r="P955" s="20">
        <f t="shared" si="74"/>
        <v>10.199999999999999</v>
      </c>
    </row>
    <row r="956" spans="1:16" x14ac:dyDescent="0.25">
      <c r="A956" s="9">
        <v>16161</v>
      </c>
      <c r="B956" s="9">
        <v>21481</v>
      </c>
      <c r="C956" s="9" t="s">
        <v>927</v>
      </c>
      <c r="D956" s="17">
        <f t="shared" si="73"/>
        <v>4</v>
      </c>
      <c r="E956" s="10">
        <f t="shared" si="70"/>
        <v>4</v>
      </c>
      <c r="F956" s="11">
        <v>4</v>
      </c>
      <c r="G956" s="9">
        <v>520196</v>
      </c>
      <c r="H956" s="13">
        <v>40414.624305555553</v>
      </c>
      <c r="I956" s="14">
        <v>2.95</v>
      </c>
      <c r="J956" s="23">
        <f t="shared" si="71"/>
        <v>2.95</v>
      </c>
      <c r="K956" s="12">
        <v>40414</v>
      </c>
      <c r="L956" s="24">
        <v>0.12430555555555556</v>
      </c>
      <c r="M956" t="s">
        <v>1013</v>
      </c>
      <c r="N956" s="15" t="str">
        <f t="shared" si="72"/>
        <v>2:59 PM</v>
      </c>
      <c r="O956" s="9" t="s">
        <v>9</v>
      </c>
      <c r="P956" s="20">
        <f t="shared" si="74"/>
        <v>11.8</v>
      </c>
    </row>
    <row r="957" spans="1:16" x14ac:dyDescent="0.25">
      <c r="A957" s="9">
        <v>14667</v>
      </c>
      <c r="B957" s="9">
        <v>84950</v>
      </c>
      <c r="C957" s="9" t="s">
        <v>413</v>
      </c>
      <c r="D957" s="17">
        <f t="shared" si="73"/>
        <v>12</v>
      </c>
      <c r="E957" s="10">
        <f t="shared" si="70"/>
        <v>12</v>
      </c>
      <c r="F957" s="11">
        <v>12</v>
      </c>
      <c r="G957" s="9">
        <v>492296</v>
      </c>
      <c r="H957" s="13">
        <v>40163.495138888888</v>
      </c>
      <c r="I957" s="14">
        <v>0.85</v>
      </c>
      <c r="J957" s="23">
        <f t="shared" si="71"/>
        <v>0.85</v>
      </c>
      <c r="K957" s="12">
        <v>40163</v>
      </c>
      <c r="L957" s="24">
        <v>0.49513888888888891</v>
      </c>
      <c r="M957" t="s">
        <v>1014</v>
      </c>
      <c r="N957" s="15" t="str">
        <f t="shared" si="72"/>
        <v>11:53 AM</v>
      </c>
      <c r="O957" s="9" t="s">
        <v>9</v>
      </c>
      <c r="P957" s="20">
        <f t="shared" si="74"/>
        <v>10.199999999999999</v>
      </c>
    </row>
    <row r="958" spans="1:16" x14ac:dyDescent="0.25">
      <c r="A958" s="9">
        <v>15276</v>
      </c>
      <c r="B958" s="9">
        <v>21134</v>
      </c>
      <c r="C958" s="9" t="s">
        <v>928</v>
      </c>
      <c r="D958" s="17">
        <f t="shared" si="73"/>
        <v>2</v>
      </c>
      <c r="E958" s="10">
        <f t="shared" si="70"/>
        <v>2</v>
      </c>
      <c r="F958" s="11">
        <v>2</v>
      </c>
      <c r="G958" s="9">
        <v>524944</v>
      </c>
      <c r="H958" s="17" t="s">
        <v>929</v>
      </c>
      <c r="I958" s="14">
        <v>1.65</v>
      </c>
      <c r="J958" s="23">
        <f t="shared" si="71"/>
        <v>1.65</v>
      </c>
      <c r="K958" s="12">
        <v>40188</v>
      </c>
      <c r="L958" s="25">
        <v>0.51666666666666672</v>
      </c>
      <c r="N958" s="15" t="str">
        <f t="shared" si="72"/>
        <v xml:space="preserve">12:24 </v>
      </c>
      <c r="O958" s="9" t="s">
        <v>9</v>
      </c>
      <c r="P958" s="20">
        <f t="shared" si="74"/>
        <v>3.3</v>
      </c>
    </row>
    <row r="959" spans="1:16" x14ac:dyDescent="0.25">
      <c r="A959" s="9">
        <v>17716</v>
      </c>
      <c r="B959" s="9">
        <v>22617</v>
      </c>
      <c r="C959" s="9" t="s">
        <v>174</v>
      </c>
      <c r="D959" s="17">
        <f t="shared" si="73"/>
        <v>3</v>
      </c>
      <c r="E959" s="10">
        <f t="shared" si="70"/>
        <v>3</v>
      </c>
      <c r="F959" s="11">
        <v>3</v>
      </c>
      <c r="G959" s="9">
        <v>501444</v>
      </c>
      <c r="H959" s="13">
        <v>40253.588888888888</v>
      </c>
      <c r="I959" s="14">
        <v>4.95</v>
      </c>
      <c r="J959" s="23">
        <f t="shared" si="71"/>
        <v>4.95</v>
      </c>
      <c r="K959" s="12">
        <v>40253</v>
      </c>
      <c r="L959" s="24">
        <v>8.8888888888888892E-2</v>
      </c>
      <c r="M959" t="s">
        <v>1013</v>
      </c>
      <c r="N959" s="15" t="str">
        <f t="shared" si="72"/>
        <v>2:08 PM</v>
      </c>
      <c r="O959" s="9" t="s">
        <v>9</v>
      </c>
      <c r="P959" s="20">
        <f t="shared" si="74"/>
        <v>14.850000000000001</v>
      </c>
    </row>
    <row r="960" spans="1:16" x14ac:dyDescent="0.25">
      <c r="A960" s="9">
        <v>14344</v>
      </c>
      <c r="B960" s="9">
        <v>21166</v>
      </c>
      <c r="C960" s="9" t="s">
        <v>930</v>
      </c>
      <c r="D960" s="17">
        <f t="shared" si="73"/>
        <v>1</v>
      </c>
      <c r="E960" s="10">
        <f t="shared" si="70"/>
        <v>1</v>
      </c>
      <c r="F960" s="11">
        <v>1</v>
      </c>
      <c r="G960" s="9">
        <v>502272</v>
      </c>
      <c r="H960" s="13">
        <v>40260.657638888893</v>
      </c>
      <c r="I960" s="14">
        <v>1.95</v>
      </c>
      <c r="J960" s="23">
        <f t="shared" si="71"/>
        <v>1.95</v>
      </c>
      <c r="K960" s="12">
        <v>40260</v>
      </c>
      <c r="L960" s="24">
        <v>0.15763888888888888</v>
      </c>
      <c r="M960" t="s">
        <v>1013</v>
      </c>
      <c r="N960" s="15" t="str">
        <f t="shared" si="72"/>
        <v>3:47 PM</v>
      </c>
      <c r="O960" s="9" t="s">
        <v>9</v>
      </c>
      <c r="P960" s="20">
        <f t="shared" si="74"/>
        <v>1.95</v>
      </c>
    </row>
    <row r="961" spans="1:16" x14ac:dyDescent="0.25">
      <c r="A961" s="9">
        <v>13709</v>
      </c>
      <c r="B961" s="9">
        <v>48194</v>
      </c>
      <c r="C961" s="9" t="s">
        <v>931</v>
      </c>
      <c r="D961" s="17">
        <f t="shared" si="73"/>
        <v>2</v>
      </c>
      <c r="E961" s="10">
        <f t="shared" si="70"/>
        <v>2</v>
      </c>
      <c r="F961" s="11">
        <v>2</v>
      </c>
      <c r="G961" s="9">
        <v>503255</v>
      </c>
      <c r="H961" s="13">
        <v>40268.450694444437</v>
      </c>
      <c r="I961" s="14">
        <v>7.49</v>
      </c>
      <c r="J961" s="23">
        <f t="shared" si="71"/>
        <v>7.49</v>
      </c>
      <c r="K961" s="12">
        <v>40268</v>
      </c>
      <c r="L961" s="24">
        <v>0.45069444444444445</v>
      </c>
      <c r="M961" t="s">
        <v>1014</v>
      </c>
      <c r="N961" s="15" t="str">
        <f t="shared" si="72"/>
        <v>10:49 AM</v>
      </c>
      <c r="O961" s="9" t="s">
        <v>9</v>
      </c>
      <c r="P961" s="20">
        <f t="shared" si="74"/>
        <v>14.98</v>
      </c>
    </row>
    <row r="962" spans="1:16" x14ac:dyDescent="0.25">
      <c r="A962" s="9">
        <v>13394</v>
      </c>
      <c r="B962" s="9">
        <v>84990</v>
      </c>
      <c r="C962" s="9" t="s">
        <v>932</v>
      </c>
      <c r="D962" s="17">
        <f t="shared" si="73"/>
        <v>24</v>
      </c>
      <c r="E962" s="10">
        <f t="shared" ref="E962:E1021" si="75">VALUE(F962)</f>
        <v>24</v>
      </c>
      <c r="F962" s="11">
        <v>24</v>
      </c>
      <c r="G962" s="9">
        <v>489532</v>
      </c>
      <c r="H962" s="13">
        <v>40148.498611111107</v>
      </c>
      <c r="I962" s="14">
        <v>0.55000000000000004</v>
      </c>
      <c r="J962" s="23">
        <f t="shared" ref="J962:J1021" si="76">VALUE(I962)</f>
        <v>0.55000000000000004</v>
      </c>
      <c r="K962" s="12">
        <v>40148</v>
      </c>
      <c r="L962" s="24">
        <v>0.49861111111111112</v>
      </c>
      <c r="M962" t="s">
        <v>1014</v>
      </c>
      <c r="N962" s="15" t="str">
        <f t="shared" ref="N962:N1021" si="77">TEXT(L962,"h:mm")&amp;" "&amp;M962</f>
        <v>11:58 AM</v>
      </c>
      <c r="O962" s="9" t="s">
        <v>9</v>
      </c>
      <c r="P962" s="20">
        <f t="shared" si="74"/>
        <v>13.200000000000001</v>
      </c>
    </row>
    <row r="963" spans="1:16" x14ac:dyDescent="0.25">
      <c r="A963" s="9">
        <v>15796</v>
      </c>
      <c r="B963" s="9">
        <v>22114</v>
      </c>
      <c r="C963" s="9" t="s">
        <v>933</v>
      </c>
      <c r="D963" s="17">
        <f t="shared" ref="D963:D1021" si="78">ABS(E963)</f>
        <v>4</v>
      </c>
      <c r="E963" s="10">
        <f t="shared" si="75"/>
        <v>4</v>
      </c>
      <c r="F963" s="11">
        <v>4</v>
      </c>
      <c r="G963" s="9">
        <v>536063</v>
      </c>
      <c r="H963" s="13">
        <v>40512.444444444453</v>
      </c>
      <c r="I963" s="14">
        <v>3.95</v>
      </c>
      <c r="J963" s="23">
        <f t="shared" si="76"/>
        <v>3.95</v>
      </c>
      <c r="K963" s="12">
        <v>40512</v>
      </c>
      <c r="L963" s="24">
        <v>0.44444444444444442</v>
      </c>
      <c r="M963" t="s">
        <v>1014</v>
      </c>
      <c r="N963" s="15" t="str">
        <f t="shared" si="77"/>
        <v>10:40 AM</v>
      </c>
      <c r="O963" s="9" t="s">
        <v>9</v>
      </c>
      <c r="P963" s="20">
        <f t="shared" ref="P963:P1021" si="79">PRODUCT(D963,(J963))</f>
        <v>15.8</v>
      </c>
    </row>
    <row r="964" spans="1:16" x14ac:dyDescent="0.25">
      <c r="A964" s="9">
        <v>15365</v>
      </c>
      <c r="B964" s="9">
        <v>22627</v>
      </c>
      <c r="C964" s="9" t="s">
        <v>934</v>
      </c>
      <c r="D964" s="17">
        <f t="shared" si="78"/>
        <v>2</v>
      </c>
      <c r="E964" s="10">
        <f t="shared" si="75"/>
        <v>2</v>
      </c>
      <c r="F964" s="11">
        <v>2</v>
      </c>
      <c r="G964" s="9">
        <v>518947</v>
      </c>
      <c r="H964" s="13">
        <v>40402.625</v>
      </c>
      <c r="I964" s="14">
        <v>8.5</v>
      </c>
      <c r="J964" s="23">
        <f t="shared" si="76"/>
        <v>8.5</v>
      </c>
      <c r="K964" s="12">
        <v>40402</v>
      </c>
      <c r="L964" s="24">
        <v>0.125</v>
      </c>
      <c r="M964" t="s">
        <v>1013</v>
      </c>
      <c r="N964" s="15" t="str">
        <f t="shared" si="77"/>
        <v>3:00 PM</v>
      </c>
      <c r="O964" s="9" t="s">
        <v>9</v>
      </c>
      <c r="P964" s="20">
        <f t="shared" si="79"/>
        <v>17</v>
      </c>
    </row>
    <row r="965" spans="1:16" x14ac:dyDescent="0.25">
      <c r="A965" s="9">
        <v>13662</v>
      </c>
      <c r="B965" s="9">
        <v>22847</v>
      </c>
      <c r="C965" s="9" t="s">
        <v>507</v>
      </c>
      <c r="D965" s="17">
        <f t="shared" si="78"/>
        <v>1</v>
      </c>
      <c r="E965" s="10">
        <f t="shared" si="75"/>
        <v>1</v>
      </c>
      <c r="F965" s="11">
        <v>1</v>
      </c>
      <c r="G965" s="9">
        <v>533838</v>
      </c>
      <c r="H965" s="13">
        <v>40501.456250000003</v>
      </c>
      <c r="I965" s="14">
        <v>16.95</v>
      </c>
      <c r="J965" s="23">
        <f t="shared" si="76"/>
        <v>16.95</v>
      </c>
      <c r="K965" s="12">
        <v>40501</v>
      </c>
      <c r="L965" s="24">
        <v>0.45624999999999999</v>
      </c>
      <c r="M965" t="s">
        <v>1014</v>
      </c>
      <c r="N965" s="15" t="str">
        <f t="shared" si="77"/>
        <v>10:57 AM</v>
      </c>
      <c r="O965" s="9" t="s">
        <v>9</v>
      </c>
      <c r="P965" s="20">
        <f t="shared" si="79"/>
        <v>16.95</v>
      </c>
    </row>
    <row r="966" spans="1:16" x14ac:dyDescent="0.25">
      <c r="A966" s="9">
        <v>15358</v>
      </c>
      <c r="B966" s="9">
        <v>21259</v>
      </c>
      <c r="C966" s="9" t="s">
        <v>905</v>
      </c>
      <c r="D966" s="17">
        <f t="shared" si="78"/>
        <v>2</v>
      </c>
      <c r="E966" s="10">
        <f t="shared" si="75"/>
        <v>2</v>
      </c>
      <c r="F966" s="11">
        <v>2</v>
      </c>
      <c r="G966" s="9">
        <v>507837</v>
      </c>
      <c r="H966" s="13">
        <v>40309.561805555553</v>
      </c>
      <c r="I966" s="14">
        <v>5.95</v>
      </c>
      <c r="J966" s="23">
        <f t="shared" si="76"/>
        <v>5.95</v>
      </c>
      <c r="K966" s="12">
        <v>40309</v>
      </c>
      <c r="L966" s="24">
        <v>6.1805555555555558E-2</v>
      </c>
      <c r="M966" t="s">
        <v>1013</v>
      </c>
      <c r="N966" s="15" t="str">
        <f t="shared" si="77"/>
        <v>1:29 PM</v>
      </c>
      <c r="O966" s="9" t="s">
        <v>9</v>
      </c>
      <c r="P966" s="20">
        <f t="shared" si="79"/>
        <v>11.9</v>
      </c>
    </row>
    <row r="967" spans="1:16" x14ac:dyDescent="0.25">
      <c r="A967" s="9">
        <v>16727</v>
      </c>
      <c r="B967" s="9">
        <v>21679</v>
      </c>
      <c r="C967" s="9" t="s">
        <v>935</v>
      </c>
      <c r="D967" s="17">
        <f t="shared" si="78"/>
        <v>6</v>
      </c>
      <c r="E967" s="10">
        <f t="shared" si="75"/>
        <v>6</v>
      </c>
      <c r="F967" s="11">
        <v>6</v>
      </c>
      <c r="G967" s="9">
        <v>502828</v>
      </c>
      <c r="H967" s="13">
        <v>40265.512499999997</v>
      </c>
      <c r="I967" s="14">
        <v>0.85</v>
      </c>
      <c r="J967" s="23">
        <f t="shared" si="76"/>
        <v>0.85</v>
      </c>
      <c r="K967" s="12">
        <v>40265</v>
      </c>
      <c r="L967" s="24">
        <v>0.51249999999999996</v>
      </c>
      <c r="M967" t="s">
        <v>1013</v>
      </c>
      <c r="N967" s="15" t="str">
        <f t="shared" si="77"/>
        <v>12:18 PM</v>
      </c>
      <c r="O967" s="9" t="s">
        <v>9</v>
      </c>
      <c r="P967" s="20">
        <f t="shared" si="79"/>
        <v>5.0999999999999996</v>
      </c>
    </row>
    <row r="968" spans="1:16" x14ac:dyDescent="0.25">
      <c r="A968" s="9">
        <v>18212</v>
      </c>
      <c r="B968" s="9">
        <v>21832</v>
      </c>
      <c r="C968" s="9" t="s">
        <v>936</v>
      </c>
      <c r="D968" s="17">
        <f t="shared" si="78"/>
        <v>12</v>
      </c>
      <c r="E968" s="10">
        <f t="shared" si="75"/>
        <v>12</v>
      </c>
      <c r="F968" s="11">
        <v>12</v>
      </c>
      <c r="G968" s="9">
        <v>496335</v>
      </c>
      <c r="H968" s="13">
        <v>40209.612500000003</v>
      </c>
      <c r="I968" s="14">
        <v>1.65</v>
      </c>
      <c r="J968" s="23">
        <f t="shared" si="76"/>
        <v>1.65</v>
      </c>
      <c r="K968" s="12">
        <v>40209</v>
      </c>
      <c r="L968" s="24">
        <v>0.1125</v>
      </c>
      <c r="M968" t="s">
        <v>1013</v>
      </c>
      <c r="N968" s="15" t="str">
        <f t="shared" si="77"/>
        <v>2:42 PM</v>
      </c>
      <c r="O968" s="9" t="s">
        <v>9</v>
      </c>
      <c r="P968" s="20">
        <f t="shared" si="79"/>
        <v>19.799999999999997</v>
      </c>
    </row>
    <row r="969" spans="1:16" x14ac:dyDescent="0.25">
      <c r="A969" s="9">
        <v>17323</v>
      </c>
      <c r="B969" s="9">
        <v>20724</v>
      </c>
      <c r="C969" s="9" t="s">
        <v>801</v>
      </c>
      <c r="D969" s="17">
        <f t="shared" si="78"/>
        <v>10</v>
      </c>
      <c r="E969" s="10">
        <f t="shared" si="75"/>
        <v>10</v>
      </c>
      <c r="F969" s="11">
        <v>10</v>
      </c>
      <c r="G969" s="9">
        <v>529589</v>
      </c>
      <c r="H969" s="17" t="s">
        <v>937</v>
      </c>
      <c r="I969" s="14">
        <v>0.85</v>
      </c>
      <c r="J969" s="23">
        <f t="shared" si="76"/>
        <v>0.85</v>
      </c>
      <c r="K969" s="12">
        <v>40479</v>
      </c>
      <c r="L969" s="25">
        <v>0.83263888888888893</v>
      </c>
      <c r="N969" s="15" t="str">
        <f t="shared" si="77"/>
        <v xml:space="preserve">19:59 </v>
      </c>
      <c r="O969" s="9" t="s">
        <v>9</v>
      </c>
      <c r="P969" s="20">
        <f t="shared" si="79"/>
        <v>8.5</v>
      </c>
    </row>
    <row r="970" spans="1:16" x14ac:dyDescent="0.25">
      <c r="A970" s="9">
        <v>16200</v>
      </c>
      <c r="B970" s="9">
        <v>82578</v>
      </c>
      <c r="C970" s="9" t="s">
        <v>623</v>
      </c>
      <c r="D970" s="17">
        <f t="shared" si="78"/>
        <v>2</v>
      </c>
      <c r="E970" s="10">
        <f t="shared" si="75"/>
        <v>2</v>
      </c>
      <c r="F970" s="11">
        <v>2</v>
      </c>
      <c r="G970" s="9">
        <v>489866</v>
      </c>
      <c r="H970" s="13">
        <v>40149.62777777778</v>
      </c>
      <c r="I970" s="14">
        <v>0.55000000000000004</v>
      </c>
      <c r="J970" s="23">
        <f t="shared" si="76"/>
        <v>0.55000000000000004</v>
      </c>
      <c r="K970" s="12">
        <v>40149</v>
      </c>
      <c r="L970" s="24">
        <v>0.12777777777777777</v>
      </c>
      <c r="M970" t="s">
        <v>1013</v>
      </c>
      <c r="N970" s="15" t="str">
        <f t="shared" si="77"/>
        <v>3:04 PM</v>
      </c>
      <c r="O970" s="9" t="s">
        <v>9</v>
      </c>
      <c r="P970" s="20">
        <f t="shared" si="79"/>
        <v>1.1000000000000001</v>
      </c>
    </row>
    <row r="971" spans="1:16" x14ac:dyDescent="0.25">
      <c r="A971" s="9">
        <v>16718</v>
      </c>
      <c r="B971" s="9">
        <v>21888</v>
      </c>
      <c r="C971" s="9" t="s">
        <v>149</v>
      </c>
      <c r="D971" s="17">
        <f t="shared" si="78"/>
        <v>6</v>
      </c>
      <c r="E971" s="10">
        <f t="shared" si="75"/>
        <v>6</v>
      </c>
      <c r="F971" s="11">
        <v>6</v>
      </c>
      <c r="G971" s="9">
        <v>537153</v>
      </c>
      <c r="H971" s="13">
        <v>40517.543749999997</v>
      </c>
      <c r="I971" s="14">
        <v>3.75</v>
      </c>
      <c r="J971" s="23">
        <f t="shared" si="76"/>
        <v>3.75</v>
      </c>
      <c r="K971" s="12">
        <v>40517</v>
      </c>
      <c r="L971" s="24">
        <v>4.3749999999999997E-2</v>
      </c>
      <c r="M971" t="s">
        <v>1013</v>
      </c>
      <c r="N971" s="15" t="str">
        <f t="shared" si="77"/>
        <v>1:03 PM</v>
      </c>
      <c r="O971" s="9" t="s">
        <v>9</v>
      </c>
      <c r="P971" s="20">
        <f t="shared" si="79"/>
        <v>22.5</v>
      </c>
    </row>
    <row r="972" spans="1:16" x14ac:dyDescent="0.25">
      <c r="A972" s="9">
        <v>16923</v>
      </c>
      <c r="B972" s="9">
        <v>21228</v>
      </c>
      <c r="C972" s="9" t="s">
        <v>938</v>
      </c>
      <c r="D972" s="17">
        <f t="shared" si="78"/>
        <v>1</v>
      </c>
      <c r="E972" s="10">
        <f t="shared" si="75"/>
        <v>1</v>
      </c>
      <c r="F972" s="11">
        <v>1</v>
      </c>
      <c r="G972" s="9">
        <v>504854</v>
      </c>
      <c r="H972" s="13">
        <v>40286.444444444453</v>
      </c>
      <c r="I972" s="14">
        <v>1.25</v>
      </c>
      <c r="J972" s="23">
        <f t="shared" si="76"/>
        <v>1.25</v>
      </c>
      <c r="K972" s="12">
        <v>40286</v>
      </c>
      <c r="L972" s="24">
        <v>0.44444444444444442</v>
      </c>
      <c r="M972" t="s">
        <v>1014</v>
      </c>
      <c r="N972" s="15" t="str">
        <f t="shared" si="77"/>
        <v>10:40 AM</v>
      </c>
      <c r="O972" s="9" t="s">
        <v>9</v>
      </c>
      <c r="P972" s="20">
        <f t="shared" si="79"/>
        <v>1.25</v>
      </c>
    </row>
    <row r="973" spans="1:16" x14ac:dyDescent="0.25">
      <c r="A973" s="9">
        <v>15660</v>
      </c>
      <c r="B973" s="9">
        <v>22821</v>
      </c>
      <c r="C973" s="9" t="s">
        <v>939</v>
      </c>
      <c r="D973" s="17">
        <f t="shared" si="78"/>
        <v>12</v>
      </c>
      <c r="E973" s="10">
        <f t="shared" si="75"/>
        <v>12</v>
      </c>
      <c r="F973" s="11">
        <v>12</v>
      </c>
      <c r="G973" s="9">
        <v>522627</v>
      </c>
      <c r="H973" s="13">
        <v>40436.686111111107</v>
      </c>
      <c r="I973" s="14">
        <v>0.65</v>
      </c>
      <c r="J973" s="23">
        <f t="shared" si="76"/>
        <v>0.65</v>
      </c>
      <c r="K973" s="12">
        <v>40436</v>
      </c>
      <c r="L973" s="24">
        <v>0.18611111111111112</v>
      </c>
      <c r="M973" t="s">
        <v>1013</v>
      </c>
      <c r="N973" s="15" t="str">
        <f t="shared" si="77"/>
        <v>4:28 PM</v>
      </c>
      <c r="O973" s="9" t="s">
        <v>9</v>
      </c>
      <c r="P973" s="20">
        <f t="shared" si="79"/>
        <v>7.8000000000000007</v>
      </c>
    </row>
    <row r="974" spans="1:16" x14ac:dyDescent="0.25">
      <c r="A974" s="9">
        <v>17841</v>
      </c>
      <c r="B974" s="9">
        <v>20729</v>
      </c>
      <c r="C974" s="9" t="s">
        <v>940</v>
      </c>
      <c r="D974" s="17">
        <f t="shared" si="78"/>
        <v>1</v>
      </c>
      <c r="E974" s="10">
        <f t="shared" si="75"/>
        <v>1</v>
      </c>
      <c r="F974" s="11">
        <v>1</v>
      </c>
      <c r="G974" s="9">
        <v>502925</v>
      </c>
      <c r="H974" s="13">
        <v>40266.59652777778</v>
      </c>
      <c r="I974" s="14">
        <v>1.25</v>
      </c>
      <c r="J974" s="23">
        <f t="shared" si="76"/>
        <v>1.25</v>
      </c>
      <c r="K974" s="12">
        <v>40266</v>
      </c>
      <c r="L974" s="24">
        <v>9.6527777777777782E-2</v>
      </c>
      <c r="M974" t="s">
        <v>1013</v>
      </c>
      <c r="N974" s="15" t="str">
        <f t="shared" si="77"/>
        <v>2:19 PM</v>
      </c>
      <c r="O974" s="9" t="s">
        <v>9</v>
      </c>
      <c r="P974" s="20">
        <f t="shared" si="79"/>
        <v>1.25</v>
      </c>
    </row>
    <row r="975" spans="1:16" x14ac:dyDescent="0.25">
      <c r="A975" s="9">
        <v>14702</v>
      </c>
      <c r="B975" s="9">
        <v>21927</v>
      </c>
      <c r="C975" s="9" t="s">
        <v>941</v>
      </c>
      <c r="D975" s="17">
        <f t="shared" si="78"/>
        <v>4</v>
      </c>
      <c r="E975" s="10">
        <f t="shared" si="75"/>
        <v>4</v>
      </c>
      <c r="F975" s="11">
        <v>4</v>
      </c>
      <c r="G975" s="9">
        <v>504861</v>
      </c>
      <c r="H975" s="13">
        <v>40286.503472222219</v>
      </c>
      <c r="I975" s="14">
        <v>1.25</v>
      </c>
      <c r="J975" s="23">
        <f t="shared" si="76"/>
        <v>1.25</v>
      </c>
      <c r="K975" s="12">
        <v>40286</v>
      </c>
      <c r="L975" s="24">
        <v>0.50347222222222221</v>
      </c>
      <c r="M975" t="s">
        <v>1013</v>
      </c>
      <c r="N975" s="15" t="str">
        <f t="shared" si="77"/>
        <v>12:05 PM</v>
      </c>
      <c r="O975" s="9" t="s">
        <v>9</v>
      </c>
      <c r="P975" s="20">
        <f t="shared" si="79"/>
        <v>5</v>
      </c>
    </row>
    <row r="976" spans="1:16" x14ac:dyDescent="0.25">
      <c r="A976" s="9">
        <v>16120</v>
      </c>
      <c r="B976" s="9">
        <v>22389</v>
      </c>
      <c r="C976" s="9" t="s">
        <v>942</v>
      </c>
      <c r="D976" s="17">
        <f t="shared" si="78"/>
        <v>36</v>
      </c>
      <c r="E976" s="10">
        <f t="shared" si="75"/>
        <v>36</v>
      </c>
      <c r="F976" s="11">
        <v>36</v>
      </c>
      <c r="G976" s="9">
        <v>526900</v>
      </c>
      <c r="H976" s="13">
        <v>40464.629861111112</v>
      </c>
      <c r="I976" s="14">
        <v>0.85</v>
      </c>
      <c r="J976" s="23">
        <f t="shared" si="76"/>
        <v>0.85</v>
      </c>
      <c r="K976" s="12">
        <v>40464</v>
      </c>
      <c r="L976" s="24">
        <v>0.12986111111111112</v>
      </c>
      <c r="M976" t="s">
        <v>1013</v>
      </c>
      <c r="N976" s="15" t="str">
        <f t="shared" si="77"/>
        <v>3:07 PM</v>
      </c>
      <c r="O976" s="9" t="s">
        <v>9</v>
      </c>
      <c r="P976" s="20">
        <f t="shared" si="79"/>
        <v>30.599999999999998</v>
      </c>
    </row>
    <row r="977" spans="1:16" x14ac:dyDescent="0.25">
      <c r="A977" s="9">
        <v>13583</v>
      </c>
      <c r="B977" s="9">
        <v>84946</v>
      </c>
      <c r="C977" s="9" t="s">
        <v>24</v>
      </c>
      <c r="D977" s="17">
        <f t="shared" si="78"/>
        <v>12</v>
      </c>
      <c r="E977" s="10">
        <f t="shared" si="75"/>
        <v>12</v>
      </c>
      <c r="F977" s="11">
        <v>12</v>
      </c>
      <c r="G977" s="9">
        <v>496222</v>
      </c>
      <c r="H977" s="13">
        <v>40207.578472222223</v>
      </c>
      <c r="I977" s="14">
        <v>1.25</v>
      </c>
      <c r="J977" s="23">
        <f t="shared" si="76"/>
        <v>1.25</v>
      </c>
      <c r="K977" s="12">
        <v>40207</v>
      </c>
      <c r="L977" s="24">
        <v>7.8472222222222221E-2</v>
      </c>
      <c r="M977" t="s">
        <v>1013</v>
      </c>
      <c r="N977" s="15" t="str">
        <f t="shared" si="77"/>
        <v>1:53 PM</v>
      </c>
      <c r="O977" s="9" t="s">
        <v>9</v>
      </c>
      <c r="P977" s="20">
        <f t="shared" si="79"/>
        <v>15</v>
      </c>
    </row>
    <row r="978" spans="1:16" x14ac:dyDescent="0.25">
      <c r="A978" s="9">
        <v>17032</v>
      </c>
      <c r="B978" s="9">
        <v>22329</v>
      </c>
      <c r="C978" s="9" t="s">
        <v>621</v>
      </c>
      <c r="D978" s="17">
        <f t="shared" si="78"/>
        <v>2</v>
      </c>
      <c r="E978" s="10">
        <f t="shared" si="75"/>
        <v>2</v>
      </c>
      <c r="F978" s="11">
        <v>2</v>
      </c>
      <c r="G978" s="9">
        <v>499272</v>
      </c>
      <c r="H978" s="13">
        <v>40234.699999999997</v>
      </c>
      <c r="I978" s="14">
        <v>1.65</v>
      </c>
      <c r="J978" s="23">
        <f t="shared" si="76"/>
        <v>1.65</v>
      </c>
      <c r="K978" s="12">
        <v>40234</v>
      </c>
      <c r="L978" s="24">
        <v>0.2</v>
      </c>
      <c r="M978" t="s">
        <v>1013</v>
      </c>
      <c r="N978" s="15" t="str">
        <f t="shared" si="77"/>
        <v>4:48 PM</v>
      </c>
      <c r="O978" s="9" t="s">
        <v>9</v>
      </c>
      <c r="P978" s="20">
        <f t="shared" si="79"/>
        <v>3.3</v>
      </c>
    </row>
    <row r="979" spans="1:16" x14ac:dyDescent="0.25">
      <c r="A979" s="9">
        <v>15828</v>
      </c>
      <c r="B979" s="9">
        <v>22173</v>
      </c>
      <c r="C979" s="9" t="s">
        <v>311</v>
      </c>
      <c r="D979" s="17">
        <f t="shared" si="78"/>
        <v>8</v>
      </c>
      <c r="E979" s="10">
        <f t="shared" si="75"/>
        <v>8</v>
      </c>
      <c r="F979" s="11">
        <v>8</v>
      </c>
      <c r="G979" s="9">
        <v>536030</v>
      </c>
      <c r="H979" s="13">
        <v>40511.695138888892</v>
      </c>
      <c r="I979" s="14">
        <v>2.95</v>
      </c>
      <c r="J979" s="23">
        <f t="shared" si="76"/>
        <v>2.95</v>
      </c>
      <c r="K979" s="12">
        <v>40511</v>
      </c>
      <c r="L979" s="24">
        <v>0.19513888888888889</v>
      </c>
      <c r="M979" t="s">
        <v>1013</v>
      </c>
      <c r="N979" s="15" t="str">
        <f t="shared" si="77"/>
        <v>4:41 PM</v>
      </c>
      <c r="O979" s="9" t="s">
        <v>9</v>
      </c>
      <c r="P979" s="20">
        <f t="shared" si="79"/>
        <v>23.6</v>
      </c>
    </row>
    <row r="980" spans="1:16" x14ac:dyDescent="0.25">
      <c r="A980" s="9">
        <v>15547</v>
      </c>
      <c r="B980" s="9">
        <v>21474</v>
      </c>
      <c r="C980" s="9" t="s">
        <v>943</v>
      </c>
      <c r="D980" s="17">
        <f t="shared" si="78"/>
        <v>2</v>
      </c>
      <c r="E980" s="10">
        <f t="shared" si="75"/>
        <v>2</v>
      </c>
      <c r="F980" s="11">
        <v>2</v>
      </c>
      <c r="G980" s="9">
        <v>510962</v>
      </c>
      <c r="H980" s="13">
        <v>40333.459722222222</v>
      </c>
      <c r="I980" s="14">
        <v>19.95</v>
      </c>
      <c r="J980" s="23">
        <f t="shared" si="76"/>
        <v>19.95</v>
      </c>
      <c r="K980" s="12">
        <v>40333</v>
      </c>
      <c r="L980" s="24">
        <v>0.4597222222222222</v>
      </c>
      <c r="M980" t="s">
        <v>1014</v>
      </c>
      <c r="N980" s="15" t="str">
        <f t="shared" si="77"/>
        <v>11:02 AM</v>
      </c>
      <c r="O980" s="9" t="s">
        <v>9</v>
      </c>
      <c r="P980" s="20">
        <f t="shared" si="79"/>
        <v>39.9</v>
      </c>
    </row>
    <row r="981" spans="1:16" x14ac:dyDescent="0.25">
      <c r="A981" s="9">
        <v>13717</v>
      </c>
      <c r="B981" s="9">
        <v>21115</v>
      </c>
      <c r="C981" s="9" t="s">
        <v>793</v>
      </c>
      <c r="D981" s="17">
        <f t="shared" si="78"/>
        <v>2</v>
      </c>
      <c r="E981" s="10">
        <f t="shared" si="75"/>
        <v>2</v>
      </c>
      <c r="F981" s="11">
        <v>2</v>
      </c>
      <c r="G981" s="9">
        <v>521819</v>
      </c>
      <c r="H981" s="13">
        <v>40429.678472222222</v>
      </c>
      <c r="I981" s="14">
        <v>6.75</v>
      </c>
      <c r="J981" s="23">
        <f t="shared" si="76"/>
        <v>6.75</v>
      </c>
      <c r="K981" s="12">
        <v>40429</v>
      </c>
      <c r="L981" s="24">
        <v>0.17847222222222223</v>
      </c>
      <c r="M981" t="s">
        <v>1013</v>
      </c>
      <c r="N981" s="15" t="str">
        <f t="shared" si="77"/>
        <v>4:17 PM</v>
      </c>
      <c r="O981" s="9" t="s">
        <v>9</v>
      </c>
      <c r="P981" s="20">
        <f t="shared" si="79"/>
        <v>13.5</v>
      </c>
    </row>
    <row r="982" spans="1:16" x14ac:dyDescent="0.25">
      <c r="A982" s="9">
        <v>17315</v>
      </c>
      <c r="B982" s="9">
        <v>22842</v>
      </c>
      <c r="C982" s="9" t="s">
        <v>944</v>
      </c>
      <c r="D982" s="17">
        <f t="shared" si="78"/>
        <v>1</v>
      </c>
      <c r="E982" s="10">
        <f t="shared" si="75"/>
        <v>1</v>
      </c>
      <c r="F982" s="11">
        <v>1</v>
      </c>
      <c r="G982" s="9">
        <v>530085</v>
      </c>
      <c r="H982" s="13">
        <v>40483.55972222222</v>
      </c>
      <c r="I982" s="14">
        <v>6.75</v>
      </c>
      <c r="J982" s="23">
        <f t="shared" si="76"/>
        <v>6.75</v>
      </c>
      <c r="K982" s="12">
        <v>40483</v>
      </c>
      <c r="L982" s="24">
        <v>5.9722222222222225E-2</v>
      </c>
      <c r="M982" t="s">
        <v>1013</v>
      </c>
      <c r="N982" s="15" t="str">
        <f t="shared" si="77"/>
        <v>1:26 PM</v>
      </c>
      <c r="O982" s="9" t="s">
        <v>9</v>
      </c>
      <c r="P982" s="20">
        <f t="shared" si="79"/>
        <v>6.75</v>
      </c>
    </row>
    <row r="983" spans="1:16" x14ac:dyDescent="0.25">
      <c r="A983" s="9">
        <v>16137</v>
      </c>
      <c r="B983" s="9">
        <v>21181</v>
      </c>
      <c r="C983" s="9" t="s">
        <v>429</v>
      </c>
      <c r="D983" s="17">
        <f t="shared" si="78"/>
        <v>6</v>
      </c>
      <c r="E983" s="10">
        <f t="shared" si="75"/>
        <v>6</v>
      </c>
      <c r="F983" s="11">
        <v>6</v>
      </c>
      <c r="G983" s="9">
        <v>496057</v>
      </c>
      <c r="H983" s="13">
        <v>40206.62777777778</v>
      </c>
      <c r="I983" s="14">
        <v>2.1</v>
      </c>
      <c r="J983" s="23">
        <f t="shared" si="76"/>
        <v>2.1</v>
      </c>
      <c r="K983" s="12">
        <v>40206</v>
      </c>
      <c r="L983" s="24">
        <v>0.12777777777777777</v>
      </c>
      <c r="M983" t="s">
        <v>1013</v>
      </c>
      <c r="N983" s="15" t="str">
        <f t="shared" si="77"/>
        <v>3:04 PM</v>
      </c>
      <c r="O983" s="9" t="s">
        <v>9</v>
      </c>
      <c r="P983" s="20">
        <f t="shared" si="79"/>
        <v>12.600000000000001</v>
      </c>
    </row>
    <row r="984" spans="1:16" x14ac:dyDescent="0.25">
      <c r="A984" s="9">
        <v>17965</v>
      </c>
      <c r="B984" s="9">
        <v>84992</v>
      </c>
      <c r="C984" s="9" t="s">
        <v>945</v>
      </c>
      <c r="D984" s="17">
        <f t="shared" si="78"/>
        <v>4</v>
      </c>
      <c r="E984" s="10">
        <f t="shared" si="75"/>
        <v>4</v>
      </c>
      <c r="F984" s="11">
        <v>4</v>
      </c>
      <c r="G984" s="9">
        <v>496926</v>
      </c>
      <c r="H984" s="13">
        <v>40213.677777777782</v>
      </c>
      <c r="I984" s="14">
        <v>0.55000000000000004</v>
      </c>
      <c r="J984" s="23">
        <f t="shared" si="76"/>
        <v>0.55000000000000004</v>
      </c>
      <c r="K984" s="12">
        <v>40213</v>
      </c>
      <c r="L984" s="24">
        <v>0.17777777777777778</v>
      </c>
      <c r="M984" t="s">
        <v>1013</v>
      </c>
      <c r="N984" s="15" t="str">
        <f t="shared" si="77"/>
        <v>4:16 PM</v>
      </c>
      <c r="O984" s="9" t="s">
        <v>9</v>
      </c>
      <c r="P984" s="20">
        <f t="shared" si="79"/>
        <v>2.2000000000000002</v>
      </c>
    </row>
    <row r="985" spans="1:16" x14ac:dyDescent="0.25">
      <c r="A985" s="9">
        <v>13455</v>
      </c>
      <c r="B985" s="9" t="s">
        <v>21</v>
      </c>
      <c r="C985" s="9" t="s">
        <v>22</v>
      </c>
      <c r="D985" s="17">
        <f t="shared" si="78"/>
        <v>3</v>
      </c>
      <c r="E985" s="10">
        <f t="shared" si="75"/>
        <v>3</v>
      </c>
      <c r="F985" s="11">
        <v>3</v>
      </c>
      <c r="G985" s="9">
        <v>522110</v>
      </c>
      <c r="H985" s="13">
        <v>40433.635416666657</v>
      </c>
      <c r="I985" s="14">
        <v>5.95</v>
      </c>
      <c r="J985" s="23">
        <f t="shared" si="76"/>
        <v>5.95</v>
      </c>
      <c r="K985" s="12">
        <v>40433</v>
      </c>
      <c r="L985" s="24">
        <v>0.13541666666666666</v>
      </c>
      <c r="M985" t="s">
        <v>1013</v>
      </c>
      <c r="N985" s="15" t="str">
        <f t="shared" si="77"/>
        <v>3:15 PM</v>
      </c>
      <c r="O985" s="9" t="s">
        <v>9</v>
      </c>
      <c r="P985" s="20">
        <f t="shared" si="79"/>
        <v>17.850000000000001</v>
      </c>
    </row>
    <row r="986" spans="1:16" x14ac:dyDescent="0.25">
      <c r="A986" s="9">
        <v>12594</v>
      </c>
      <c r="B986" s="9">
        <v>22748</v>
      </c>
      <c r="C986" s="9" t="s">
        <v>946</v>
      </c>
      <c r="D986" s="17">
        <f t="shared" si="78"/>
        <v>6</v>
      </c>
      <c r="E986" s="10">
        <f t="shared" si="75"/>
        <v>6</v>
      </c>
      <c r="F986" s="11">
        <v>6</v>
      </c>
      <c r="G986" s="9">
        <v>527937</v>
      </c>
      <c r="H986" s="13">
        <v>40470.586805555547</v>
      </c>
      <c r="I986" s="14">
        <v>2.1</v>
      </c>
      <c r="J986" s="23">
        <f t="shared" si="76"/>
        <v>2.1</v>
      </c>
      <c r="K986" s="12">
        <v>40470</v>
      </c>
      <c r="L986" s="24">
        <v>8.6805555555555552E-2</v>
      </c>
      <c r="M986" t="s">
        <v>1013</v>
      </c>
      <c r="N986" s="15" t="str">
        <f t="shared" si="77"/>
        <v>2:05 PM</v>
      </c>
      <c r="O986" s="9" t="s">
        <v>106</v>
      </c>
      <c r="P986" s="20">
        <f t="shared" si="79"/>
        <v>12.600000000000001</v>
      </c>
    </row>
    <row r="987" spans="1:16" x14ac:dyDescent="0.25">
      <c r="A987" s="9">
        <v>17429</v>
      </c>
      <c r="B987" s="9">
        <v>22711</v>
      </c>
      <c r="C987" s="9" t="s">
        <v>565</v>
      </c>
      <c r="D987" s="17">
        <f t="shared" si="78"/>
        <v>25</v>
      </c>
      <c r="E987" s="10">
        <f t="shared" si="75"/>
        <v>25</v>
      </c>
      <c r="F987" s="11">
        <v>25</v>
      </c>
      <c r="G987" s="9">
        <v>525694</v>
      </c>
      <c r="H987" s="13">
        <v>40457.520833333343</v>
      </c>
      <c r="I987" s="14">
        <v>0.42</v>
      </c>
      <c r="J987" s="23">
        <f t="shared" si="76"/>
        <v>0.42</v>
      </c>
      <c r="K987" s="12">
        <v>40457</v>
      </c>
      <c r="L987" s="24">
        <v>0.52083333333333337</v>
      </c>
      <c r="M987" t="s">
        <v>1013</v>
      </c>
      <c r="N987" s="15" t="str">
        <f t="shared" si="77"/>
        <v>12:30 PM</v>
      </c>
      <c r="O987" s="9" t="s">
        <v>9</v>
      </c>
      <c r="P987" s="20">
        <f t="shared" si="79"/>
        <v>10.5</v>
      </c>
    </row>
    <row r="988" spans="1:16" x14ac:dyDescent="0.25">
      <c r="A988" s="9">
        <v>17377</v>
      </c>
      <c r="B988" s="9">
        <v>22447</v>
      </c>
      <c r="C988" s="9" t="s">
        <v>947</v>
      </c>
      <c r="D988" s="17">
        <f t="shared" si="78"/>
        <v>1</v>
      </c>
      <c r="E988" s="10">
        <f t="shared" si="75"/>
        <v>1</v>
      </c>
      <c r="F988" s="11">
        <v>1</v>
      </c>
      <c r="G988" s="9">
        <v>502337</v>
      </c>
      <c r="H988" s="13">
        <v>40261.447916666657</v>
      </c>
      <c r="I988" s="14">
        <v>3.35</v>
      </c>
      <c r="J988" s="23">
        <f t="shared" si="76"/>
        <v>3.35</v>
      </c>
      <c r="K988" s="12">
        <v>40261</v>
      </c>
      <c r="L988" s="24">
        <v>0.44791666666666669</v>
      </c>
      <c r="M988" t="s">
        <v>1014</v>
      </c>
      <c r="N988" s="15" t="str">
        <f t="shared" si="77"/>
        <v>10:45 AM</v>
      </c>
      <c r="O988" s="9" t="s">
        <v>9</v>
      </c>
      <c r="P988" s="20">
        <f t="shared" si="79"/>
        <v>3.35</v>
      </c>
    </row>
    <row r="989" spans="1:16" x14ac:dyDescent="0.25">
      <c r="A989" s="9">
        <v>15984</v>
      </c>
      <c r="B989" s="9">
        <v>22297</v>
      </c>
      <c r="C989" s="9" t="s">
        <v>581</v>
      </c>
      <c r="D989" s="17">
        <f t="shared" si="78"/>
        <v>48</v>
      </c>
      <c r="E989" s="10">
        <f t="shared" si="75"/>
        <v>48</v>
      </c>
      <c r="F989" s="11">
        <v>48</v>
      </c>
      <c r="G989" s="9">
        <v>492374</v>
      </c>
      <c r="H989" s="13">
        <v>40163.611805555563</v>
      </c>
      <c r="I989" s="14">
        <v>1.25</v>
      </c>
      <c r="J989" s="23">
        <f t="shared" si="76"/>
        <v>1.25</v>
      </c>
      <c r="K989" s="12">
        <v>40163</v>
      </c>
      <c r="L989" s="24">
        <v>0.11180555555555556</v>
      </c>
      <c r="M989" t="s">
        <v>1013</v>
      </c>
      <c r="N989" s="15" t="str">
        <f t="shared" si="77"/>
        <v>2:41 PM</v>
      </c>
      <c r="O989" s="9" t="s">
        <v>9</v>
      </c>
      <c r="P989" s="20">
        <f t="shared" si="79"/>
        <v>60</v>
      </c>
    </row>
    <row r="990" spans="1:16" x14ac:dyDescent="0.25">
      <c r="A990" s="9">
        <v>14257</v>
      </c>
      <c r="B990" s="9">
        <v>22087</v>
      </c>
      <c r="C990" s="9" t="s">
        <v>948</v>
      </c>
      <c r="D990" s="17">
        <f t="shared" si="78"/>
        <v>12</v>
      </c>
      <c r="E990" s="10">
        <f t="shared" si="75"/>
        <v>12</v>
      </c>
      <c r="F990" s="11">
        <v>12</v>
      </c>
      <c r="G990" s="9">
        <v>517070</v>
      </c>
      <c r="H990" s="13">
        <v>40385.581250000003</v>
      </c>
      <c r="I990" s="14">
        <v>2.95</v>
      </c>
      <c r="J990" s="23">
        <f t="shared" si="76"/>
        <v>2.95</v>
      </c>
      <c r="K990" s="12">
        <v>40385</v>
      </c>
      <c r="L990" s="24">
        <v>8.1250000000000003E-2</v>
      </c>
      <c r="M990" t="s">
        <v>1013</v>
      </c>
      <c r="N990" s="15" t="str">
        <f t="shared" si="77"/>
        <v>1:57 PM</v>
      </c>
      <c r="O990" s="9" t="s">
        <v>9</v>
      </c>
      <c r="P990" s="20">
        <f t="shared" si="79"/>
        <v>35.400000000000006</v>
      </c>
    </row>
    <row r="991" spans="1:16" x14ac:dyDescent="0.25">
      <c r="A991" s="9">
        <v>15854</v>
      </c>
      <c r="B991" s="9">
        <v>22111</v>
      </c>
      <c r="C991" s="9" t="s">
        <v>178</v>
      </c>
      <c r="D991" s="17">
        <f t="shared" si="78"/>
        <v>3</v>
      </c>
      <c r="E991" s="10">
        <f t="shared" si="75"/>
        <v>3</v>
      </c>
      <c r="F991" s="11">
        <v>3</v>
      </c>
      <c r="G991" s="9">
        <v>534786</v>
      </c>
      <c r="H991" s="13">
        <v>40506.472916666673</v>
      </c>
      <c r="I991" s="14">
        <v>4.95</v>
      </c>
      <c r="J991" s="23">
        <f t="shared" si="76"/>
        <v>4.95</v>
      </c>
      <c r="K991" s="12">
        <v>40506</v>
      </c>
      <c r="L991" s="24">
        <v>0.47291666666666665</v>
      </c>
      <c r="M991" t="s">
        <v>1014</v>
      </c>
      <c r="N991" s="15" t="str">
        <f t="shared" si="77"/>
        <v>11:21 AM</v>
      </c>
      <c r="O991" s="9" t="s">
        <v>9</v>
      </c>
      <c r="P991" s="20">
        <f t="shared" si="79"/>
        <v>14.850000000000001</v>
      </c>
    </row>
    <row r="992" spans="1:16" x14ac:dyDescent="0.25">
      <c r="A992" s="9">
        <v>18141</v>
      </c>
      <c r="B992" s="9" t="s">
        <v>751</v>
      </c>
      <c r="C992" s="9" t="s">
        <v>752</v>
      </c>
      <c r="D992" s="17">
        <f t="shared" si="78"/>
        <v>6</v>
      </c>
      <c r="E992" s="10">
        <f t="shared" si="75"/>
        <v>6</v>
      </c>
      <c r="F992" s="11">
        <v>6</v>
      </c>
      <c r="G992" s="9">
        <v>506433</v>
      </c>
      <c r="H992" s="17" t="s">
        <v>949</v>
      </c>
      <c r="I992" s="14">
        <v>3.75</v>
      </c>
      <c r="J992" s="23">
        <f t="shared" si="76"/>
        <v>3.75</v>
      </c>
      <c r="K992" s="12">
        <v>40297</v>
      </c>
      <c r="L992" s="25">
        <v>0.64722222222222225</v>
      </c>
      <c r="N992" s="15" t="str">
        <f t="shared" si="77"/>
        <v xml:space="preserve">15:32 </v>
      </c>
      <c r="O992" s="9" t="s">
        <v>9</v>
      </c>
      <c r="P992" s="20">
        <f t="shared" si="79"/>
        <v>22.5</v>
      </c>
    </row>
    <row r="993" spans="1:16" x14ac:dyDescent="0.25">
      <c r="A993" s="9">
        <v>14264</v>
      </c>
      <c r="B993" s="9">
        <v>21191</v>
      </c>
      <c r="C993" s="9" t="s">
        <v>950</v>
      </c>
      <c r="D993" s="17">
        <f t="shared" si="78"/>
        <v>6</v>
      </c>
      <c r="E993" s="10">
        <f t="shared" si="75"/>
        <v>6</v>
      </c>
      <c r="F993" s="11">
        <v>6</v>
      </c>
      <c r="G993" s="9">
        <v>535366</v>
      </c>
      <c r="H993" s="13">
        <v>40507.737500000003</v>
      </c>
      <c r="I993" s="14">
        <v>2.1</v>
      </c>
      <c r="J993" s="23">
        <f t="shared" si="76"/>
        <v>2.1</v>
      </c>
      <c r="K993" s="12">
        <v>40507</v>
      </c>
      <c r="L993" s="24">
        <v>0.23749999999999999</v>
      </c>
      <c r="M993" t="s">
        <v>1013</v>
      </c>
      <c r="N993" s="15" t="str">
        <f t="shared" si="77"/>
        <v>5:42 PM</v>
      </c>
      <c r="O993" s="9" t="s">
        <v>9</v>
      </c>
      <c r="P993" s="20">
        <f t="shared" si="79"/>
        <v>12.600000000000001</v>
      </c>
    </row>
    <row r="994" spans="1:16" x14ac:dyDescent="0.25">
      <c r="A994" s="9">
        <v>12662</v>
      </c>
      <c r="B994" s="9">
        <v>20665</v>
      </c>
      <c r="C994" s="9" t="s">
        <v>951</v>
      </c>
      <c r="D994" s="17">
        <f t="shared" si="78"/>
        <v>6</v>
      </c>
      <c r="E994" s="10">
        <f t="shared" si="75"/>
        <v>6</v>
      </c>
      <c r="F994" s="11">
        <v>6</v>
      </c>
      <c r="G994" s="9">
        <v>503436</v>
      </c>
      <c r="H994" s="13">
        <v>40269.409722222219</v>
      </c>
      <c r="I994" s="14">
        <v>1.25</v>
      </c>
      <c r="J994" s="23">
        <f t="shared" si="76"/>
        <v>1.25</v>
      </c>
      <c r="K994" s="12">
        <v>40269</v>
      </c>
      <c r="L994" s="24">
        <v>0.40972222222222221</v>
      </c>
      <c r="M994" t="s">
        <v>1014</v>
      </c>
      <c r="N994" s="15" t="str">
        <f t="shared" si="77"/>
        <v>9:50 AM</v>
      </c>
      <c r="O994" s="9" t="s">
        <v>17</v>
      </c>
      <c r="P994" s="20">
        <f t="shared" si="79"/>
        <v>7.5</v>
      </c>
    </row>
    <row r="995" spans="1:16" x14ac:dyDescent="0.25">
      <c r="A995" s="9">
        <v>14236</v>
      </c>
      <c r="B995" s="9">
        <v>22128</v>
      </c>
      <c r="C995" s="9" t="s">
        <v>952</v>
      </c>
      <c r="D995" s="17">
        <f t="shared" si="78"/>
        <v>24</v>
      </c>
      <c r="E995" s="10">
        <f t="shared" si="75"/>
        <v>24</v>
      </c>
      <c r="F995" s="11">
        <v>24</v>
      </c>
      <c r="G995" s="9">
        <v>516744</v>
      </c>
      <c r="H995" s="13">
        <v>40381.602083333331</v>
      </c>
      <c r="I995" s="14">
        <v>1.25</v>
      </c>
      <c r="J995" s="23">
        <f t="shared" si="76"/>
        <v>1.25</v>
      </c>
      <c r="K995" s="12">
        <v>40381</v>
      </c>
      <c r="L995" s="24">
        <v>0.10208333333333333</v>
      </c>
      <c r="M995" t="s">
        <v>1013</v>
      </c>
      <c r="N995" s="15" t="str">
        <f t="shared" si="77"/>
        <v>2:27 PM</v>
      </c>
      <c r="O995" s="9" t="s">
        <v>9</v>
      </c>
      <c r="P995" s="20">
        <f t="shared" si="79"/>
        <v>30</v>
      </c>
    </row>
    <row r="996" spans="1:16" x14ac:dyDescent="0.25">
      <c r="A996" s="9">
        <v>17085</v>
      </c>
      <c r="B996" s="9">
        <v>72122</v>
      </c>
      <c r="C996" s="9" t="s">
        <v>953</v>
      </c>
      <c r="D996" s="17">
        <f t="shared" si="78"/>
        <v>4</v>
      </c>
      <c r="E996" s="10">
        <f t="shared" si="75"/>
        <v>4</v>
      </c>
      <c r="F996" s="11">
        <v>4</v>
      </c>
      <c r="G996" s="9">
        <v>490466</v>
      </c>
      <c r="H996" s="13">
        <v>40153.511111111111</v>
      </c>
      <c r="I996" s="14">
        <v>0.95</v>
      </c>
      <c r="J996" s="23">
        <f t="shared" si="76"/>
        <v>0.95</v>
      </c>
      <c r="K996" s="12">
        <v>40153</v>
      </c>
      <c r="L996" s="24">
        <v>0.51111111111111107</v>
      </c>
      <c r="M996" t="s">
        <v>1013</v>
      </c>
      <c r="N996" s="15" t="str">
        <f t="shared" si="77"/>
        <v>12:16 PM</v>
      </c>
      <c r="O996" s="9" t="s">
        <v>9</v>
      </c>
      <c r="P996" s="20">
        <f t="shared" si="79"/>
        <v>3.8</v>
      </c>
    </row>
    <row r="997" spans="1:16" x14ac:dyDescent="0.25">
      <c r="A997" s="9">
        <v>16719</v>
      </c>
      <c r="B997" s="9">
        <v>22625</v>
      </c>
      <c r="C997" s="9" t="s">
        <v>954</v>
      </c>
      <c r="D997" s="17">
        <f t="shared" si="78"/>
        <v>1</v>
      </c>
      <c r="E997" s="10">
        <f t="shared" si="75"/>
        <v>1</v>
      </c>
      <c r="F997" s="11">
        <v>1</v>
      </c>
      <c r="G997" s="9">
        <v>527935</v>
      </c>
      <c r="H997" s="13">
        <v>40470.568055555559</v>
      </c>
      <c r="I997" s="14">
        <v>8.5</v>
      </c>
      <c r="J997" s="23">
        <f t="shared" si="76"/>
        <v>8.5</v>
      </c>
      <c r="K997" s="12">
        <v>40470</v>
      </c>
      <c r="L997" s="24">
        <v>6.805555555555555E-2</v>
      </c>
      <c r="M997" t="s">
        <v>1013</v>
      </c>
      <c r="N997" s="15" t="str">
        <f t="shared" si="77"/>
        <v>1:38 PM</v>
      </c>
      <c r="O997" s="9" t="s">
        <v>9</v>
      </c>
      <c r="P997" s="20">
        <f t="shared" si="79"/>
        <v>8.5</v>
      </c>
    </row>
    <row r="998" spans="1:16" x14ac:dyDescent="0.25">
      <c r="A998" s="9">
        <v>18069</v>
      </c>
      <c r="B998" s="9">
        <v>21926</v>
      </c>
      <c r="C998" s="9" t="s">
        <v>955</v>
      </c>
      <c r="D998" s="17">
        <f t="shared" si="78"/>
        <v>2</v>
      </c>
      <c r="E998" s="10">
        <f t="shared" si="75"/>
        <v>2</v>
      </c>
      <c r="F998" s="11">
        <v>2</v>
      </c>
      <c r="G998" s="9">
        <v>504904</v>
      </c>
      <c r="H998" s="13">
        <v>40286.661805555559</v>
      </c>
      <c r="I998" s="14">
        <v>1.25</v>
      </c>
      <c r="J998" s="23">
        <f t="shared" si="76"/>
        <v>1.25</v>
      </c>
      <c r="K998" s="12">
        <v>40286</v>
      </c>
      <c r="L998" s="24">
        <v>0.16180555555555556</v>
      </c>
      <c r="M998" t="s">
        <v>1013</v>
      </c>
      <c r="N998" s="15" t="str">
        <f t="shared" si="77"/>
        <v>3:53 PM</v>
      </c>
      <c r="O998" s="9" t="s">
        <v>9</v>
      </c>
      <c r="P998" s="20">
        <f t="shared" si="79"/>
        <v>2.5</v>
      </c>
    </row>
    <row r="999" spans="1:16" x14ac:dyDescent="0.25">
      <c r="A999" s="9">
        <v>14298</v>
      </c>
      <c r="B999" s="9">
        <v>22073</v>
      </c>
      <c r="C999" s="9" t="s">
        <v>956</v>
      </c>
      <c r="D999" s="17">
        <f t="shared" si="78"/>
        <v>8</v>
      </c>
      <c r="E999" s="10">
        <f t="shared" si="75"/>
        <v>8</v>
      </c>
      <c r="F999" s="11">
        <v>8</v>
      </c>
      <c r="G999" s="9">
        <v>511853</v>
      </c>
      <c r="H999" s="13">
        <v>40340.338888888888</v>
      </c>
      <c r="I999" s="14">
        <v>3.39</v>
      </c>
      <c r="J999" s="23">
        <f t="shared" si="76"/>
        <v>3.39</v>
      </c>
      <c r="K999" s="12">
        <v>40340</v>
      </c>
      <c r="L999" s="24">
        <v>0.33888888888888891</v>
      </c>
      <c r="M999" t="s">
        <v>1014</v>
      </c>
      <c r="N999" s="15" t="str">
        <f t="shared" si="77"/>
        <v>8:08 AM</v>
      </c>
      <c r="O999" s="9" t="s">
        <v>9</v>
      </c>
      <c r="P999" s="20">
        <f t="shared" si="79"/>
        <v>27.12</v>
      </c>
    </row>
    <row r="1000" spans="1:16" x14ac:dyDescent="0.25">
      <c r="A1000" s="9">
        <v>15723</v>
      </c>
      <c r="B1000" s="9">
        <v>22583</v>
      </c>
      <c r="C1000" s="9" t="s">
        <v>303</v>
      </c>
      <c r="D1000" s="17">
        <f t="shared" si="78"/>
        <v>1</v>
      </c>
      <c r="E1000" s="10">
        <f t="shared" si="75"/>
        <v>1</v>
      </c>
      <c r="F1000" s="11">
        <v>1</v>
      </c>
      <c r="G1000" s="9">
        <v>522644</v>
      </c>
      <c r="H1000" s="13">
        <v>40437.446527777778</v>
      </c>
      <c r="I1000" s="14">
        <v>2.5499999999999998</v>
      </c>
      <c r="J1000" s="23">
        <f t="shared" si="76"/>
        <v>2.5499999999999998</v>
      </c>
      <c r="K1000" s="12">
        <v>40437</v>
      </c>
      <c r="L1000" s="24">
        <v>0.4465277777777778</v>
      </c>
      <c r="M1000" t="s">
        <v>1014</v>
      </c>
      <c r="N1000" s="15" t="str">
        <f t="shared" si="77"/>
        <v>10:43 AM</v>
      </c>
      <c r="O1000" s="9" t="s">
        <v>9</v>
      </c>
      <c r="P1000" s="20">
        <f t="shared" si="79"/>
        <v>2.5499999999999998</v>
      </c>
    </row>
    <row r="1001" spans="1:16" x14ac:dyDescent="0.25">
      <c r="A1001" s="9">
        <v>14701</v>
      </c>
      <c r="B1001" s="9">
        <v>21741</v>
      </c>
      <c r="C1001" s="9" t="s">
        <v>299</v>
      </c>
      <c r="D1001" s="17">
        <f t="shared" si="78"/>
        <v>4</v>
      </c>
      <c r="E1001" s="10">
        <f t="shared" si="75"/>
        <v>4</v>
      </c>
      <c r="F1001" s="11">
        <v>4</v>
      </c>
      <c r="G1001" s="9">
        <v>514661</v>
      </c>
      <c r="H1001" s="13">
        <v>40364.534722222219</v>
      </c>
      <c r="I1001" s="14">
        <v>2.95</v>
      </c>
      <c r="J1001" s="23">
        <f t="shared" si="76"/>
        <v>2.95</v>
      </c>
      <c r="K1001" s="12">
        <v>40364</v>
      </c>
      <c r="L1001" s="24">
        <v>0.53472222222222221</v>
      </c>
      <c r="M1001" t="s">
        <v>1013</v>
      </c>
      <c r="N1001" s="15" t="str">
        <f t="shared" si="77"/>
        <v>12:50 PM</v>
      </c>
      <c r="O1001" s="9" t="s">
        <v>9</v>
      </c>
      <c r="P1001" s="20">
        <f t="shared" si="79"/>
        <v>11.8</v>
      </c>
    </row>
    <row r="1002" spans="1:16" x14ac:dyDescent="0.25">
      <c r="A1002" s="9">
        <v>14129</v>
      </c>
      <c r="B1002" s="9">
        <v>21204</v>
      </c>
      <c r="C1002" s="9" t="s">
        <v>957</v>
      </c>
      <c r="D1002" s="17">
        <f t="shared" si="78"/>
        <v>12</v>
      </c>
      <c r="E1002" s="10">
        <f t="shared" si="75"/>
        <v>12</v>
      </c>
      <c r="F1002" s="11">
        <v>12</v>
      </c>
      <c r="G1002" s="9">
        <v>507419</v>
      </c>
      <c r="H1002" s="17" t="s">
        <v>958</v>
      </c>
      <c r="I1002" s="14">
        <v>1.65</v>
      </c>
      <c r="J1002" s="23">
        <f t="shared" si="76"/>
        <v>1.65</v>
      </c>
      <c r="K1002" s="12">
        <v>40307</v>
      </c>
      <c r="L1002" s="25">
        <v>0.62083333333333335</v>
      </c>
      <c r="N1002" s="15" t="str">
        <f t="shared" si="77"/>
        <v xml:space="preserve">14:54 </v>
      </c>
      <c r="O1002" s="9" t="s">
        <v>9</v>
      </c>
      <c r="P1002" s="20">
        <f t="shared" si="79"/>
        <v>19.799999999999997</v>
      </c>
    </row>
    <row r="1003" spans="1:16" x14ac:dyDescent="0.25">
      <c r="A1003" s="9">
        <v>13629</v>
      </c>
      <c r="B1003" s="9">
        <v>21929</v>
      </c>
      <c r="C1003" s="9" t="s">
        <v>458</v>
      </c>
      <c r="D1003" s="17">
        <f t="shared" si="78"/>
        <v>100</v>
      </c>
      <c r="E1003" s="10">
        <f t="shared" si="75"/>
        <v>100</v>
      </c>
      <c r="F1003" s="11">
        <v>100</v>
      </c>
      <c r="G1003" s="9">
        <v>525714</v>
      </c>
      <c r="H1003" s="13">
        <v>40457.599999999999</v>
      </c>
      <c r="I1003" s="14">
        <v>1.65</v>
      </c>
      <c r="J1003" s="23">
        <f t="shared" si="76"/>
        <v>1.65</v>
      </c>
      <c r="K1003" s="12">
        <v>40457</v>
      </c>
      <c r="L1003" s="24">
        <v>0.1</v>
      </c>
      <c r="M1003" t="s">
        <v>1013</v>
      </c>
      <c r="N1003" s="15" t="str">
        <f t="shared" si="77"/>
        <v>2:24 PM</v>
      </c>
      <c r="O1003" s="9" t="s">
        <v>9</v>
      </c>
      <c r="P1003" s="20">
        <f t="shared" si="79"/>
        <v>165</v>
      </c>
    </row>
    <row r="1004" spans="1:16" x14ac:dyDescent="0.25">
      <c r="A1004" s="9">
        <v>13975</v>
      </c>
      <c r="B1004" s="9">
        <v>21437</v>
      </c>
      <c r="C1004" s="9" t="s">
        <v>959</v>
      </c>
      <c r="D1004" s="17">
        <f t="shared" si="78"/>
        <v>1</v>
      </c>
      <c r="E1004" s="10">
        <f t="shared" si="75"/>
        <v>1</v>
      </c>
      <c r="F1004" s="11">
        <v>1</v>
      </c>
      <c r="G1004" s="9">
        <v>496551</v>
      </c>
      <c r="H1004" s="13">
        <v>40211.550694444442</v>
      </c>
      <c r="I1004" s="14">
        <v>3.75</v>
      </c>
      <c r="J1004" s="23">
        <f t="shared" si="76"/>
        <v>3.75</v>
      </c>
      <c r="K1004" s="12">
        <v>40211</v>
      </c>
      <c r="L1004" s="24">
        <v>5.0694444444444445E-2</v>
      </c>
      <c r="M1004" t="s">
        <v>1013</v>
      </c>
      <c r="N1004" s="15" t="str">
        <f t="shared" si="77"/>
        <v>1:13 PM</v>
      </c>
      <c r="O1004" s="9" t="s">
        <v>9</v>
      </c>
      <c r="P1004" s="20">
        <f t="shared" si="79"/>
        <v>3.75</v>
      </c>
    </row>
    <row r="1005" spans="1:16" x14ac:dyDescent="0.25">
      <c r="A1005" s="9">
        <v>12730</v>
      </c>
      <c r="B1005" s="9">
        <v>21906</v>
      </c>
      <c r="C1005" s="9" t="s">
        <v>960</v>
      </c>
      <c r="D1005" s="17">
        <f t="shared" si="78"/>
        <v>2</v>
      </c>
      <c r="E1005" s="10">
        <f t="shared" si="75"/>
        <v>2</v>
      </c>
      <c r="F1005" s="11">
        <v>2</v>
      </c>
      <c r="G1005" s="9">
        <v>514823</v>
      </c>
      <c r="H1005" s="13">
        <v>40365.513194444437</v>
      </c>
      <c r="I1005" s="14">
        <v>6.75</v>
      </c>
      <c r="J1005" s="23">
        <f t="shared" si="76"/>
        <v>6.75</v>
      </c>
      <c r="K1005" s="12">
        <v>40365</v>
      </c>
      <c r="L1005" s="24">
        <v>0.5131944444444444</v>
      </c>
      <c r="M1005" t="s">
        <v>1013</v>
      </c>
      <c r="N1005" s="15" t="str">
        <f t="shared" si="77"/>
        <v>12:19 PM</v>
      </c>
      <c r="O1005" s="9" t="s">
        <v>17</v>
      </c>
      <c r="P1005" s="20">
        <f t="shared" si="79"/>
        <v>13.5</v>
      </c>
    </row>
    <row r="1006" spans="1:16" x14ac:dyDescent="0.25">
      <c r="A1006" s="9">
        <v>14669</v>
      </c>
      <c r="B1006" s="9">
        <v>84270</v>
      </c>
      <c r="C1006" s="9" t="s">
        <v>961</v>
      </c>
      <c r="D1006" s="17">
        <f t="shared" si="78"/>
        <v>30</v>
      </c>
      <c r="E1006" s="10">
        <f t="shared" si="75"/>
        <v>30</v>
      </c>
      <c r="F1006" s="11">
        <v>30</v>
      </c>
      <c r="G1006" s="9">
        <v>489814</v>
      </c>
      <c r="H1006" s="13">
        <v>40149.54583333333</v>
      </c>
      <c r="I1006" s="14">
        <v>0.21</v>
      </c>
      <c r="J1006" s="23">
        <f t="shared" si="76"/>
        <v>0.21</v>
      </c>
      <c r="K1006" s="12">
        <v>40149</v>
      </c>
      <c r="L1006" s="24">
        <v>4.583333333333333E-2</v>
      </c>
      <c r="M1006" t="s">
        <v>1013</v>
      </c>
      <c r="N1006" s="15" t="str">
        <f t="shared" si="77"/>
        <v>1:06 PM</v>
      </c>
      <c r="O1006" s="9" t="s">
        <v>9</v>
      </c>
      <c r="P1006" s="20">
        <f t="shared" si="79"/>
        <v>6.3</v>
      </c>
    </row>
    <row r="1007" spans="1:16" x14ac:dyDescent="0.25">
      <c r="A1007" s="9">
        <v>14963</v>
      </c>
      <c r="B1007" s="9">
        <v>22210</v>
      </c>
      <c r="C1007" s="9" t="s">
        <v>962</v>
      </c>
      <c r="D1007" s="17">
        <f t="shared" si="78"/>
        <v>1</v>
      </c>
      <c r="E1007" s="10">
        <f t="shared" si="75"/>
        <v>1</v>
      </c>
      <c r="F1007" s="11">
        <v>1</v>
      </c>
      <c r="G1007" s="9">
        <v>522739</v>
      </c>
      <c r="H1007" s="13">
        <v>40437.54583333333</v>
      </c>
      <c r="I1007" s="14">
        <v>1.65</v>
      </c>
      <c r="J1007" s="23">
        <f t="shared" si="76"/>
        <v>1.65</v>
      </c>
      <c r="K1007" s="12">
        <v>40437</v>
      </c>
      <c r="L1007" s="24">
        <v>4.583333333333333E-2</v>
      </c>
      <c r="M1007" t="s">
        <v>1013</v>
      </c>
      <c r="N1007" s="15" t="str">
        <f t="shared" si="77"/>
        <v>1:06 PM</v>
      </c>
      <c r="O1007" s="9" t="s">
        <v>9</v>
      </c>
      <c r="P1007" s="20">
        <f t="shared" si="79"/>
        <v>1.65</v>
      </c>
    </row>
    <row r="1008" spans="1:16" x14ac:dyDescent="0.25">
      <c r="A1008" s="9">
        <v>17408</v>
      </c>
      <c r="B1008" s="9">
        <v>20893</v>
      </c>
      <c r="C1008" s="9" t="s">
        <v>964</v>
      </c>
      <c r="D1008" s="17">
        <f t="shared" si="78"/>
        <v>72</v>
      </c>
      <c r="E1008" s="10">
        <f t="shared" si="75"/>
        <v>-72</v>
      </c>
      <c r="F1008" s="11">
        <v>-72</v>
      </c>
      <c r="G1008" s="9" t="s">
        <v>963</v>
      </c>
      <c r="H1008" s="13">
        <v>40386.552777777782</v>
      </c>
      <c r="I1008" s="14">
        <v>2.1</v>
      </c>
      <c r="J1008" s="23">
        <f t="shared" si="76"/>
        <v>2.1</v>
      </c>
      <c r="K1008" s="12">
        <v>40386</v>
      </c>
      <c r="L1008" s="24">
        <v>5.2777777777777778E-2</v>
      </c>
      <c r="M1008" t="s">
        <v>1013</v>
      </c>
      <c r="N1008" s="15" t="str">
        <f t="shared" si="77"/>
        <v>1:16 PM</v>
      </c>
      <c r="O1008" s="9" t="s">
        <v>9</v>
      </c>
      <c r="P1008" s="20">
        <f t="shared" si="79"/>
        <v>151.20000000000002</v>
      </c>
    </row>
    <row r="1009" spans="1:16" x14ac:dyDescent="0.25">
      <c r="A1009" s="9">
        <v>13488</v>
      </c>
      <c r="B1009" s="9" t="s">
        <v>965</v>
      </c>
      <c r="C1009" s="9" t="s">
        <v>966</v>
      </c>
      <c r="D1009" s="17">
        <f t="shared" si="78"/>
        <v>24</v>
      </c>
      <c r="E1009" s="10">
        <f t="shared" si="75"/>
        <v>24</v>
      </c>
      <c r="F1009" s="11">
        <v>24</v>
      </c>
      <c r="G1009" s="9">
        <v>512608</v>
      </c>
      <c r="H1009" s="13">
        <v>40346.413888888892</v>
      </c>
      <c r="I1009" s="14">
        <v>0.85</v>
      </c>
      <c r="J1009" s="23">
        <f t="shared" si="76"/>
        <v>0.85</v>
      </c>
      <c r="K1009" s="12">
        <v>40346</v>
      </c>
      <c r="L1009" s="24">
        <v>0.41388888888888886</v>
      </c>
      <c r="M1009" t="s">
        <v>1014</v>
      </c>
      <c r="N1009" s="15" t="str">
        <f t="shared" si="77"/>
        <v>9:56 AM</v>
      </c>
      <c r="O1009" s="9" t="s">
        <v>9</v>
      </c>
      <c r="P1009" s="20">
        <f t="shared" si="79"/>
        <v>20.399999999999999</v>
      </c>
    </row>
    <row r="1010" spans="1:16" x14ac:dyDescent="0.25">
      <c r="A1010" s="9">
        <v>13564</v>
      </c>
      <c r="B1010" s="9">
        <v>21122</v>
      </c>
      <c r="C1010" s="9" t="s">
        <v>967</v>
      </c>
      <c r="D1010" s="17">
        <f t="shared" si="78"/>
        <v>3</v>
      </c>
      <c r="E1010" s="10">
        <f t="shared" si="75"/>
        <v>3</v>
      </c>
      <c r="F1010" s="11">
        <v>3</v>
      </c>
      <c r="G1010" s="9">
        <v>494915</v>
      </c>
      <c r="H1010" s="13">
        <v>40197.716666666667</v>
      </c>
      <c r="I1010" s="14">
        <v>1.25</v>
      </c>
      <c r="J1010" s="23">
        <f t="shared" si="76"/>
        <v>1.25</v>
      </c>
      <c r="K1010" s="12">
        <v>40197</v>
      </c>
      <c r="L1010" s="24">
        <v>0.21666666666666667</v>
      </c>
      <c r="M1010" t="s">
        <v>1013</v>
      </c>
      <c r="N1010" s="15" t="str">
        <f t="shared" si="77"/>
        <v>5:12 PM</v>
      </c>
      <c r="O1010" s="9" t="s">
        <v>9</v>
      </c>
      <c r="P1010" s="20">
        <f t="shared" si="79"/>
        <v>3.75</v>
      </c>
    </row>
    <row r="1011" spans="1:16" x14ac:dyDescent="0.25">
      <c r="A1011" s="9">
        <v>14049</v>
      </c>
      <c r="B1011" s="9" t="s">
        <v>968</v>
      </c>
      <c r="C1011" s="9" t="s">
        <v>969</v>
      </c>
      <c r="D1011" s="17">
        <f t="shared" si="78"/>
        <v>6</v>
      </c>
      <c r="E1011" s="10">
        <f t="shared" si="75"/>
        <v>6</v>
      </c>
      <c r="F1011" s="11">
        <v>6</v>
      </c>
      <c r="G1011" s="9">
        <v>513952</v>
      </c>
      <c r="H1011" s="13">
        <v>40358.59097222222</v>
      </c>
      <c r="I1011" s="14">
        <v>0.55000000000000004</v>
      </c>
      <c r="J1011" s="23">
        <f t="shared" si="76"/>
        <v>0.55000000000000004</v>
      </c>
      <c r="K1011" s="12">
        <v>40358</v>
      </c>
      <c r="L1011" s="24">
        <v>9.0972222222222218E-2</v>
      </c>
      <c r="M1011" t="s">
        <v>1013</v>
      </c>
      <c r="N1011" s="15" t="str">
        <f t="shared" si="77"/>
        <v>2:11 PM</v>
      </c>
      <c r="O1011" s="9" t="s">
        <v>9</v>
      </c>
      <c r="P1011" s="20">
        <f t="shared" si="79"/>
        <v>3.3000000000000003</v>
      </c>
    </row>
    <row r="1012" spans="1:16" x14ac:dyDescent="0.25">
      <c r="A1012" s="9">
        <v>12482</v>
      </c>
      <c r="B1012" s="9">
        <v>22530</v>
      </c>
      <c r="C1012" s="9" t="s">
        <v>970</v>
      </c>
      <c r="D1012" s="17">
        <f t="shared" si="78"/>
        <v>384</v>
      </c>
      <c r="E1012" s="10">
        <f t="shared" si="75"/>
        <v>384</v>
      </c>
      <c r="F1012" s="11">
        <v>384</v>
      </c>
      <c r="G1012" s="9">
        <v>503834</v>
      </c>
      <c r="H1012" s="13">
        <v>40275.675694444442</v>
      </c>
      <c r="I1012" s="14">
        <v>0.36</v>
      </c>
      <c r="J1012" s="23">
        <f t="shared" si="76"/>
        <v>0.36</v>
      </c>
      <c r="K1012" s="12">
        <v>40275</v>
      </c>
      <c r="L1012" s="24">
        <v>0.17569444444444443</v>
      </c>
      <c r="M1012" t="s">
        <v>1013</v>
      </c>
      <c r="N1012" s="15" t="str">
        <f t="shared" si="77"/>
        <v>4:13 PM</v>
      </c>
      <c r="O1012" s="9" t="s">
        <v>519</v>
      </c>
      <c r="P1012" s="20">
        <f t="shared" si="79"/>
        <v>138.24</v>
      </c>
    </row>
    <row r="1013" spans="1:16" x14ac:dyDescent="0.25">
      <c r="A1013" s="9">
        <v>16016</v>
      </c>
      <c r="B1013" s="9">
        <v>22457</v>
      </c>
      <c r="C1013" s="9" t="s">
        <v>390</v>
      </c>
      <c r="D1013" s="17">
        <f t="shared" si="78"/>
        <v>4</v>
      </c>
      <c r="E1013" s="10">
        <f t="shared" si="75"/>
        <v>4</v>
      </c>
      <c r="F1013" s="11">
        <v>4</v>
      </c>
      <c r="G1013" s="9">
        <v>533469</v>
      </c>
      <c r="H1013" s="17" t="s">
        <v>971</v>
      </c>
      <c r="I1013" s="14">
        <v>2.95</v>
      </c>
      <c r="J1013" s="23">
        <f t="shared" si="76"/>
        <v>2.95</v>
      </c>
      <c r="K1013" s="12">
        <v>40499</v>
      </c>
      <c r="L1013" s="25">
        <v>0.52500000000000002</v>
      </c>
      <c r="N1013" s="15" t="str">
        <f t="shared" si="77"/>
        <v xml:space="preserve">12:36 </v>
      </c>
      <c r="O1013" s="9" t="s">
        <v>9</v>
      </c>
      <c r="P1013" s="20">
        <f t="shared" si="79"/>
        <v>11.8</v>
      </c>
    </row>
    <row r="1014" spans="1:16" x14ac:dyDescent="0.25">
      <c r="A1014" s="9">
        <v>15311</v>
      </c>
      <c r="B1014" s="9" t="s">
        <v>972</v>
      </c>
      <c r="C1014" s="9" t="s">
        <v>973</v>
      </c>
      <c r="D1014" s="17">
        <f t="shared" si="78"/>
        <v>3</v>
      </c>
      <c r="E1014" s="10">
        <f t="shared" si="75"/>
        <v>3</v>
      </c>
      <c r="F1014" s="11">
        <v>3</v>
      </c>
      <c r="G1014" s="9">
        <v>525317</v>
      </c>
      <c r="H1014" s="13">
        <v>40456.470138888893</v>
      </c>
      <c r="I1014" s="14">
        <v>3.75</v>
      </c>
      <c r="J1014" s="23">
        <f t="shared" si="76"/>
        <v>3.75</v>
      </c>
      <c r="K1014" s="12">
        <v>40456</v>
      </c>
      <c r="L1014" s="24">
        <v>0.47013888888888888</v>
      </c>
      <c r="M1014" t="s">
        <v>1014</v>
      </c>
      <c r="N1014" s="15" t="str">
        <f t="shared" si="77"/>
        <v>11:17 AM</v>
      </c>
      <c r="O1014" s="9" t="s">
        <v>9</v>
      </c>
      <c r="P1014" s="20">
        <f t="shared" si="79"/>
        <v>11.25</v>
      </c>
    </row>
    <row r="1015" spans="1:16" x14ac:dyDescent="0.25">
      <c r="A1015" s="9">
        <v>13267</v>
      </c>
      <c r="B1015" s="9">
        <v>22728</v>
      </c>
      <c r="C1015" s="9" t="s">
        <v>978</v>
      </c>
      <c r="D1015" s="17">
        <f t="shared" si="78"/>
        <v>4</v>
      </c>
      <c r="E1015" s="10">
        <f t="shared" si="75"/>
        <v>4</v>
      </c>
      <c r="F1015" s="11">
        <v>4</v>
      </c>
      <c r="G1015" s="9">
        <v>537671</v>
      </c>
      <c r="H1015" s="13">
        <v>40520.388888888891</v>
      </c>
      <c r="I1015" s="14">
        <v>3.75</v>
      </c>
      <c r="J1015" s="23">
        <f t="shared" si="76"/>
        <v>3.75</v>
      </c>
      <c r="K1015" s="12">
        <v>40520</v>
      </c>
      <c r="L1015" s="24">
        <v>0.3888888888888889</v>
      </c>
      <c r="M1015" t="s">
        <v>1014</v>
      </c>
      <c r="N1015" s="15" t="str">
        <f t="shared" si="77"/>
        <v>9:20 AM</v>
      </c>
      <c r="O1015" s="9" t="s">
        <v>9</v>
      </c>
      <c r="P1015" s="20">
        <f t="shared" si="79"/>
        <v>15</v>
      </c>
    </row>
    <row r="1016" spans="1:16" x14ac:dyDescent="0.25">
      <c r="A1016" s="9">
        <v>17950</v>
      </c>
      <c r="B1016" s="9">
        <v>21563</v>
      </c>
      <c r="C1016" s="9" t="s">
        <v>70</v>
      </c>
      <c r="D1016" s="17">
        <f t="shared" si="78"/>
        <v>2</v>
      </c>
      <c r="E1016" s="10">
        <f t="shared" si="75"/>
        <v>2</v>
      </c>
      <c r="F1016" s="11">
        <v>2</v>
      </c>
      <c r="G1016" s="9">
        <v>509031</v>
      </c>
      <c r="H1016" s="13">
        <v>40317.6875</v>
      </c>
      <c r="I1016" s="14">
        <v>2.95</v>
      </c>
      <c r="J1016" s="23">
        <f t="shared" si="76"/>
        <v>2.95</v>
      </c>
      <c r="K1016" s="12">
        <v>40317</v>
      </c>
      <c r="L1016" s="24">
        <v>0.1875</v>
      </c>
      <c r="M1016" t="s">
        <v>1013</v>
      </c>
      <c r="N1016" s="15" t="str">
        <f t="shared" si="77"/>
        <v>4:30 PM</v>
      </c>
      <c r="O1016" s="9" t="s">
        <v>9</v>
      </c>
      <c r="P1016" s="20">
        <f t="shared" si="79"/>
        <v>5.9</v>
      </c>
    </row>
    <row r="1017" spans="1:16" x14ac:dyDescent="0.25">
      <c r="A1017" s="9">
        <v>15854</v>
      </c>
      <c r="B1017" s="9">
        <v>22111</v>
      </c>
      <c r="C1017" s="9" t="s">
        <v>178</v>
      </c>
      <c r="D1017" s="17">
        <f t="shared" si="78"/>
        <v>3</v>
      </c>
      <c r="E1017" s="10">
        <f t="shared" si="75"/>
        <v>3</v>
      </c>
      <c r="F1017" s="11">
        <v>3</v>
      </c>
      <c r="G1017" s="9">
        <v>534786</v>
      </c>
      <c r="H1017" s="13">
        <v>40506.472916666673</v>
      </c>
      <c r="I1017" s="14">
        <v>4.95</v>
      </c>
      <c r="J1017" s="23">
        <f t="shared" si="76"/>
        <v>4.95</v>
      </c>
      <c r="K1017" s="12">
        <v>40506</v>
      </c>
      <c r="L1017" s="24">
        <v>0.47291666666666665</v>
      </c>
      <c r="M1017" t="s">
        <v>1014</v>
      </c>
      <c r="N1017" s="15" t="str">
        <f t="shared" si="77"/>
        <v>11:21 AM</v>
      </c>
      <c r="O1017" s="9" t="s">
        <v>9</v>
      </c>
      <c r="P1017" s="20">
        <f t="shared" si="79"/>
        <v>14.850000000000001</v>
      </c>
    </row>
    <row r="1018" spans="1:16" x14ac:dyDescent="0.25">
      <c r="A1018" s="9">
        <v>14606</v>
      </c>
      <c r="B1018" s="9">
        <v>21398</v>
      </c>
      <c r="C1018" s="9" t="s">
        <v>974</v>
      </c>
      <c r="D1018" s="17">
        <f t="shared" si="78"/>
        <v>96</v>
      </c>
      <c r="E1018" s="10">
        <f t="shared" si="75"/>
        <v>96</v>
      </c>
      <c r="F1018" s="11">
        <v>96</v>
      </c>
      <c r="G1018" s="9">
        <v>497217</v>
      </c>
      <c r="H1018" s="13">
        <v>40216.602083333331</v>
      </c>
      <c r="I1018" s="14">
        <v>1.75</v>
      </c>
      <c r="J1018" s="23">
        <f t="shared" si="76"/>
        <v>1.75</v>
      </c>
      <c r="K1018" s="12">
        <v>40216</v>
      </c>
      <c r="L1018" s="24">
        <v>0.10208333333333333</v>
      </c>
      <c r="M1018" t="s">
        <v>1013</v>
      </c>
      <c r="N1018" s="15" t="str">
        <f t="shared" si="77"/>
        <v>2:27 PM</v>
      </c>
      <c r="O1018" s="9" t="s">
        <v>11</v>
      </c>
      <c r="P1018" s="20">
        <f t="shared" si="79"/>
        <v>168</v>
      </c>
    </row>
    <row r="1019" spans="1:16" x14ac:dyDescent="0.25">
      <c r="A1019" s="9">
        <v>13593</v>
      </c>
      <c r="B1019" s="9">
        <v>22177</v>
      </c>
      <c r="C1019" s="9" t="s">
        <v>975</v>
      </c>
      <c r="D1019" s="17">
        <f t="shared" si="78"/>
        <v>1</v>
      </c>
      <c r="E1019" s="10">
        <f t="shared" si="75"/>
        <v>1</v>
      </c>
      <c r="F1019" s="11">
        <v>1</v>
      </c>
      <c r="G1019" s="9">
        <v>503824</v>
      </c>
      <c r="H1019" s="13">
        <v>40275.626388888893</v>
      </c>
      <c r="I1019" s="14">
        <v>9.9499999999999993</v>
      </c>
      <c r="J1019" s="23">
        <f t="shared" si="76"/>
        <v>9.9499999999999993</v>
      </c>
      <c r="K1019" s="12">
        <v>40275</v>
      </c>
      <c r="L1019" s="24">
        <v>0.12638888888888888</v>
      </c>
      <c r="M1019" t="s">
        <v>1013</v>
      </c>
      <c r="N1019" s="15" t="str">
        <f t="shared" si="77"/>
        <v>3:02 PM</v>
      </c>
      <c r="O1019" s="9" t="s">
        <v>9</v>
      </c>
      <c r="P1019" s="20">
        <f t="shared" si="79"/>
        <v>9.9499999999999993</v>
      </c>
    </row>
    <row r="1020" spans="1:16" x14ac:dyDescent="0.25">
      <c r="A1020" s="9">
        <v>15658</v>
      </c>
      <c r="B1020" s="9">
        <v>21693</v>
      </c>
      <c r="C1020" s="9" t="s">
        <v>976</v>
      </c>
      <c r="D1020" s="17">
        <f t="shared" si="78"/>
        <v>6</v>
      </c>
      <c r="E1020" s="10">
        <f t="shared" si="75"/>
        <v>6</v>
      </c>
      <c r="F1020" s="11">
        <v>6</v>
      </c>
      <c r="G1020" s="9">
        <v>489998</v>
      </c>
      <c r="H1020" s="13">
        <v>40150.47152777778</v>
      </c>
      <c r="I1020" s="14">
        <v>2.95</v>
      </c>
      <c r="J1020" s="23">
        <f t="shared" si="76"/>
        <v>2.95</v>
      </c>
      <c r="K1020" s="12">
        <v>40150</v>
      </c>
      <c r="L1020" s="24">
        <v>0.47152777777777777</v>
      </c>
      <c r="M1020" t="s">
        <v>1014</v>
      </c>
      <c r="N1020" s="15" t="str">
        <f t="shared" si="77"/>
        <v>11:19 AM</v>
      </c>
      <c r="O1020" s="9" t="s">
        <v>9</v>
      </c>
      <c r="P1020" s="20">
        <f t="shared" si="79"/>
        <v>17.700000000000003</v>
      </c>
    </row>
    <row r="1021" spans="1:16" x14ac:dyDescent="0.25">
      <c r="A1021" s="9">
        <v>14988</v>
      </c>
      <c r="B1021" s="9">
        <v>11001</v>
      </c>
      <c r="C1021" s="9" t="s">
        <v>977</v>
      </c>
      <c r="D1021" s="17">
        <f t="shared" si="78"/>
        <v>16</v>
      </c>
      <c r="E1021" s="10">
        <f t="shared" si="75"/>
        <v>16</v>
      </c>
      <c r="F1021" s="11">
        <v>16</v>
      </c>
      <c r="G1021" s="9">
        <v>524305</v>
      </c>
      <c r="H1021" s="13">
        <v>40449.569444444453</v>
      </c>
      <c r="I1021" s="14">
        <v>1.69</v>
      </c>
      <c r="J1021" s="23">
        <f t="shared" si="76"/>
        <v>1.69</v>
      </c>
      <c r="K1021" s="12">
        <v>40449</v>
      </c>
      <c r="L1021" s="24">
        <v>6.9444444444444448E-2</v>
      </c>
      <c r="M1021" t="s">
        <v>1013</v>
      </c>
      <c r="N1021" s="15" t="str">
        <f t="shared" si="77"/>
        <v>1:40 PM</v>
      </c>
      <c r="O1021" s="9" t="s">
        <v>9</v>
      </c>
      <c r="P1021" s="20">
        <f t="shared" si="79"/>
        <v>27.04</v>
      </c>
    </row>
  </sheetData>
  <phoneticPr fontId="5" type="noConversion"/>
  <conditionalFormatting sqref="A1:A1048576">
    <cfRule type="containsBlanks" dxfId="9" priority="8">
      <formula>LEN(TRIM(A1))=0</formula>
    </cfRule>
    <cfRule type="containsBlanks" priority="9">
      <formula>LEN(TRIM(A1))=0</formula>
    </cfRule>
  </conditionalFormatting>
  <conditionalFormatting sqref="A1:O1021">
    <cfRule type="containsBlanks" dxfId="8" priority="1">
      <formula>LEN(TRIM(A1))=0</formula>
    </cfRule>
  </conditionalFormatting>
  <conditionalFormatting sqref="C1:D1048576">
    <cfRule type="containsBlanks" dxfId="7" priority="5">
      <formula>LEN(TRIM(C1))=0</formula>
    </cfRule>
  </conditionalFormatting>
  <conditionalFormatting sqref="C1:E1048576">
    <cfRule type="containsBlanks" dxfId="6" priority="7">
      <formula>LEN(TRIM(C1))=0</formula>
    </cfRule>
  </conditionalFormatting>
  <conditionalFormatting sqref="E1:E1048576">
    <cfRule type="containsBlanks" priority="3">
      <formula>LEN(TRIM(E1))=0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FEE7-D88A-4FA1-B043-8F80D430DF9C}">
  <dimension ref="A1:D9"/>
  <sheetViews>
    <sheetView workbookViewId="0">
      <selection activeCell="D9" sqref="D9"/>
    </sheetView>
  </sheetViews>
  <sheetFormatPr defaultRowHeight="15" x14ac:dyDescent="0.25"/>
  <cols>
    <col min="1" max="1" width="31.85546875" bestFit="1" customWidth="1"/>
    <col min="2" max="2" width="49.5703125" bestFit="1" customWidth="1"/>
    <col min="3" max="3" width="49" bestFit="1" customWidth="1"/>
    <col min="4" max="4" width="51.28515625" bestFit="1" customWidth="1"/>
  </cols>
  <sheetData>
    <row r="1" spans="1:4" x14ac:dyDescent="0.25">
      <c r="A1" s="21" t="s">
        <v>981</v>
      </c>
      <c r="B1" s="21" t="s">
        <v>982</v>
      </c>
      <c r="C1" s="21" t="s">
        <v>983</v>
      </c>
      <c r="D1" s="21" t="s">
        <v>984</v>
      </c>
    </row>
    <row r="2" spans="1:4" x14ac:dyDescent="0.25">
      <c r="A2" t="s">
        <v>985</v>
      </c>
      <c r="B2" t="s">
        <v>986</v>
      </c>
      <c r="C2" t="s">
        <v>987</v>
      </c>
      <c r="D2" t="s">
        <v>1010</v>
      </c>
    </row>
    <row r="3" spans="1:4" x14ac:dyDescent="0.25">
      <c r="A3" t="s">
        <v>988</v>
      </c>
      <c r="B3" t="s">
        <v>7</v>
      </c>
      <c r="C3" t="s">
        <v>1009</v>
      </c>
      <c r="D3" t="s">
        <v>1011</v>
      </c>
    </row>
    <row r="4" spans="1:4" x14ac:dyDescent="0.25">
      <c r="A4" t="s">
        <v>989</v>
      </c>
      <c r="B4" t="s">
        <v>990</v>
      </c>
      <c r="C4" t="s">
        <v>1008</v>
      </c>
      <c r="D4" t="s">
        <v>991</v>
      </c>
    </row>
    <row r="5" spans="1:4" x14ac:dyDescent="0.25">
      <c r="A5" t="s">
        <v>992</v>
      </c>
      <c r="B5" t="s">
        <v>993</v>
      </c>
      <c r="C5" t="s">
        <v>994</v>
      </c>
      <c r="D5" t="s">
        <v>995</v>
      </c>
    </row>
    <row r="6" spans="1:4" x14ac:dyDescent="0.25">
      <c r="A6" t="s">
        <v>996</v>
      </c>
      <c r="B6" t="s">
        <v>997</v>
      </c>
      <c r="C6" t="s">
        <v>998</v>
      </c>
      <c r="D6" t="s">
        <v>999</v>
      </c>
    </row>
    <row r="7" spans="1:4" x14ac:dyDescent="0.25">
      <c r="A7" t="s">
        <v>1000</v>
      </c>
      <c r="B7" t="s">
        <v>1005</v>
      </c>
      <c r="C7" t="s">
        <v>1006</v>
      </c>
      <c r="D7" t="s">
        <v>1001</v>
      </c>
    </row>
    <row r="8" spans="1:4" x14ac:dyDescent="0.25">
      <c r="A8" t="s">
        <v>1002</v>
      </c>
      <c r="B8" t="s">
        <v>1003</v>
      </c>
      <c r="C8" t="s">
        <v>1007</v>
      </c>
      <c r="D8" t="s">
        <v>1004</v>
      </c>
    </row>
    <row r="9" spans="1:4" x14ac:dyDescent="0.25">
      <c r="A9" t="s">
        <v>1023</v>
      </c>
      <c r="B9" t="s">
        <v>3</v>
      </c>
      <c r="C9" t="s">
        <v>1024</v>
      </c>
      <c r="D9" t="s">
        <v>1025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3988-970D-4EF4-B8EC-A2B4FD355D8F}">
  <dimension ref="A1:T744"/>
  <sheetViews>
    <sheetView tabSelected="1" topLeftCell="R1" zoomScaleNormal="100" workbookViewId="0">
      <selection activeCell="T2" sqref="T2"/>
    </sheetView>
  </sheetViews>
  <sheetFormatPr defaultRowHeight="15" x14ac:dyDescent="0.25"/>
  <cols>
    <col min="1" max="1" width="36" bestFit="1" customWidth="1"/>
    <col min="2" max="2" width="16" style="20" customWidth="1"/>
    <col min="3" max="3" width="14" customWidth="1"/>
    <col min="4" max="4" width="44.28515625" bestFit="1" customWidth="1"/>
    <col min="5" max="5" width="24.5703125" customWidth="1"/>
    <col min="6" max="6" width="13.140625" customWidth="1"/>
    <col min="7" max="7" width="50.5703125" bestFit="1" customWidth="1"/>
    <col min="8" max="8" width="18.140625" style="20" customWidth="1"/>
    <col min="11" max="11" width="15.42578125" bestFit="1" customWidth="1"/>
    <col min="12" max="12" width="15.85546875" style="20" bestFit="1" customWidth="1"/>
    <col min="15" max="15" width="43.140625" bestFit="1" customWidth="1"/>
    <col min="16" max="16" width="15.85546875" style="20" bestFit="1" customWidth="1"/>
    <col min="17" max="17" width="15.85546875" customWidth="1"/>
    <col min="18" max="18" width="39.140625" bestFit="1" customWidth="1"/>
    <col min="20" max="20" width="86.7109375" bestFit="1" customWidth="1"/>
  </cols>
  <sheetData>
    <row r="1" spans="1:20" x14ac:dyDescent="0.25">
      <c r="A1" s="26" t="s">
        <v>7</v>
      </c>
      <c r="B1" s="39" t="s">
        <v>1032</v>
      </c>
      <c r="C1" s="21"/>
      <c r="D1" s="26" t="s">
        <v>7</v>
      </c>
      <c r="E1" s="27" t="s">
        <v>1028</v>
      </c>
      <c r="F1" s="21"/>
      <c r="G1" s="26" t="s">
        <v>7</v>
      </c>
      <c r="H1" s="39" t="s">
        <v>1029</v>
      </c>
      <c r="K1" s="35" t="s">
        <v>1030</v>
      </c>
      <c r="L1" s="20" t="s">
        <v>1033</v>
      </c>
      <c r="O1" s="35" t="s">
        <v>1030</v>
      </c>
      <c r="P1" s="20" t="s">
        <v>1033</v>
      </c>
      <c r="T1" s="21" t="s">
        <v>1034</v>
      </c>
    </row>
    <row r="2" spans="1:20" x14ac:dyDescent="0.25">
      <c r="A2" s="34" t="str" cm="1">
        <f t="array" ref="A2:A23">_xlfn.UNIQUE(Sheet2!$O$2:$O$1021)</f>
        <v>United Kingdom</v>
      </c>
      <c r="B2" s="40">
        <f>SUMIF(Sheet2!$O$2:$O$1021,A2,Sheet2!$P$2:$P1021)</f>
        <v>19278.460000000017</v>
      </c>
      <c r="D2" s="30" t="str" cm="1">
        <f t="array" ref="D2:D23">_xlfn.UNIQUE(Sheet2!$O$2:$O$1021)</f>
        <v>United Kingdom</v>
      </c>
      <c r="E2" s="31">
        <f>COUNTIF(Sheet2!$O$2:$O$1021,D2)</f>
        <v>922</v>
      </c>
      <c r="G2" s="30" t="str" cm="1">
        <f t="array" ref="G2:G23">_xlfn.UNIQUE(Sheet2!O2:O1021)</f>
        <v>United Kingdom</v>
      </c>
      <c r="H2" s="40">
        <f>AVERAGEIF(Sheet2!$O$2:$O$1021,G2,Sheet2!$P$2:$P$1021)</f>
        <v>20.90939262472887</v>
      </c>
      <c r="K2" s="36" t="s">
        <v>9</v>
      </c>
      <c r="L2" s="20">
        <v>19278.460000000017</v>
      </c>
      <c r="O2" s="36" t="s">
        <v>163</v>
      </c>
      <c r="P2" s="20">
        <v>1952.64</v>
      </c>
      <c r="T2" t="s">
        <v>1048</v>
      </c>
    </row>
    <row r="3" spans="1:20" x14ac:dyDescent="0.25">
      <c r="A3" s="32" t="str">
        <v>EIRE</v>
      </c>
      <c r="B3" s="41">
        <f>SUMIF(Sheet2!$O$2:$O$1021,A3,Sheet2!$P$2:$P1022)</f>
        <v>1155</v>
      </c>
      <c r="D3" s="32" t="str">
        <v>EIRE</v>
      </c>
      <c r="E3" s="33">
        <f>COUNTIF(Sheet2!$O$2:$O$1021,D3)</f>
        <v>19</v>
      </c>
      <c r="G3" s="32" t="str">
        <v>EIRE</v>
      </c>
      <c r="H3" s="41">
        <f>AVERAGEIF(Sheet2!$O$2:$O$1021,G3,Sheet2!$P$2:$P$1021)</f>
        <v>60.789473684210527</v>
      </c>
      <c r="K3" s="36" t="s">
        <v>11</v>
      </c>
      <c r="L3" s="20">
        <v>1155</v>
      </c>
      <c r="O3" s="36" t="s">
        <v>112</v>
      </c>
      <c r="P3" s="20">
        <v>993.59999999999991</v>
      </c>
      <c r="T3" t="s">
        <v>1044</v>
      </c>
    </row>
    <row r="4" spans="1:20" x14ac:dyDescent="0.25">
      <c r="A4" s="30" t="str">
        <v>Germany</v>
      </c>
      <c r="B4" s="40">
        <f>SUMIF(Sheet2!$O$2:$O$1021,A4,Sheet2!$P$2:$P1023)</f>
        <v>486.5</v>
      </c>
      <c r="D4" s="30" t="str">
        <v>Germany</v>
      </c>
      <c r="E4" s="31">
        <f>COUNTIF(Sheet2!$O$2:$O$1021,D4)</f>
        <v>21</v>
      </c>
      <c r="G4" s="30" t="str">
        <v>Germany</v>
      </c>
      <c r="H4" s="40">
        <f>AVERAGEIF(Sheet2!$O$2:$O$1021,G4,Sheet2!$P$2:$P$1021)</f>
        <v>23.166666666666668</v>
      </c>
      <c r="K4" s="36" t="s">
        <v>114</v>
      </c>
      <c r="L4" s="20">
        <v>1083.5999999999999</v>
      </c>
      <c r="O4" s="36" t="s">
        <v>169</v>
      </c>
      <c r="P4" s="20">
        <v>573.91999999999996</v>
      </c>
      <c r="T4" t="s">
        <v>1045</v>
      </c>
    </row>
    <row r="5" spans="1:20" x14ac:dyDescent="0.25">
      <c r="A5" s="32" t="str">
        <v>France</v>
      </c>
      <c r="B5" s="41">
        <f>SUMIF(Sheet2!$O$2:$O$1021,A5,Sheet2!$P$2:$P1024)</f>
        <v>796.96</v>
      </c>
      <c r="D5" s="32" t="str">
        <v>France</v>
      </c>
      <c r="E5" s="33">
        <f>COUNTIF(Sheet2!$O$2:$O$1021,D5)</f>
        <v>19</v>
      </c>
      <c r="G5" s="32" t="str">
        <v>France</v>
      </c>
      <c r="H5" s="41">
        <f>AVERAGEIF(Sheet2!$O$2:$O$1021,G5,Sheet2!$P$2:$P$1021)</f>
        <v>41.945263157894736</v>
      </c>
      <c r="K5" s="36" t="s">
        <v>116</v>
      </c>
      <c r="L5" s="20">
        <v>872.13000000000011</v>
      </c>
      <c r="O5" s="36" t="s">
        <v>745</v>
      </c>
      <c r="P5" s="20">
        <v>397.8</v>
      </c>
      <c r="T5" t="s">
        <v>1046</v>
      </c>
    </row>
    <row r="6" spans="1:20" x14ac:dyDescent="0.25">
      <c r="A6" s="30" t="str">
        <v>Singapore</v>
      </c>
      <c r="B6" s="40">
        <f>SUMIF(Sheet2!$O$2:$O$1021,A6,Sheet2!$P$2:$P1025)</f>
        <v>15</v>
      </c>
      <c r="D6" s="30" t="str">
        <v>Singapore</v>
      </c>
      <c r="E6" s="31">
        <f>COUNTIF(Sheet2!$O$2:$O$1021,D6)</f>
        <v>1</v>
      </c>
      <c r="G6" s="30" t="str">
        <v>Singapore</v>
      </c>
      <c r="H6" s="40">
        <f>AVERAGEIF(Sheet2!$O$2:$O$1021,G6,Sheet2!$P$2:$P$1021)</f>
        <v>15</v>
      </c>
      <c r="K6" s="36" t="s">
        <v>28</v>
      </c>
      <c r="L6" s="20">
        <v>796.96</v>
      </c>
      <c r="O6" s="36" t="s">
        <v>206</v>
      </c>
      <c r="P6" s="20">
        <v>388.5</v>
      </c>
      <c r="T6" t="s">
        <v>1047</v>
      </c>
    </row>
    <row r="7" spans="1:20" x14ac:dyDescent="0.25">
      <c r="A7" s="32" t="str">
        <v>Belgium</v>
      </c>
      <c r="B7" s="41">
        <f>SUMIF(Sheet2!$O$2:$O$1021,A7,Sheet2!$P$2:$P1026)</f>
        <v>64.5</v>
      </c>
      <c r="D7" s="32" t="str">
        <v>Belgium</v>
      </c>
      <c r="E7" s="33">
        <f>COUNTIF(Sheet2!$O$2:$O$1021,D7)</f>
        <v>2</v>
      </c>
      <c r="G7" s="32" t="str">
        <v>Belgium</v>
      </c>
      <c r="H7" s="41">
        <f>AVERAGEIF(Sheet2!$O$2:$O$1021,G7,Sheet2!$P$2:$P$1021)</f>
        <v>32.25</v>
      </c>
      <c r="K7" s="36" t="s">
        <v>17</v>
      </c>
      <c r="L7" s="20">
        <v>486.5</v>
      </c>
      <c r="O7" s="36" t="s">
        <v>54</v>
      </c>
      <c r="P7" s="20">
        <v>362.45</v>
      </c>
    </row>
    <row r="8" spans="1:20" x14ac:dyDescent="0.25">
      <c r="A8" s="30" t="str">
        <v>Italy</v>
      </c>
      <c r="B8" s="40">
        <f>SUMIF(Sheet2!$O$2:$O$1021,A8,Sheet2!$P$2:$P1027)</f>
        <v>29.6</v>
      </c>
      <c r="D8" s="30" t="str">
        <v>Italy</v>
      </c>
      <c r="E8" s="31">
        <f>COUNTIF(Sheet2!$O$2:$O$1021,D8)</f>
        <v>2</v>
      </c>
      <c r="G8" s="30" t="str">
        <v>Italy</v>
      </c>
      <c r="H8" s="40">
        <f>AVERAGEIF(Sheet2!$O$2:$O$1021,G8,Sheet2!$P$2:$P$1021)</f>
        <v>14.8</v>
      </c>
      <c r="K8" s="36" t="s">
        <v>245</v>
      </c>
      <c r="L8" s="20">
        <v>226.60000000000002</v>
      </c>
      <c r="O8" s="36" t="s">
        <v>14</v>
      </c>
      <c r="P8" s="20">
        <v>349.5</v>
      </c>
    </row>
    <row r="9" spans="1:20" x14ac:dyDescent="0.25">
      <c r="A9" s="32" t="str">
        <v>RSA</v>
      </c>
      <c r="B9" s="41">
        <f>SUMIF(Sheet2!$O$2:$O$1021,A9,Sheet2!$P$2:$P1028)</f>
        <v>19.799999999999997</v>
      </c>
      <c r="D9" s="32" t="str">
        <v>RSA</v>
      </c>
      <c r="E9" s="33">
        <f>COUNTIF(Sheet2!$O$2:$O$1021,D9)</f>
        <v>1</v>
      </c>
      <c r="G9" s="32" t="str">
        <v>RSA</v>
      </c>
      <c r="H9" s="41">
        <f>AVERAGEIF(Sheet2!$O$2:$O$1021,G9,Sheet2!$P$2:$P$1021)</f>
        <v>19.799999999999997</v>
      </c>
      <c r="K9" s="36" t="s">
        <v>519</v>
      </c>
      <c r="L9" s="20">
        <v>155.64000000000001</v>
      </c>
      <c r="O9" s="36" t="s">
        <v>673</v>
      </c>
      <c r="P9" s="20">
        <v>324.48</v>
      </c>
    </row>
    <row r="10" spans="1:20" x14ac:dyDescent="0.25">
      <c r="A10" s="30" t="str">
        <v>Denmark</v>
      </c>
      <c r="B10" s="40">
        <f>SUMIF(Sheet2!$O$2:$O$1021,A10,Sheet2!$P$2:$P1029)</f>
        <v>1083.5999999999999</v>
      </c>
      <c r="D10" s="30" t="str">
        <v>Denmark</v>
      </c>
      <c r="E10" s="31">
        <f>COUNTIF(Sheet2!$O$2:$O$1021,D10)</f>
        <v>2</v>
      </c>
      <c r="G10" s="30" t="str">
        <v>Denmark</v>
      </c>
      <c r="H10" s="40">
        <f>AVERAGEIF(Sheet2!$O$2:$O$1021,G10,Sheet2!$P$2:$P$1021)</f>
        <v>541.79999999999995</v>
      </c>
      <c r="K10" s="36" t="s">
        <v>314</v>
      </c>
      <c r="L10" s="20">
        <v>127.49999999999999</v>
      </c>
      <c r="O10" s="36" t="s">
        <v>115</v>
      </c>
      <c r="P10" s="20">
        <v>305.28000000000003</v>
      </c>
      <c r="R10" s="21" t="s">
        <v>1043</v>
      </c>
    </row>
    <row r="11" spans="1:20" x14ac:dyDescent="0.25">
      <c r="A11" s="32" t="str">
        <v>Netherlands</v>
      </c>
      <c r="B11" s="41">
        <f>SUMIF(Sheet2!$O$2:$O$1021,A11,Sheet2!$P$2:$P1030)</f>
        <v>872.13000000000011</v>
      </c>
      <c r="D11" s="32" t="str">
        <v>Netherlands</v>
      </c>
      <c r="E11" s="33">
        <f>COUNTIF(Sheet2!$O$2:$O$1021,D11)</f>
        <v>5</v>
      </c>
      <c r="G11" s="32" t="str">
        <v>Netherlands</v>
      </c>
      <c r="H11" s="41">
        <f>AVERAGEIF(Sheet2!$O$2:$O$1021,G11,Sheet2!$P$2:$P$1021)</f>
        <v>174.42600000000002</v>
      </c>
      <c r="K11" s="36" t="s">
        <v>230</v>
      </c>
      <c r="L11" s="20">
        <v>68.98</v>
      </c>
      <c r="O11" s="36" t="s">
        <v>452</v>
      </c>
      <c r="P11" s="20">
        <v>244.79999999999998</v>
      </c>
      <c r="R11" t="s">
        <v>1042</v>
      </c>
    </row>
    <row r="12" spans="1:20" x14ac:dyDescent="0.25">
      <c r="A12" s="30" t="str">
        <v>Cyprus</v>
      </c>
      <c r="B12" s="40">
        <f>SUMIF(Sheet2!$O$2:$O$1021,A12,Sheet2!$P$2:$P1031)</f>
        <v>27.6</v>
      </c>
      <c r="D12" s="30" t="str">
        <v>Cyprus</v>
      </c>
      <c r="E12" s="31">
        <f>COUNTIF(Sheet2!$O$2:$O$1021,D12)</f>
        <v>2</v>
      </c>
      <c r="G12" s="30" t="str">
        <v>Cyprus</v>
      </c>
      <c r="H12" s="40">
        <f>AVERAGEIF(Sheet2!$O$2:$O$1021,G12,Sheet2!$P$2:$P$1021)</f>
        <v>13.8</v>
      </c>
      <c r="K12" s="36" t="s">
        <v>82</v>
      </c>
      <c r="L12" s="20">
        <v>64.5</v>
      </c>
      <c r="O12" s="36" t="s">
        <v>154</v>
      </c>
      <c r="P12" s="20">
        <v>240.9</v>
      </c>
    </row>
    <row r="13" spans="1:20" x14ac:dyDescent="0.25">
      <c r="A13" s="32" t="str">
        <v>USA</v>
      </c>
      <c r="B13" s="41">
        <f>SUMIF(Sheet2!$O$2:$O$1021,A13,Sheet2!$P$2:$P1032)</f>
        <v>11.8</v>
      </c>
      <c r="D13" s="32" t="str">
        <v>USA</v>
      </c>
      <c r="E13" s="33">
        <f>COUNTIF(Sheet2!$O$2:$O$1021,D13)</f>
        <v>1</v>
      </c>
      <c r="G13" s="32" t="str">
        <v>USA</v>
      </c>
      <c r="H13" s="41">
        <f>AVERAGEIF(Sheet2!$O$2:$O$1021,G13,Sheet2!$P$2:$P$1021)</f>
        <v>11.8</v>
      </c>
      <c r="K13" s="36" t="s">
        <v>339</v>
      </c>
      <c r="L13" s="20">
        <v>55.98</v>
      </c>
      <c r="O13" s="36" t="s">
        <v>164</v>
      </c>
      <c r="P13" s="20">
        <v>237.79999999999998</v>
      </c>
    </row>
    <row r="14" spans="1:20" x14ac:dyDescent="0.25">
      <c r="A14" s="30" t="str">
        <v>Channel Islands</v>
      </c>
      <c r="B14" s="40">
        <f>SUMIF(Sheet2!$O$2:$O$1021,A14,Sheet2!$P$2:$P1033)</f>
        <v>68.98</v>
      </c>
      <c r="D14" s="30" t="str">
        <v>Channel Islands</v>
      </c>
      <c r="E14" s="31">
        <f>COUNTIF(Sheet2!$O$2:$O$1021,D14)</f>
        <v>4</v>
      </c>
      <c r="G14" s="30" t="str">
        <v>Channel Islands</v>
      </c>
      <c r="H14" s="40">
        <f>AVERAGEIF(Sheet2!$O$2:$O$1021,G14,Sheet2!$P$2:$P$1021)</f>
        <v>17.245000000000001</v>
      </c>
      <c r="K14" s="36" t="s">
        <v>343</v>
      </c>
      <c r="L14" s="20">
        <v>45.6</v>
      </c>
      <c r="O14" s="36" t="s">
        <v>907</v>
      </c>
      <c r="P14" s="20">
        <v>204</v>
      </c>
    </row>
    <row r="15" spans="1:20" x14ac:dyDescent="0.25">
      <c r="A15" s="32" t="str">
        <v>Portugal</v>
      </c>
      <c r="B15" s="41">
        <f>SUMIF(Sheet2!$O$2:$O$1021,A15,Sheet2!$P$2:$P1034)</f>
        <v>226.60000000000002</v>
      </c>
      <c r="D15" s="32" t="str">
        <v>Portugal</v>
      </c>
      <c r="E15" s="33">
        <f>COUNTIF(Sheet2!$O$2:$O$1021,D15)</f>
        <v>6</v>
      </c>
      <c r="G15" s="32" t="str">
        <v>Portugal</v>
      </c>
      <c r="H15" s="41">
        <f>AVERAGEIF(Sheet2!$O$2:$O$1021,G15,Sheet2!$P$2:$P$1021)</f>
        <v>37.766666666666673</v>
      </c>
      <c r="K15" s="36" t="s">
        <v>568</v>
      </c>
      <c r="L15" s="20">
        <v>32.700000000000003</v>
      </c>
      <c r="O15" s="36" t="s">
        <v>442</v>
      </c>
      <c r="P15" s="20">
        <v>204</v>
      </c>
    </row>
    <row r="16" spans="1:20" x14ac:dyDescent="0.25">
      <c r="A16" s="30" t="str">
        <v>Japan</v>
      </c>
      <c r="B16" s="40">
        <f>SUMIF(Sheet2!$O$2:$O$1021,A16,Sheet2!$P$2:$P1035)</f>
        <v>127.49999999999999</v>
      </c>
      <c r="D16" s="30" t="str">
        <v>Japan</v>
      </c>
      <c r="E16" s="31">
        <f>COUNTIF(Sheet2!$O$2:$O$1021,D16)</f>
        <v>1</v>
      </c>
      <c r="G16" s="30" t="str">
        <v>Japan</v>
      </c>
      <c r="H16" s="40">
        <f>AVERAGEIF(Sheet2!$O$2:$O$1021,G16,Sheet2!$P$2:$P$1021)</f>
        <v>127.49999999999999</v>
      </c>
      <c r="K16" s="36" t="s">
        <v>106</v>
      </c>
      <c r="L16" s="20">
        <v>29.6</v>
      </c>
      <c r="O16" s="36" t="s">
        <v>487</v>
      </c>
      <c r="P16" s="20">
        <v>201.3</v>
      </c>
    </row>
    <row r="17" spans="1:16" x14ac:dyDescent="0.25">
      <c r="A17" s="32" t="str">
        <v>Austria</v>
      </c>
      <c r="B17" s="41">
        <f>SUMIF(Sheet2!$O$2:$O$1021,A17,Sheet2!$P$2:$P1036)</f>
        <v>13.2</v>
      </c>
      <c r="D17" s="32" t="str">
        <v>Austria</v>
      </c>
      <c r="E17" s="33">
        <f>COUNTIF(Sheet2!$O$2:$O$1021,D17)</f>
        <v>1</v>
      </c>
      <c r="G17" s="32" t="str">
        <v>Austria</v>
      </c>
      <c r="H17" s="41">
        <f>AVERAGEIF(Sheet2!$O$2:$O$1021,G17,Sheet2!$P$2:$P$1021)</f>
        <v>13.2</v>
      </c>
      <c r="K17" s="36" t="s">
        <v>160</v>
      </c>
      <c r="L17" s="20">
        <v>27.6</v>
      </c>
      <c r="O17" s="36" t="s">
        <v>626</v>
      </c>
      <c r="P17" s="20">
        <v>199</v>
      </c>
    </row>
    <row r="18" spans="1:16" x14ac:dyDescent="0.25">
      <c r="A18" s="30" t="str">
        <v>Greece</v>
      </c>
      <c r="B18" s="40">
        <f>SUMIF(Sheet2!$O$2:$O$1021,A18,Sheet2!$P$2:$P1037)</f>
        <v>55.98</v>
      </c>
      <c r="D18" s="30" t="str">
        <v>Greece</v>
      </c>
      <c r="E18" s="31">
        <f>COUNTIF(Sheet2!$O$2:$O$1021,D18)</f>
        <v>3</v>
      </c>
      <c r="G18" s="30" t="str">
        <v>Greece</v>
      </c>
      <c r="H18" s="40">
        <f>AVERAGEIF(Sheet2!$O$2:$O$1021,G18,Sheet2!$P$2:$P$1021)</f>
        <v>18.66</v>
      </c>
      <c r="K18" s="36" t="s">
        <v>111</v>
      </c>
      <c r="L18" s="20">
        <v>19.799999999999997</v>
      </c>
      <c r="O18" s="36" t="s">
        <v>25</v>
      </c>
      <c r="P18" s="20">
        <v>191.25</v>
      </c>
    </row>
    <row r="19" spans="1:16" x14ac:dyDescent="0.25">
      <c r="A19" s="32" t="str">
        <v>Switzerland</v>
      </c>
      <c r="B19" s="41">
        <f>SUMIF(Sheet2!$O$2:$O$1021,A19,Sheet2!$P$2:$P1038)</f>
        <v>45.6</v>
      </c>
      <c r="D19" s="32" t="str">
        <v>Switzerland</v>
      </c>
      <c r="E19" s="33">
        <f>COUNTIF(Sheet2!$O$2:$O$1021,D19)</f>
        <v>2</v>
      </c>
      <c r="G19" s="32" t="str">
        <v>Switzerland</v>
      </c>
      <c r="H19" s="41">
        <f>AVERAGEIF(Sheet2!$O$2:$O$1021,G19,Sheet2!$P$2:$P$1021)</f>
        <v>22.8</v>
      </c>
      <c r="K19" s="36" t="s">
        <v>43</v>
      </c>
      <c r="L19" s="20">
        <v>15</v>
      </c>
      <c r="O19" s="36" t="s">
        <v>524</v>
      </c>
      <c r="P19" s="20">
        <v>187</v>
      </c>
    </row>
    <row r="20" spans="1:16" x14ac:dyDescent="0.25">
      <c r="A20" s="30" t="str">
        <v>Sweden</v>
      </c>
      <c r="B20" s="40">
        <f>SUMIF(Sheet2!$O$2:$O$1021,A20,Sheet2!$P$2:$P1039)</f>
        <v>155.64000000000001</v>
      </c>
      <c r="D20" s="30" t="str">
        <v>Sweden</v>
      </c>
      <c r="E20" s="31">
        <f>COUNTIF(Sheet2!$O$2:$O$1021,D20)</f>
        <v>2</v>
      </c>
      <c r="G20" s="30" t="str">
        <v>Sweden</v>
      </c>
      <c r="H20" s="40">
        <f>AVERAGEIF(Sheet2!$O$2:$O$1021,G20,Sheet2!$P$2:$P$1021)</f>
        <v>77.820000000000007</v>
      </c>
      <c r="K20" s="36" t="s">
        <v>880</v>
      </c>
      <c r="L20" s="20">
        <v>15</v>
      </c>
      <c r="O20" s="36" t="s">
        <v>458</v>
      </c>
      <c r="P20" s="20">
        <v>184.5</v>
      </c>
    </row>
    <row r="21" spans="1:16" x14ac:dyDescent="0.25">
      <c r="A21" s="32" t="str">
        <v>Spain</v>
      </c>
      <c r="B21" s="41">
        <f>SUMIF(Sheet2!$O$2:$O$1021,A21,Sheet2!$P$2:$P1040)</f>
        <v>32.700000000000003</v>
      </c>
      <c r="D21" s="32" t="str">
        <v>Spain</v>
      </c>
      <c r="E21" s="33">
        <f>COUNTIF(Sheet2!$O$2:$O$1021,D21)</f>
        <v>2</v>
      </c>
      <c r="G21" s="32" t="str">
        <v>Spain</v>
      </c>
      <c r="H21" s="41">
        <f>AVERAGEIF(Sheet2!$O$2:$O$1021,G21,Sheet2!$P$2:$P$1021)</f>
        <v>16.350000000000001</v>
      </c>
      <c r="K21" s="36" t="s">
        <v>328</v>
      </c>
      <c r="L21" s="20">
        <v>13.2</v>
      </c>
      <c r="O21" s="36" t="s">
        <v>244</v>
      </c>
      <c r="P21" s="20">
        <v>177.60000000000002</v>
      </c>
    </row>
    <row r="22" spans="1:16" x14ac:dyDescent="0.25">
      <c r="A22" s="30" t="str">
        <v>Unspecified</v>
      </c>
      <c r="B22" s="40">
        <f>SUMIF(Sheet2!$O$2:$O$1021,A22,Sheet2!$P$2:$P1041)</f>
        <v>4.25</v>
      </c>
      <c r="D22" s="30" t="str">
        <v>Unspecified</v>
      </c>
      <c r="E22" s="31">
        <f>COUNTIF(Sheet2!$O$2:$O$1021,D22)</f>
        <v>1</v>
      </c>
      <c r="G22" s="30" t="str">
        <v>Unspecified</v>
      </c>
      <c r="H22" s="40">
        <f>AVERAGEIF(Sheet2!$O$2:$O$1021,G22,Sheet2!$P$2:$P$1021)</f>
        <v>4.25</v>
      </c>
      <c r="K22" s="36" t="s">
        <v>217</v>
      </c>
      <c r="L22" s="20">
        <v>11.8</v>
      </c>
      <c r="O22" s="36" t="s">
        <v>135</v>
      </c>
      <c r="P22" s="20">
        <v>173.25</v>
      </c>
    </row>
    <row r="23" spans="1:16" x14ac:dyDescent="0.25">
      <c r="A23" s="28" t="str">
        <v>Finland</v>
      </c>
      <c r="B23" s="42">
        <f>SUMIF(Sheet2!$O$2:$O$1021,A23,Sheet2!$P$2:$P1042)</f>
        <v>15</v>
      </c>
      <c r="D23" s="28" t="str">
        <v>Finland</v>
      </c>
      <c r="E23" s="29">
        <f>COUNTIF(Sheet2!$O$2:$O$1021,D23)</f>
        <v>1</v>
      </c>
      <c r="G23" s="28" t="str">
        <v>Finland</v>
      </c>
      <c r="H23" s="42">
        <f>AVERAGEIF(Sheet2!$O$2:$O$1021,G23,Sheet2!$P$2:$P$1021)</f>
        <v>15</v>
      </c>
      <c r="K23" s="36" t="s">
        <v>609</v>
      </c>
      <c r="L23" s="20">
        <v>4.25</v>
      </c>
      <c r="O23" s="36" t="s">
        <v>792</v>
      </c>
      <c r="P23" s="20">
        <v>169</v>
      </c>
    </row>
    <row r="24" spans="1:16" x14ac:dyDescent="0.25">
      <c r="K24" s="36" t="s">
        <v>1031</v>
      </c>
      <c r="L24" s="20">
        <v>24586.40000000002</v>
      </c>
      <c r="O24" s="36" t="s">
        <v>974</v>
      </c>
      <c r="P24" s="20">
        <v>168</v>
      </c>
    </row>
    <row r="25" spans="1:16" x14ac:dyDescent="0.25">
      <c r="O25" s="36" t="s">
        <v>800</v>
      </c>
      <c r="P25" s="20">
        <v>166.8</v>
      </c>
    </row>
    <row r="26" spans="1:16" x14ac:dyDescent="0.25">
      <c r="O26" s="36" t="s">
        <v>369</v>
      </c>
      <c r="P26" s="20">
        <v>165</v>
      </c>
    </row>
    <row r="27" spans="1:16" x14ac:dyDescent="0.25">
      <c r="A27" s="21" t="s">
        <v>1036</v>
      </c>
      <c r="B27" s="20" t="s">
        <v>9</v>
      </c>
      <c r="D27" s="21" t="s">
        <v>1035</v>
      </c>
      <c r="E27" t="s">
        <v>9</v>
      </c>
      <c r="G27" s="21" t="s">
        <v>1037</v>
      </c>
      <c r="H27" s="20" t="s">
        <v>1038</v>
      </c>
      <c r="K27" s="37" t="s">
        <v>1039</v>
      </c>
      <c r="O27" s="36" t="s">
        <v>346</v>
      </c>
      <c r="P27" s="20">
        <v>155.14000000000001</v>
      </c>
    </row>
    <row r="28" spans="1:16" x14ac:dyDescent="0.25">
      <c r="K28" s="36" t="s">
        <v>9</v>
      </c>
      <c r="O28" s="36" t="s">
        <v>964</v>
      </c>
      <c r="P28" s="20">
        <v>151.20000000000002</v>
      </c>
    </row>
    <row r="29" spans="1:16" x14ac:dyDescent="0.25">
      <c r="K29" s="36" t="s">
        <v>11</v>
      </c>
      <c r="O29" s="36" t="s">
        <v>288</v>
      </c>
      <c r="P29" s="20">
        <v>150.5</v>
      </c>
    </row>
    <row r="30" spans="1:16" x14ac:dyDescent="0.25">
      <c r="K30" s="36" t="s">
        <v>1040</v>
      </c>
      <c r="O30" s="36" t="s">
        <v>515</v>
      </c>
      <c r="P30" s="20">
        <v>139.80000000000001</v>
      </c>
    </row>
    <row r="31" spans="1:16" x14ac:dyDescent="0.25">
      <c r="K31" s="36" t="s">
        <v>116</v>
      </c>
      <c r="O31" s="36" t="s">
        <v>853</v>
      </c>
      <c r="P31" s="20">
        <v>139.19999999999999</v>
      </c>
    </row>
    <row r="32" spans="1:16" x14ac:dyDescent="0.25">
      <c r="K32" s="36" t="s">
        <v>1041</v>
      </c>
      <c r="O32" s="36" t="s">
        <v>570</v>
      </c>
      <c r="P32" s="20">
        <v>139.19999999999999</v>
      </c>
    </row>
    <row r="33" spans="11:16" x14ac:dyDescent="0.25">
      <c r="K33" s="36" t="s">
        <v>17</v>
      </c>
      <c r="O33" s="36" t="s">
        <v>478</v>
      </c>
      <c r="P33" s="20">
        <v>138.30000000000001</v>
      </c>
    </row>
    <row r="34" spans="11:16" x14ac:dyDescent="0.25">
      <c r="O34" s="36" t="s">
        <v>970</v>
      </c>
      <c r="P34" s="20">
        <v>138.24</v>
      </c>
    </row>
    <row r="35" spans="11:16" x14ac:dyDescent="0.25">
      <c r="O35" s="36" t="s">
        <v>143</v>
      </c>
      <c r="P35" s="20">
        <v>136.89000000000001</v>
      </c>
    </row>
    <row r="36" spans="11:16" x14ac:dyDescent="0.25">
      <c r="O36" s="36" t="s">
        <v>137</v>
      </c>
      <c r="P36" s="20">
        <v>132.6</v>
      </c>
    </row>
    <row r="37" spans="11:16" x14ac:dyDescent="0.25">
      <c r="O37" s="36" t="s">
        <v>39</v>
      </c>
      <c r="P37" s="20">
        <v>130.80000000000001</v>
      </c>
    </row>
    <row r="38" spans="11:16" x14ac:dyDescent="0.25">
      <c r="O38" s="36" t="s">
        <v>55</v>
      </c>
      <c r="P38" s="20">
        <v>130.19999999999999</v>
      </c>
    </row>
    <row r="39" spans="11:16" x14ac:dyDescent="0.25">
      <c r="O39" s="36" t="s">
        <v>499</v>
      </c>
      <c r="P39" s="20">
        <v>127.5</v>
      </c>
    </row>
    <row r="40" spans="11:16" x14ac:dyDescent="0.25">
      <c r="O40" s="36" t="s">
        <v>313</v>
      </c>
      <c r="P40" s="20">
        <v>127.49999999999999</v>
      </c>
    </row>
    <row r="41" spans="11:16" x14ac:dyDescent="0.25">
      <c r="O41" s="36" t="s">
        <v>479</v>
      </c>
      <c r="P41" s="20">
        <v>127.2</v>
      </c>
    </row>
    <row r="42" spans="11:16" x14ac:dyDescent="0.25">
      <c r="O42" s="36" t="s">
        <v>770</v>
      </c>
      <c r="P42" s="20">
        <v>122.39999999999999</v>
      </c>
    </row>
    <row r="43" spans="11:16" x14ac:dyDescent="0.25">
      <c r="O43" s="36" t="s">
        <v>118</v>
      </c>
      <c r="P43" s="20">
        <v>120.30000000000001</v>
      </c>
    </row>
    <row r="44" spans="11:16" x14ac:dyDescent="0.25">
      <c r="O44" s="36" t="s">
        <v>344</v>
      </c>
      <c r="P44" s="20">
        <v>119</v>
      </c>
    </row>
    <row r="45" spans="11:16" x14ac:dyDescent="0.25">
      <c r="O45" s="36" t="s">
        <v>297</v>
      </c>
      <c r="P45" s="20">
        <v>115.2</v>
      </c>
    </row>
    <row r="46" spans="11:16" x14ac:dyDescent="0.25">
      <c r="O46" s="36" t="s">
        <v>20</v>
      </c>
      <c r="P46" s="20">
        <v>107.9</v>
      </c>
    </row>
    <row r="47" spans="11:16" x14ac:dyDescent="0.25">
      <c r="O47" s="36" t="s">
        <v>168</v>
      </c>
      <c r="P47" s="20">
        <v>105</v>
      </c>
    </row>
    <row r="48" spans="11:16" x14ac:dyDescent="0.25">
      <c r="O48" s="36" t="s">
        <v>278</v>
      </c>
      <c r="P48" s="20">
        <v>103.35</v>
      </c>
    </row>
    <row r="49" spans="15:16" x14ac:dyDescent="0.25">
      <c r="O49" s="36" t="s">
        <v>845</v>
      </c>
      <c r="P49" s="20">
        <v>102</v>
      </c>
    </row>
    <row r="50" spans="15:16" x14ac:dyDescent="0.25">
      <c r="O50" s="36" t="s">
        <v>434</v>
      </c>
      <c r="P50" s="20">
        <v>97.5</v>
      </c>
    </row>
    <row r="51" spans="15:16" x14ac:dyDescent="0.25">
      <c r="O51" s="36" t="s">
        <v>221</v>
      </c>
      <c r="P51" s="20">
        <v>93.600000000000009</v>
      </c>
    </row>
    <row r="52" spans="15:16" x14ac:dyDescent="0.25">
      <c r="O52" s="36" t="s">
        <v>240</v>
      </c>
      <c r="P52" s="20">
        <v>91.2</v>
      </c>
    </row>
    <row r="53" spans="15:16" x14ac:dyDescent="0.25">
      <c r="O53" s="36" t="s">
        <v>447</v>
      </c>
      <c r="P53" s="20">
        <v>90</v>
      </c>
    </row>
    <row r="54" spans="15:16" x14ac:dyDescent="0.25">
      <c r="O54" s="36" t="s">
        <v>501</v>
      </c>
      <c r="P54" s="20">
        <v>85</v>
      </c>
    </row>
    <row r="55" spans="15:16" x14ac:dyDescent="0.25">
      <c r="O55" s="36" t="s">
        <v>78</v>
      </c>
      <c r="P55" s="20">
        <v>84.55</v>
      </c>
    </row>
    <row r="56" spans="15:16" x14ac:dyDescent="0.25">
      <c r="O56" s="36" t="s">
        <v>103</v>
      </c>
      <c r="P56" s="20">
        <v>82.05</v>
      </c>
    </row>
    <row r="57" spans="15:16" x14ac:dyDescent="0.25">
      <c r="O57" s="36" t="s">
        <v>268</v>
      </c>
      <c r="P57" s="20">
        <v>81.900000000000006</v>
      </c>
    </row>
    <row r="58" spans="15:16" x14ac:dyDescent="0.25">
      <c r="O58" s="36" t="s">
        <v>178</v>
      </c>
      <c r="P58" s="20">
        <v>79.199999999999989</v>
      </c>
    </row>
    <row r="59" spans="15:16" x14ac:dyDescent="0.25">
      <c r="O59" s="36" t="s">
        <v>866</v>
      </c>
      <c r="P59" s="20">
        <v>79.199999999999989</v>
      </c>
    </row>
    <row r="60" spans="15:16" x14ac:dyDescent="0.25">
      <c r="O60" s="36" t="s">
        <v>253</v>
      </c>
      <c r="P60" s="20">
        <v>76.649999999999991</v>
      </c>
    </row>
    <row r="61" spans="15:16" x14ac:dyDescent="0.25">
      <c r="O61" s="36" t="s">
        <v>978</v>
      </c>
      <c r="P61" s="20">
        <v>75.95</v>
      </c>
    </row>
    <row r="62" spans="15:16" x14ac:dyDescent="0.25">
      <c r="O62" s="36" t="s">
        <v>498</v>
      </c>
      <c r="P62" s="20">
        <v>75.600000000000009</v>
      </c>
    </row>
    <row r="63" spans="15:16" x14ac:dyDescent="0.25">
      <c r="O63" s="36" t="s">
        <v>193</v>
      </c>
      <c r="P63" s="20">
        <v>75</v>
      </c>
    </row>
    <row r="64" spans="15:16" x14ac:dyDescent="0.25">
      <c r="O64" s="36" t="s">
        <v>538</v>
      </c>
      <c r="P64" s="20">
        <v>73.750000000000014</v>
      </c>
    </row>
    <row r="65" spans="15:16" x14ac:dyDescent="0.25">
      <c r="O65" s="36" t="s">
        <v>658</v>
      </c>
      <c r="P65" s="20">
        <v>72.5</v>
      </c>
    </row>
    <row r="66" spans="15:16" x14ac:dyDescent="0.25">
      <c r="O66" s="36" t="s">
        <v>416</v>
      </c>
      <c r="P66" s="20">
        <v>70.97999999999999</v>
      </c>
    </row>
    <row r="67" spans="15:16" x14ac:dyDescent="0.25">
      <c r="O67" s="36" t="s">
        <v>592</v>
      </c>
      <c r="P67" s="20">
        <v>67.5</v>
      </c>
    </row>
    <row r="68" spans="15:16" x14ac:dyDescent="0.25">
      <c r="O68" s="36" t="s">
        <v>653</v>
      </c>
      <c r="P68" s="20">
        <v>67.5</v>
      </c>
    </row>
    <row r="69" spans="15:16" x14ac:dyDescent="0.25">
      <c r="O69" s="36" t="s">
        <v>26</v>
      </c>
      <c r="P69" s="20">
        <v>66.600000000000009</v>
      </c>
    </row>
    <row r="70" spans="15:16" x14ac:dyDescent="0.25">
      <c r="O70" s="36" t="s">
        <v>360</v>
      </c>
      <c r="P70" s="20">
        <v>65.45</v>
      </c>
    </row>
    <row r="71" spans="15:16" x14ac:dyDescent="0.25">
      <c r="O71" s="36" t="s">
        <v>581</v>
      </c>
      <c r="P71" s="20">
        <v>65</v>
      </c>
    </row>
    <row r="72" spans="15:16" x14ac:dyDescent="0.25">
      <c r="O72" s="36" t="s">
        <v>741</v>
      </c>
      <c r="P72" s="20">
        <v>62.4</v>
      </c>
    </row>
    <row r="73" spans="15:16" x14ac:dyDescent="0.25">
      <c r="O73" s="36" t="s">
        <v>200</v>
      </c>
      <c r="P73" s="20">
        <v>61.760000000000005</v>
      </c>
    </row>
    <row r="74" spans="15:16" x14ac:dyDescent="0.25">
      <c r="O74" s="36" t="s">
        <v>573</v>
      </c>
      <c r="P74" s="20">
        <v>61.199999999999996</v>
      </c>
    </row>
    <row r="75" spans="15:16" x14ac:dyDescent="0.25">
      <c r="O75" s="36" t="s">
        <v>96</v>
      </c>
      <c r="P75" s="20">
        <v>61.04999999999999</v>
      </c>
    </row>
    <row r="76" spans="15:16" x14ac:dyDescent="0.25">
      <c r="O76" s="36" t="s">
        <v>345</v>
      </c>
      <c r="P76" s="20">
        <v>60</v>
      </c>
    </row>
    <row r="77" spans="15:16" x14ac:dyDescent="0.25">
      <c r="O77" s="36" t="s">
        <v>294</v>
      </c>
      <c r="P77" s="20">
        <v>59.699999999999996</v>
      </c>
    </row>
    <row r="78" spans="15:16" x14ac:dyDescent="0.25">
      <c r="O78" s="36" t="s">
        <v>489</v>
      </c>
      <c r="P78" s="20">
        <v>59.5</v>
      </c>
    </row>
    <row r="79" spans="15:16" x14ac:dyDescent="0.25">
      <c r="O79" s="36" t="s">
        <v>151</v>
      </c>
      <c r="P79" s="20">
        <v>59.4</v>
      </c>
    </row>
    <row r="80" spans="15:16" x14ac:dyDescent="0.25">
      <c r="O80" s="36" t="s">
        <v>196</v>
      </c>
      <c r="P80" s="20">
        <v>59.399999999999991</v>
      </c>
    </row>
    <row r="81" spans="15:16" x14ac:dyDescent="0.25">
      <c r="O81" s="36" t="s">
        <v>259</v>
      </c>
      <c r="P81" s="20">
        <v>57.749999999999993</v>
      </c>
    </row>
    <row r="82" spans="15:16" x14ac:dyDescent="0.25">
      <c r="O82" s="36" t="s">
        <v>374</v>
      </c>
      <c r="P82" s="20">
        <v>57.149999999999991</v>
      </c>
    </row>
    <row r="83" spans="15:16" x14ac:dyDescent="0.25">
      <c r="O83" s="36" t="s">
        <v>784</v>
      </c>
      <c r="P83" s="20">
        <v>54.6</v>
      </c>
    </row>
    <row r="84" spans="15:16" x14ac:dyDescent="0.25">
      <c r="O84" s="36" t="s">
        <v>187</v>
      </c>
      <c r="P84" s="20">
        <v>54.6</v>
      </c>
    </row>
    <row r="85" spans="15:16" x14ac:dyDescent="0.25">
      <c r="O85" s="36" t="s">
        <v>89</v>
      </c>
      <c r="P85" s="20">
        <v>54.45</v>
      </c>
    </row>
    <row r="86" spans="15:16" x14ac:dyDescent="0.25">
      <c r="O86" s="36" t="s">
        <v>102</v>
      </c>
      <c r="P86" s="20">
        <v>53.100000000000009</v>
      </c>
    </row>
    <row r="87" spans="15:16" x14ac:dyDescent="0.25">
      <c r="O87" s="36" t="s">
        <v>24</v>
      </c>
      <c r="P87" s="20">
        <v>52.5</v>
      </c>
    </row>
    <row r="88" spans="15:16" x14ac:dyDescent="0.25">
      <c r="O88" s="36" t="s">
        <v>397</v>
      </c>
      <c r="P88" s="20">
        <v>52.199999999999996</v>
      </c>
    </row>
    <row r="89" spans="15:16" x14ac:dyDescent="0.25">
      <c r="O89" s="36" t="s">
        <v>849</v>
      </c>
      <c r="P89" s="20">
        <v>51</v>
      </c>
    </row>
    <row r="90" spans="15:16" x14ac:dyDescent="0.25">
      <c r="O90" s="36" t="s">
        <v>80</v>
      </c>
      <c r="P90" s="20">
        <v>51</v>
      </c>
    </row>
    <row r="91" spans="15:16" x14ac:dyDescent="0.25">
      <c r="O91" s="36" t="s">
        <v>630</v>
      </c>
      <c r="P91" s="20">
        <v>50.95</v>
      </c>
    </row>
    <row r="92" spans="15:16" x14ac:dyDescent="0.25">
      <c r="O92" s="36" t="s">
        <v>507</v>
      </c>
      <c r="P92" s="20">
        <v>50.849999999999994</v>
      </c>
    </row>
    <row r="93" spans="15:16" x14ac:dyDescent="0.25">
      <c r="O93" s="36" t="s">
        <v>426</v>
      </c>
      <c r="P93" s="20">
        <v>50.400000000000006</v>
      </c>
    </row>
    <row r="94" spans="15:16" x14ac:dyDescent="0.25">
      <c r="O94" s="36" t="s">
        <v>878</v>
      </c>
      <c r="P94" s="20">
        <v>50</v>
      </c>
    </row>
    <row r="95" spans="15:16" x14ac:dyDescent="0.25">
      <c r="O95" s="36" t="s">
        <v>234</v>
      </c>
      <c r="P95" s="20">
        <v>49.95</v>
      </c>
    </row>
    <row r="96" spans="15:16" x14ac:dyDescent="0.25">
      <c r="O96" s="36" t="s">
        <v>473</v>
      </c>
      <c r="P96" s="20">
        <v>49.75</v>
      </c>
    </row>
    <row r="97" spans="15:16" x14ac:dyDescent="0.25">
      <c r="O97" s="36" t="s">
        <v>347</v>
      </c>
      <c r="P97" s="20">
        <v>48.75</v>
      </c>
    </row>
    <row r="98" spans="15:16" x14ac:dyDescent="0.25">
      <c r="O98" s="36" t="s">
        <v>752</v>
      </c>
      <c r="P98" s="20">
        <v>48.75</v>
      </c>
    </row>
    <row r="99" spans="15:16" x14ac:dyDescent="0.25">
      <c r="O99" s="36" t="s">
        <v>149</v>
      </c>
      <c r="P99" s="20">
        <v>48.75</v>
      </c>
    </row>
    <row r="100" spans="15:16" x14ac:dyDescent="0.25">
      <c r="O100" s="36" t="s">
        <v>146</v>
      </c>
      <c r="P100" s="20">
        <v>48.75</v>
      </c>
    </row>
    <row r="101" spans="15:16" x14ac:dyDescent="0.25">
      <c r="O101" s="36" t="s">
        <v>421</v>
      </c>
      <c r="P101" s="20">
        <v>48.300000000000004</v>
      </c>
    </row>
    <row r="102" spans="15:16" x14ac:dyDescent="0.25">
      <c r="O102" s="36" t="s">
        <v>864</v>
      </c>
      <c r="P102" s="20">
        <v>47.7</v>
      </c>
    </row>
    <row r="103" spans="15:16" x14ac:dyDescent="0.25">
      <c r="O103" s="36" t="s">
        <v>351</v>
      </c>
      <c r="P103" s="20">
        <v>47.2</v>
      </c>
    </row>
    <row r="104" spans="15:16" x14ac:dyDescent="0.25">
      <c r="O104" s="36" t="s">
        <v>299</v>
      </c>
      <c r="P104" s="20">
        <v>47.2</v>
      </c>
    </row>
    <row r="105" spans="15:16" x14ac:dyDescent="0.25">
      <c r="O105" s="36" t="s">
        <v>296</v>
      </c>
      <c r="P105" s="20">
        <v>46.8</v>
      </c>
    </row>
    <row r="106" spans="15:16" x14ac:dyDescent="0.25">
      <c r="O106" s="36" t="s">
        <v>512</v>
      </c>
      <c r="P106" s="20">
        <v>45</v>
      </c>
    </row>
    <row r="107" spans="15:16" x14ac:dyDescent="0.25">
      <c r="O107" s="36" t="s">
        <v>15</v>
      </c>
      <c r="P107" s="20">
        <v>45</v>
      </c>
    </row>
    <row r="108" spans="15:16" x14ac:dyDescent="0.25">
      <c r="O108" s="36" t="s">
        <v>183</v>
      </c>
      <c r="P108" s="20">
        <v>44.94</v>
      </c>
    </row>
    <row r="109" spans="15:16" x14ac:dyDescent="0.25">
      <c r="O109" s="36" t="s">
        <v>199</v>
      </c>
      <c r="P109" s="20">
        <v>44.550000000000004</v>
      </c>
    </row>
    <row r="110" spans="15:16" x14ac:dyDescent="0.25">
      <c r="O110" s="36" t="s">
        <v>661</v>
      </c>
      <c r="P110" s="20">
        <v>44.550000000000004</v>
      </c>
    </row>
    <row r="111" spans="15:16" x14ac:dyDescent="0.25">
      <c r="O111" s="36" t="s">
        <v>210</v>
      </c>
      <c r="P111" s="20">
        <v>43.45</v>
      </c>
    </row>
    <row r="112" spans="15:16" x14ac:dyDescent="0.25">
      <c r="O112" s="36" t="s">
        <v>418</v>
      </c>
      <c r="P112" s="20">
        <v>42.5</v>
      </c>
    </row>
    <row r="113" spans="15:16" x14ac:dyDescent="0.25">
      <c r="O113" s="36" t="s">
        <v>493</v>
      </c>
      <c r="P113" s="20">
        <v>42.5</v>
      </c>
    </row>
    <row r="114" spans="15:16" x14ac:dyDescent="0.25">
      <c r="O114" s="36" t="s">
        <v>81</v>
      </c>
      <c r="P114" s="20">
        <v>42</v>
      </c>
    </row>
    <row r="115" spans="15:16" x14ac:dyDescent="0.25">
      <c r="O115" s="36" t="s">
        <v>155</v>
      </c>
      <c r="P115" s="20">
        <v>40.799999999999997</v>
      </c>
    </row>
    <row r="116" spans="15:16" x14ac:dyDescent="0.25">
      <c r="O116" s="36" t="s">
        <v>184</v>
      </c>
      <c r="P116" s="20">
        <v>40.799999999999997</v>
      </c>
    </row>
    <row r="117" spans="15:16" x14ac:dyDescent="0.25">
      <c r="O117" s="36" t="s">
        <v>578</v>
      </c>
      <c r="P117" s="20">
        <v>40.799999999999997</v>
      </c>
    </row>
    <row r="118" spans="15:16" x14ac:dyDescent="0.25">
      <c r="O118" s="36" t="s">
        <v>615</v>
      </c>
      <c r="P118" s="20">
        <v>40.56</v>
      </c>
    </row>
    <row r="119" spans="15:16" x14ac:dyDescent="0.25">
      <c r="O119" s="36" t="s">
        <v>645</v>
      </c>
      <c r="P119" s="20">
        <v>40.5</v>
      </c>
    </row>
    <row r="120" spans="15:16" x14ac:dyDescent="0.25">
      <c r="O120" s="36" t="s">
        <v>283</v>
      </c>
      <c r="P120" s="20">
        <v>40.32</v>
      </c>
    </row>
    <row r="121" spans="15:16" x14ac:dyDescent="0.25">
      <c r="O121" s="36" t="s">
        <v>453</v>
      </c>
      <c r="P121" s="20">
        <v>39.9</v>
      </c>
    </row>
    <row r="122" spans="15:16" x14ac:dyDescent="0.25">
      <c r="O122" s="36" t="s">
        <v>943</v>
      </c>
      <c r="P122" s="20">
        <v>39.9</v>
      </c>
    </row>
    <row r="123" spans="15:16" x14ac:dyDescent="0.25">
      <c r="O123" s="36" t="s">
        <v>364</v>
      </c>
      <c r="P123" s="20">
        <v>39.799999999999997</v>
      </c>
    </row>
    <row r="124" spans="15:16" x14ac:dyDescent="0.25">
      <c r="O124" s="36" t="s">
        <v>242</v>
      </c>
      <c r="P124" s="20">
        <v>39.799999999999997</v>
      </c>
    </row>
    <row r="125" spans="15:16" x14ac:dyDescent="0.25">
      <c r="O125" s="36" t="s">
        <v>58</v>
      </c>
      <c r="P125" s="20">
        <v>39</v>
      </c>
    </row>
    <row r="126" spans="15:16" x14ac:dyDescent="0.25">
      <c r="O126" s="36" t="s">
        <v>67</v>
      </c>
      <c r="P126" s="20">
        <v>39</v>
      </c>
    </row>
    <row r="127" spans="15:16" x14ac:dyDescent="0.25">
      <c r="O127" s="36" t="s">
        <v>471</v>
      </c>
      <c r="P127" s="20">
        <v>39</v>
      </c>
    </row>
    <row r="128" spans="15:16" x14ac:dyDescent="0.25">
      <c r="O128" s="36" t="s">
        <v>595</v>
      </c>
      <c r="P128" s="20">
        <v>39</v>
      </c>
    </row>
    <row r="129" spans="15:16" x14ac:dyDescent="0.25">
      <c r="O129" s="36" t="s">
        <v>311</v>
      </c>
      <c r="P129" s="20">
        <v>38.35</v>
      </c>
    </row>
    <row r="130" spans="15:16" x14ac:dyDescent="0.25">
      <c r="O130" s="36" t="s">
        <v>525</v>
      </c>
      <c r="P130" s="20">
        <v>38.25</v>
      </c>
    </row>
    <row r="131" spans="15:16" x14ac:dyDescent="0.25">
      <c r="O131" s="36" t="s">
        <v>641</v>
      </c>
      <c r="P131" s="20">
        <v>38.200000000000003</v>
      </c>
    </row>
    <row r="132" spans="15:16" x14ac:dyDescent="0.25">
      <c r="O132" s="36" t="s">
        <v>336</v>
      </c>
      <c r="P132" s="20">
        <v>38.099999999999994</v>
      </c>
    </row>
    <row r="133" spans="15:16" x14ac:dyDescent="0.25">
      <c r="O133" s="36" t="s">
        <v>429</v>
      </c>
      <c r="P133" s="20">
        <v>37.800000000000004</v>
      </c>
    </row>
    <row r="134" spans="15:16" x14ac:dyDescent="0.25">
      <c r="O134" s="36" t="s">
        <v>222</v>
      </c>
      <c r="P134" s="20">
        <v>37.25</v>
      </c>
    </row>
    <row r="135" spans="15:16" x14ac:dyDescent="0.25">
      <c r="O135" s="36" t="s">
        <v>787</v>
      </c>
      <c r="P135" s="20">
        <v>36</v>
      </c>
    </row>
    <row r="136" spans="15:16" x14ac:dyDescent="0.25">
      <c r="O136" s="36" t="s">
        <v>847</v>
      </c>
      <c r="P136" s="20">
        <v>35.799999999999997</v>
      </c>
    </row>
    <row r="137" spans="15:16" x14ac:dyDescent="0.25">
      <c r="O137" s="36" t="s">
        <v>419</v>
      </c>
      <c r="P137" s="20">
        <v>35.799999999999997</v>
      </c>
    </row>
    <row r="138" spans="15:16" x14ac:dyDescent="0.25">
      <c r="O138" s="36" t="s">
        <v>905</v>
      </c>
      <c r="P138" s="20">
        <v>35.700000000000003</v>
      </c>
    </row>
    <row r="139" spans="15:16" x14ac:dyDescent="0.25">
      <c r="O139" s="36" t="s">
        <v>600</v>
      </c>
      <c r="P139" s="20">
        <v>35.700000000000003</v>
      </c>
    </row>
    <row r="140" spans="15:16" x14ac:dyDescent="0.25">
      <c r="O140" s="36" t="s">
        <v>36</v>
      </c>
      <c r="P140" s="20">
        <v>35.400000000000006</v>
      </c>
    </row>
    <row r="141" spans="15:16" x14ac:dyDescent="0.25">
      <c r="O141" s="36" t="s">
        <v>813</v>
      </c>
      <c r="P141" s="20">
        <v>35.400000000000006</v>
      </c>
    </row>
    <row r="142" spans="15:16" x14ac:dyDescent="0.25">
      <c r="O142" s="36" t="s">
        <v>948</v>
      </c>
      <c r="P142" s="20">
        <v>35.400000000000006</v>
      </c>
    </row>
    <row r="143" spans="15:16" x14ac:dyDescent="0.25">
      <c r="O143" s="36" t="s">
        <v>650</v>
      </c>
      <c r="P143" s="20">
        <v>35.400000000000006</v>
      </c>
    </row>
    <row r="144" spans="15:16" x14ac:dyDescent="0.25">
      <c r="O144" s="36" t="s">
        <v>591</v>
      </c>
      <c r="P144" s="20">
        <v>35.400000000000006</v>
      </c>
    </row>
    <row r="145" spans="15:16" x14ac:dyDescent="0.25">
      <c r="O145" s="36" t="s">
        <v>88</v>
      </c>
      <c r="P145" s="20">
        <v>35.1</v>
      </c>
    </row>
    <row r="146" spans="15:16" x14ac:dyDescent="0.25">
      <c r="O146" s="36" t="s">
        <v>496</v>
      </c>
      <c r="P146" s="20">
        <v>34.799999999999997</v>
      </c>
    </row>
    <row r="147" spans="15:16" x14ac:dyDescent="0.25">
      <c r="O147" s="36" t="s">
        <v>461</v>
      </c>
      <c r="P147" s="20">
        <v>34.799999999999997</v>
      </c>
    </row>
    <row r="148" spans="15:16" x14ac:dyDescent="0.25">
      <c r="O148" s="36" t="s">
        <v>79</v>
      </c>
      <c r="P148" s="20">
        <v>34</v>
      </c>
    </row>
    <row r="149" spans="15:16" x14ac:dyDescent="0.25">
      <c r="O149" s="36" t="s">
        <v>662</v>
      </c>
      <c r="P149" s="20">
        <v>33.849999999999994</v>
      </c>
    </row>
    <row r="150" spans="15:16" x14ac:dyDescent="0.25">
      <c r="O150" s="36" t="s">
        <v>793</v>
      </c>
      <c r="P150" s="20">
        <v>33.75</v>
      </c>
    </row>
    <row r="151" spans="15:16" x14ac:dyDescent="0.25">
      <c r="O151" s="36" t="s">
        <v>821</v>
      </c>
      <c r="P151" s="20">
        <v>33.75</v>
      </c>
    </row>
    <row r="152" spans="15:16" x14ac:dyDescent="0.25">
      <c r="O152" s="36" t="s">
        <v>474</v>
      </c>
      <c r="P152" s="20">
        <v>33</v>
      </c>
    </row>
    <row r="153" spans="15:16" x14ac:dyDescent="0.25">
      <c r="O153" s="36" t="s">
        <v>84</v>
      </c>
      <c r="P153" s="20">
        <v>32.75</v>
      </c>
    </row>
    <row r="154" spans="15:16" x14ac:dyDescent="0.25">
      <c r="O154" s="36" t="s">
        <v>767</v>
      </c>
      <c r="P154" s="20">
        <v>32.25</v>
      </c>
    </row>
    <row r="155" spans="15:16" x14ac:dyDescent="0.25">
      <c r="O155" s="36" t="s">
        <v>543</v>
      </c>
      <c r="P155" s="20">
        <v>31.8</v>
      </c>
    </row>
    <row r="156" spans="15:16" x14ac:dyDescent="0.25">
      <c r="O156" s="36" t="s">
        <v>134</v>
      </c>
      <c r="P156" s="20">
        <v>31.8</v>
      </c>
    </row>
    <row r="157" spans="15:16" x14ac:dyDescent="0.25">
      <c r="O157" s="36" t="s">
        <v>760</v>
      </c>
      <c r="P157" s="20">
        <v>31.8</v>
      </c>
    </row>
    <row r="158" spans="15:16" x14ac:dyDescent="0.25">
      <c r="O158" s="36" t="s">
        <v>505</v>
      </c>
      <c r="P158" s="20">
        <v>31.6</v>
      </c>
    </row>
    <row r="159" spans="15:16" x14ac:dyDescent="0.25">
      <c r="O159" s="36" t="s">
        <v>86</v>
      </c>
      <c r="P159" s="20">
        <v>31.25</v>
      </c>
    </row>
    <row r="160" spans="15:16" x14ac:dyDescent="0.25">
      <c r="O160" s="36" t="s">
        <v>942</v>
      </c>
      <c r="P160" s="20">
        <v>30.599999999999998</v>
      </c>
    </row>
    <row r="161" spans="15:16" x14ac:dyDescent="0.25">
      <c r="O161" s="36" t="s">
        <v>403</v>
      </c>
      <c r="P161" s="20">
        <v>30.599999999999998</v>
      </c>
    </row>
    <row r="162" spans="15:16" x14ac:dyDescent="0.25">
      <c r="O162" s="36" t="s">
        <v>822</v>
      </c>
      <c r="P162" s="20">
        <v>30.599999999999998</v>
      </c>
    </row>
    <row r="163" spans="15:16" x14ac:dyDescent="0.25">
      <c r="O163" s="36" t="s">
        <v>191</v>
      </c>
      <c r="P163" s="20">
        <v>30.599999999999998</v>
      </c>
    </row>
    <row r="164" spans="15:16" x14ac:dyDescent="0.25">
      <c r="O164" s="36" t="s">
        <v>488</v>
      </c>
      <c r="P164" s="20">
        <v>30.599999999999998</v>
      </c>
    </row>
    <row r="165" spans="15:16" x14ac:dyDescent="0.25">
      <c r="O165" s="36" t="s">
        <v>173</v>
      </c>
      <c r="P165" s="20">
        <v>30.599999999999998</v>
      </c>
    </row>
    <row r="166" spans="15:16" x14ac:dyDescent="0.25">
      <c r="O166" s="36" t="s">
        <v>239</v>
      </c>
      <c r="P166" s="20">
        <v>30.599999999999998</v>
      </c>
    </row>
    <row r="167" spans="15:16" x14ac:dyDescent="0.25">
      <c r="O167" s="36" t="s">
        <v>1026</v>
      </c>
      <c r="P167" s="20">
        <v>30.599999999999998</v>
      </c>
    </row>
    <row r="168" spans="15:16" x14ac:dyDescent="0.25">
      <c r="O168" s="36" t="s">
        <v>413</v>
      </c>
      <c r="P168" s="20">
        <v>30.599999999999998</v>
      </c>
    </row>
    <row r="169" spans="15:16" x14ac:dyDescent="0.25">
      <c r="O169" s="36" t="s">
        <v>952</v>
      </c>
      <c r="P169" s="20">
        <v>30</v>
      </c>
    </row>
    <row r="170" spans="15:16" x14ac:dyDescent="0.25">
      <c r="O170" s="36" t="s">
        <v>563</v>
      </c>
      <c r="P170" s="20">
        <v>30</v>
      </c>
    </row>
    <row r="171" spans="15:16" x14ac:dyDescent="0.25">
      <c r="O171" s="36" t="s">
        <v>689</v>
      </c>
      <c r="P171" s="20">
        <v>30</v>
      </c>
    </row>
    <row r="172" spans="15:16" x14ac:dyDescent="0.25">
      <c r="O172" s="36" t="s">
        <v>51</v>
      </c>
      <c r="P172" s="20">
        <v>30</v>
      </c>
    </row>
    <row r="173" spans="15:16" x14ac:dyDescent="0.25">
      <c r="O173" s="36" t="s">
        <v>715</v>
      </c>
      <c r="P173" s="20">
        <v>30</v>
      </c>
    </row>
    <row r="174" spans="15:16" x14ac:dyDescent="0.25">
      <c r="O174" s="36" t="s">
        <v>922</v>
      </c>
      <c r="P174" s="20">
        <v>30</v>
      </c>
    </row>
    <row r="175" spans="15:16" x14ac:dyDescent="0.25">
      <c r="O175" s="36" t="s">
        <v>736</v>
      </c>
      <c r="P175" s="20">
        <v>30</v>
      </c>
    </row>
    <row r="176" spans="15:16" x14ac:dyDescent="0.25">
      <c r="O176" s="36" t="s">
        <v>316</v>
      </c>
      <c r="P176" s="20">
        <v>30</v>
      </c>
    </row>
    <row r="177" spans="15:16" x14ac:dyDescent="0.25">
      <c r="O177" s="36" t="s">
        <v>409</v>
      </c>
      <c r="P177" s="20">
        <v>30</v>
      </c>
    </row>
    <row r="178" spans="15:16" x14ac:dyDescent="0.25">
      <c r="O178" s="36" t="s">
        <v>490</v>
      </c>
      <c r="P178" s="20">
        <v>30</v>
      </c>
    </row>
    <row r="179" spans="15:16" x14ac:dyDescent="0.25">
      <c r="O179" s="36" t="s">
        <v>124</v>
      </c>
      <c r="P179" s="20">
        <v>30</v>
      </c>
    </row>
    <row r="180" spans="15:16" x14ac:dyDescent="0.25">
      <c r="O180" s="36" t="s">
        <v>899</v>
      </c>
      <c r="P180" s="20">
        <v>30</v>
      </c>
    </row>
    <row r="181" spans="15:16" x14ac:dyDescent="0.25">
      <c r="O181" s="36" t="s">
        <v>72</v>
      </c>
      <c r="P181" s="20">
        <v>30</v>
      </c>
    </row>
    <row r="182" spans="15:16" x14ac:dyDescent="0.25">
      <c r="O182" s="36" t="s">
        <v>550</v>
      </c>
      <c r="P182" s="20">
        <v>30</v>
      </c>
    </row>
    <row r="183" spans="15:16" x14ac:dyDescent="0.25">
      <c r="O183" s="36" t="s">
        <v>979</v>
      </c>
      <c r="P183" s="20">
        <v>30</v>
      </c>
    </row>
    <row r="184" spans="15:16" x14ac:dyDescent="0.25">
      <c r="O184" s="36" t="s">
        <v>631</v>
      </c>
      <c r="P184" s="20">
        <v>30</v>
      </c>
    </row>
    <row r="185" spans="15:16" x14ac:dyDescent="0.25">
      <c r="O185" s="36" t="s">
        <v>441</v>
      </c>
      <c r="P185" s="20">
        <v>30</v>
      </c>
    </row>
    <row r="186" spans="15:16" x14ac:dyDescent="0.25">
      <c r="O186" s="36" t="s">
        <v>865</v>
      </c>
      <c r="P186" s="20">
        <v>30</v>
      </c>
    </row>
    <row r="187" spans="15:16" x14ac:dyDescent="0.25">
      <c r="O187" s="36" t="s">
        <v>280</v>
      </c>
      <c r="P187" s="20">
        <v>29.96</v>
      </c>
    </row>
    <row r="188" spans="15:16" x14ac:dyDescent="0.25">
      <c r="O188" s="36" t="s">
        <v>22</v>
      </c>
      <c r="P188" s="20">
        <v>29.75</v>
      </c>
    </row>
    <row r="189" spans="15:16" x14ac:dyDescent="0.25">
      <c r="O189" s="36" t="s">
        <v>744</v>
      </c>
      <c r="P189" s="20">
        <v>29.700000000000003</v>
      </c>
    </row>
    <row r="190" spans="15:16" x14ac:dyDescent="0.25">
      <c r="O190" s="36" t="s">
        <v>437</v>
      </c>
      <c r="P190" s="20">
        <v>29.700000000000003</v>
      </c>
    </row>
    <row r="191" spans="15:16" x14ac:dyDescent="0.25">
      <c r="O191" s="36" t="s">
        <v>174</v>
      </c>
      <c r="P191" s="20">
        <v>29.700000000000003</v>
      </c>
    </row>
    <row r="192" spans="15:16" x14ac:dyDescent="0.25">
      <c r="O192" s="36" t="s">
        <v>918</v>
      </c>
      <c r="P192" s="20">
        <v>29.700000000000003</v>
      </c>
    </row>
    <row r="193" spans="15:16" x14ac:dyDescent="0.25">
      <c r="O193" s="36" t="s">
        <v>215</v>
      </c>
      <c r="P193" s="20">
        <v>29.700000000000003</v>
      </c>
    </row>
    <row r="194" spans="15:16" x14ac:dyDescent="0.25">
      <c r="O194" s="36" t="s">
        <v>233</v>
      </c>
      <c r="P194" s="20">
        <v>29.500000000000004</v>
      </c>
    </row>
    <row r="195" spans="15:16" x14ac:dyDescent="0.25">
      <c r="O195" s="36" t="s">
        <v>390</v>
      </c>
      <c r="P195" s="20">
        <v>29.500000000000004</v>
      </c>
    </row>
    <row r="196" spans="15:16" x14ac:dyDescent="0.25">
      <c r="O196" s="36" t="s">
        <v>10</v>
      </c>
      <c r="P196" s="20">
        <v>29.500000000000004</v>
      </c>
    </row>
    <row r="197" spans="15:16" x14ac:dyDescent="0.25">
      <c r="O197" s="36" t="s">
        <v>428</v>
      </c>
      <c r="P197" s="20">
        <v>29.400000000000002</v>
      </c>
    </row>
    <row r="198" spans="15:16" x14ac:dyDescent="0.25">
      <c r="O198" s="36" t="s">
        <v>202</v>
      </c>
      <c r="P198" s="20">
        <v>29.25</v>
      </c>
    </row>
    <row r="199" spans="15:16" x14ac:dyDescent="0.25">
      <c r="O199" s="36" t="s">
        <v>497</v>
      </c>
      <c r="P199" s="20">
        <v>27.5</v>
      </c>
    </row>
    <row r="200" spans="15:16" x14ac:dyDescent="0.25">
      <c r="O200" s="36" t="s">
        <v>243</v>
      </c>
      <c r="P200" s="20">
        <v>27.5</v>
      </c>
    </row>
    <row r="201" spans="15:16" x14ac:dyDescent="0.25">
      <c r="O201" s="36" t="s">
        <v>107</v>
      </c>
      <c r="P201" s="20">
        <v>27.5</v>
      </c>
    </row>
    <row r="202" spans="15:16" x14ac:dyDescent="0.25">
      <c r="O202" s="36" t="s">
        <v>365</v>
      </c>
      <c r="P202" s="20">
        <v>27.2</v>
      </c>
    </row>
    <row r="203" spans="15:16" x14ac:dyDescent="0.25">
      <c r="O203" s="36" t="s">
        <v>956</v>
      </c>
      <c r="P203" s="20">
        <v>27.12</v>
      </c>
    </row>
    <row r="204" spans="15:16" x14ac:dyDescent="0.25">
      <c r="O204" s="36" t="s">
        <v>671</v>
      </c>
      <c r="P204" s="20">
        <v>27.12</v>
      </c>
    </row>
    <row r="205" spans="15:16" x14ac:dyDescent="0.25">
      <c r="O205" s="36" t="s">
        <v>214</v>
      </c>
      <c r="P205" s="20">
        <v>27.04</v>
      </c>
    </row>
    <row r="206" spans="15:16" x14ac:dyDescent="0.25">
      <c r="O206" s="36" t="s">
        <v>977</v>
      </c>
      <c r="P206" s="20">
        <v>27.04</v>
      </c>
    </row>
    <row r="207" spans="15:16" x14ac:dyDescent="0.25">
      <c r="O207" s="36" t="s">
        <v>628</v>
      </c>
      <c r="P207" s="20">
        <v>27</v>
      </c>
    </row>
    <row r="208" spans="15:16" x14ac:dyDescent="0.25">
      <c r="O208" s="36" t="s">
        <v>530</v>
      </c>
      <c r="P208" s="20">
        <v>27</v>
      </c>
    </row>
    <row r="209" spans="15:16" x14ac:dyDescent="0.25">
      <c r="O209" s="36" t="s">
        <v>699</v>
      </c>
      <c r="P209" s="20">
        <v>26.550000000000004</v>
      </c>
    </row>
    <row r="210" spans="15:16" x14ac:dyDescent="0.25">
      <c r="O210" s="36" t="s">
        <v>125</v>
      </c>
      <c r="P210" s="20">
        <v>26.400000000000002</v>
      </c>
    </row>
    <row r="211" spans="15:16" x14ac:dyDescent="0.25">
      <c r="O211" s="36" t="s">
        <v>400</v>
      </c>
      <c r="P211" s="20">
        <v>26.400000000000002</v>
      </c>
    </row>
    <row r="212" spans="15:16" x14ac:dyDescent="0.25">
      <c r="O212" s="36" t="s">
        <v>309</v>
      </c>
      <c r="P212" s="20">
        <v>26.4</v>
      </c>
    </row>
    <row r="213" spans="15:16" x14ac:dyDescent="0.25">
      <c r="O213" s="36" t="s">
        <v>663</v>
      </c>
      <c r="P213" s="20">
        <v>26.4</v>
      </c>
    </row>
    <row r="214" spans="15:16" x14ac:dyDescent="0.25">
      <c r="O214" s="36" t="s">
        <v>601</v>
      </c>
      <c r="P214" s="20">
        <v>26.349999999999998</v>
      </c>
    </row>
    <row r="215" spans="15:16" x14ac:dyDescent="0.25">
      <c r="O215" s="36" t="s">
        <v>545</v>
      </c>
      <c r="P215" s="20">
        <v>26.25</v>
      </c>
    </row>
    <row r="216" spans="15:16" x14ac:dyDescent="0.25">
      <c r="O216" s="36" t="s">
        <v>518</v>
      </c>
      <c r="P216" s="20">
        <v>26.099999999999998</v>
      </c>
    </row>
    <row r="217" spans="15:16" x14ac:dyDescent="0.25">
      <c r="O217" s="36" t="s">
        <v>265</v>
      </c>
      <c r="P217" s="20">
        <v>26</v>
      </c>
    </row>
    <row r="218" spans="15:16" x14ac:dyDescent="0.25">
      <c r="O218" s="36" t="s">
        <v>382</v>
      </c>
      <c r="P218" s="20">
        <v>25.5</v>
      </c>
    </row>
    <row r="219" spans="15:16" x14ac:dyDescent="0.25">
      <c r="O219" s="36" t="s">
        <v>485</v>
      </c>
      <c r="P219" s="20">
        <v>25.5</v>
      </c>
    </row>
    <row r="220" spans="15:16" x14ac:dyDescent="0.25">
      <c r="O220" s="36" t="s">
        <v>49</v>
      </c>
      <c r="P220" s="20">
        <v>25.5</v>
      </c>
    </row>
    <row r="221" spans="15:16" x14ac:dyDescent="0.25">
      <c r="O221" s="36" t="s">
        <v>585</v>
      </c>
      <c r="P221" s="20">
        <v>25.5</v>
      </c>
    </row>
    <row r="222" spans="15:16" x14ac:dyDescent="0.25">
      <c r="O222" s="36" t="s">
        <v>599</v>
      </c>
      <c r="P222" s="20">
        <v>25.5</v>
      </c>
    </row>
    <row r="223" spans="15:16" x14ac:dyDescent="0.25">
      <c r="O223" s="36" t="s">
        <v>754</v>
      </c>
      <c r="P223" s="20">
        <v>25.5</v>
      </c>
    </row>
    <row r="224" spans="15:16" x14ac:dyDescent="0.25">
      <c r="O224" s="36" t="s">
        <v>521</v>
      </c>
      <c r="P224" s="20">
        <v>25.349999999999998</v>
      </c>
    </row>
    <row r="225" spans="15:16" x14ac:dyDescent="0.25">
      <c r="O225" s="36" t="s">
        <v>376</v>
      </c>
      <c r="P225" s="20">
        <v>25.200000000000003</v>
      </c>
    </row>
    <row r="226" spans="15:16" x14ac:dyDescent="0.25">
      <c r="O226" s="36" t="s">
        <v>247</v>
      </c>
      <c r="P226" s="20">
        <v>25.200000000000003</v>
      </c>
    </row>
    <row r="227" spans="15:16" x14ac:dyDescent="0.25">
      <c r="O227" s="36" t="s">
        <v>913</v>
      </c>
      <c r="P227" s="20">
        <v>25.200000000000003</v>
      </c>
    </row>
    <row r="228" spans="15:16" x14ac:dyDescent="0.25">
      <c r="O228" s="36" t="s">
        <v>702</v>
      </c>
      <c r="P228" s="20">
        <v>25</v>
      </c>
    </row>
    <row r="229" spans="15:16" x14ac:dyDescent="0.25">
      <c r="O229" s="36" t="s">
        <v>768</v>
      </c>
      <c r="P229" s="20">
        <v>24.75</v>
      </c>
    </row>
    <row r="230" spans="15:16" x14ac:dyDescent="0.25">
      <c r="O230" s="36" t="s">
        <v>211</v>
      </c>
      <c r="P230" s="20">
        <v>24.749999999999996</v>
      </c>
    </row>
    <row r="231" spans="15:16" x14ac:dyDescent="0.25">
      <c r="O231" s="36" t="s">
        <v>47</v>
      </c>
      <c r="P231" s="20">
        <v>23.85</v>
      </c>
    </row>
    <row r="232" spans="15:16" x14ac:dyDescent="0.25">
      <c r="O232" s="36" t="s">
        <v>275</v>
      </c>
      <c r="P232" s="20">
        <v>23.85</v>
      </c>
    </row>
    <row r="233" spans="15:16" x14ac:dyDescent="0.25">
      <c r="O233" s="36" t="s">
        <v>99</v>
      </c>
      <c r="P233" s="20">
        <v>23.85</v>
      </c>
    </row>
    <row r="234" spans="15:16" x14ac:dyDescent="0.25">
      <c r="O234" s="36" t="s">
        <v>377</v>
      </c>
      <c r="P234" s="20">
        <v>23.8</v>
      </c>
    </row>
    <row r="235" spans="15:16" x14ac:dyDescent="0.25">
      <c r="O235" s="36" t="s">
        <v>333</v>
      </c>
      <c r="P235" s="20">
        <v>23.8</v>
      </c>
    </row>
    <row r="236" spans="15:16" x14ac:dyDescent="0.25">
      <c r="O236" s="36" t="s">
        <v>354</v>
      </c>
      <c r="P236" s="20">
        <v>23.799999999999997</v>
      </c>
    </row>
    <row r="237" spans="15:16" x14ac:dyDescent="0.25">
      <c r="O237" s="36" t="s">
        <v>425</v>
      </c>
      <c r="P237" s="20">
        <v>23.799999999999997</v>
      </c>
    </row>
    <row r="238" spans="15:16" x14ac:dyDescent="0.25">
      <c r="O238" s="36" t="s">
        <v>150</v>
      </c>
      <c r="P238" s="20">
        <v>23.75</v>
      </c>
    </row>
    <row r="239" spans="15:16" x14ac:dyDescent="0.25">
      <c r="O239" s="36" t="s">
        <v>236</v>
      </c>
      <c r="P239" s="20">
        <v>23.700000000000003</v>
      </c>
    </row>
    <row r="240" spans="15:16" x14ac:dyDescent="0.25">
      <c r="O240" s="36" t="s">
        <v>533</v>
      </c>
      <c r="P240" s="20">
        <v>23.6</v>
      </c>
    </row>
    <row r="241" spans="15:16" x14ac:dyDescent="0.25">
      <c r="O241" s="36" t="s">
        <v>384</v>
      </c>
      <c r="P241" s="20">
        <v>23.400000000000002</v>
      </c>
    </row>
    <row r="242" spans="15:16" x14ac:dyDescent="0.25">
      <c r="O242" s="36" t="s">
        <v>381</v>
      </c>
      <c r="P242" s="20">
        <v>23.4</v>
      </c>
    </row>
    <row r="243" spans="15:16" x14ac:dyDescent="0.25">
      <c r="O243" s="36" t="s">
        <v>762</v>
      </c>
      <c r="P243" s="20">
        <v>23.4</v>
      </c>
    </row>
    <row r="244" spans="15:16" x14ac:dyDescent="0.25">
      <c r="O244" s="36" t="s">
        <v>251</v>
      </c>
      <c r="P244" s="20">
        <v>23.4</v>
      </c>
    </row>
    <row r="245" spans="15:16" x14ac:dyDescent="0.25">
      <c r="O245" s="36" t="s">
        <v>305</v>
      </c>
      <c r="P245" s="20">
        <v>23.1</v>
      </c>
    </row>
    <row r="246" spans="15:16" x14ac:dyDescent="0.25">
      <c r="O246" s="36" t="s">
        <v>621</v>
      </c>
      <c r="P246" s="20">
        <v>23.099999999999998</v>
      </c>
    </row>
    <row r="247" spans="15:16" x14ac:dyDescent="0.25">
      <c r="O247" s="36" t="s">
        <v>27</v>
      </c>
      <c r="P247" s="20">
        <v>23.099999999999998</v>
      </c>
    </row>
    <row r="248" spans="15:16" x14ac:dyDescent="0.25">
      <c r="O248" s="36" t="s">
        <v>273</v>
      </c>
      <c r="P248" s="20">
        <v>22.95</v>
      </c>
    </row>
    <row r="249" spans="15:16" x14ac:dyDescent="0.25">
      <c r="O249" s="36" t="s">
        <v>161</v>
      </c>
      <c r="P249" s="20">
        <v>22.5</v>
      </c>
    </row>
    <row r="250" spans="15:16" x14ac:dyDescent="0.25">
      <c r="O250" s="36" t="s">
        <v>483</v>
      </c>
      <c r="P250" s="20">
        <v>22.5</v>
      </c>
    </row>
    <row r="251" spans="15:16" x14ac:dyDescent="0.25">
      <c r="O251" s="36" t="s">
        <v>142</v>
      </c>
      <c r="P251" s="20">
        <v>22.5</v>
      </c>
    </row>
    <row r="252" spans="15:16" x14ac:dyDescent="0.25">
      <c r="O252" s="36" t="s">
        <v>687</v>
      </c>
      <c r="P252" s="20">
        <v>22.5</v>
      </c>
    </row>
    <row r="253" spans="15:16" x14ac:dyDescent="0.25">
      <c r="O253" s="36" t="s">
        <v>831</v>
      </c>
      <c r="P253" s="20">
        <v>22.5</v>
      </c>
    </row>
    <row r="254" spans="15:16" x14ac:dyDescent="0.25">
      <c r="O254" s="36" t="s">
        <v>716</v>
      </c>
      <c r="P254" s="20">
        <v>22.26</v>
      </c>
    </row>
    <row r="255" spans="15:16" x14ac:dyDescent="0.25">
      <c r="O255" s="36" t="s">
        <v>734</v>
      </c>
      <c r="P255" s="20">
        <v>21.9</v>
      </c>
    </row>
    <row r="256" spans="15:16" x14ac:dyDescent="0.25">
      <c r="O256" s="36" t="s">
        <v>523</v>
      </c>
      <c r="P256" s="20">
        <v>21.25</v>
      </c>
    </row>
    <row r="257" spans="15:16" x14ac:dyDescent="0.25">
      <c r="O257" s="36" t="s">
        <v>227</v>
      </c>
      <c r="P257" s="20">
        <v>21</v>
      </c>
    </row>
    <row r="258" spans="15:16" x14ac:dyDescent="0.25">
      <c r="O258" s="36" t="s">
        <v>455</v>
      </c>
      <c r="P258" s="20">
        <v>21</v>
      </c>
    </row>
    <row r="259" spans="15:16" x14ac:dyDescent="0.25">
      <c r="O259" s="36" t="s">
        <v>565</v>
      </c>
      <c r="P259" s="20">
        <v>21</v>
      </c>
    </row>
    <row r="260" spans="15:16" x14ac:dyDescent="0.25">
      <c r="O260" s="36" t="s">
        <v>917</v>
      </c>
      <c r="P260" s="20">
        <v>21</v>
      </c>
    </row>
    <row r="261" spans="15:16" x14ac:dyDescent="0.25">
      <c r="O261" s="36" t="s">
        <v>450</v>
      </c>
      <c r="P261" s="20">
        <v>21</v>
      </c>
    </row>
    <row r="262" spans="15:16" x14ac:dyDescent="0.25">
      <c r="O262" s="36" t="s">
        <v>216</v>
      </c>
      <c r="P262" s="20">
        <v>20.650000000000002</v>
      </c>
    </row>
    <row r="263" spans="15:16" x14ac:dyDescent="0.25">
      <c r="O263" s="36" t="s">
        <v>966</v>
      </c>
      <c r="P263" s="20">
        <v>20.399999999999999</v>
      </c>
    </row>
    <row r="264" spans="15:16" x14ac:dyDescent="0.25">
      <c r="O264" s="36" t="s">
        <v>472</v>
      </c>
      <c r="P264" s="20">
        <v>20.399999999999999</v>
      </c>
    </row>
    <row r="265" spans="15:16" x14ac:dyDescent="0.25">
      <c r="O265" s="36" t="s">
        <v>903</v>
      </c>
      <c r="P265" s="20">
        <v>20.399999999999999</v>
      </c>
    </row>
    <row r="266" spans="15:16" x14ac:dyDescent="0.25">
      <c r="O266" s="36" t="s">
        <v>857</v>
      </c>
      <c r="P266" s="20">
        <v>20.399999999999999</v>
      </c>
    </row>
    <row r="267" spans="15:16" x14ac:dyDescent="0.25">
      <c r="O267" s="36" t="s">
        <v>108</v>
      </c>
      <c r="P267" s="20">
        <v>20.399999999999999</v>
      </c>
    </row>
    <row r="268" spans="15:16" x14ac:dyDescent="0.25">
      <c r="O268" s="36" t="s">
        <v>468</v>
      </c>
      <c r="P268" s="20">
        <v>20.28</v>
      </c>
    </row>
    <row r="269" spans="15:16" x14ac:dyDescent="0.25">
      <c r="O269" s="36" t="s">
        <v>860</v>
      </c>
      <c r="P269" s="20">
        <v>20.28</v>
      </c>
    </row>
    <row r="270" spans="15:16" x14ac:dyDescent="0.25">
      <c r="O270" s="36" t="s">
        <v>130</v>
      </c>
      <c r="P270" s="20">
        <v>20.25</v>
      </c>
    </row>
    <row r="271" spans="15:16" x14ac:dyDescent="0.25">
      <c r="O271" s="36" t="s">
        <v>195</v>
      </c>
      <c r="P271" s="20">
        <v>20.25</v>
      </c>
    </row>
    <row r="272" spans="15:16" x14ac:dyDescent="0.25">
      <c r="O272" s="36" t="s">
        <v>887</v>
      </c>
      <c r="P272" s="20">
        <v>20.16</v>
      </c>
    </row>
    <row r="273" spans="15:16" x14ac:dyDescent="0.25">
      <c r="O273" s="36" t="s">
        <v>443</v>
      </c>
      <c r="P273" s="20">
        <v>20.16</v>
      </c>
    </row>
    <row r="274" spans="15:16" x14ac:dyDescent="0.25">
      <c r="O274" s="36" t="s">
        <v>554</v>
      </c>
      <c r="P274" s="20">
        <v>20.16</v>
      </c>
    </row>
    <row r="275" spans="15:16" x14ac:dyDescent="0.25">
      <c r="O275" s="36" t="s">
        <v>250</v>
      </c>
      <c r="P275" s="20">
        <v>19.899999999999999</v>
      </c>
    </row>
    <row r="276" spans="15:16" x14ac:dyDescent="0.25">
      <c r="O276" s="36" t="s">
        <v>610</v>
      </c>
      <c r="P276" s="20">
        <v>19.899999999999999</v>
      </c>
    </row>
    <row r="277" spans="15:16" x14ac:dyDescent="0.25">
      <c r="O277" s="36" t="s">
        <v>790</v>
      </c>
      <c r="P277" s="20">
        <v>19.899999999999999</v>
      </c>
    </row>
    <row r="278" spans="15:16" x14ac:dyDescent="0.25">
      <c r="O278" s="36" t="s">
        <v>494</v>
      </c>
      <c r="P278" s="20">
        <v>19.899999999999999</v>
      </c>
    </row>
    <row r="279" spans="15:16" x14ac:dyDescent="0.25">
      <c r="O279" s="36" t="s">
        <v>779</v>
      </c>
      <c r="P279" s="20">
        <v>19.899999999999999</v>
      </c>
    </row>
    <row r="280" spans="15:16" x14ac:dyDescent="0.25">
      <c r="O280" s="36" t="s">
        <v>312</v>
      </c>
      <c r="P280" s="20">
        <v>19.8</v>
      </c>
    </row>
    <row r="281" spans="15:16" x14ac:dyDescent="0.25">
      <c r="O281" s="36" t="s">
        <v>136</v>
      </c>
      <c r="P281" s="20">
        <v>19.8</v>
      </c>
    </row>
    <row r="282" spans="15:16" x14ac:dyDescent="0.25">
      <c r="O282" s="36" t="s">
        <v>656</v>
      </c>
      <c r="P282" s="20">
        <v>19.8</v>
      </c>
    </row>
    <row r="283" spans="15:16" x14ac:dyDescent="0.25">
      <c r="O283" s="36" t="s">
        <v>198</v>
      </c>
      <c r="P283" s="20">
        <v>19.8</v>
      </c>
    </row>
    <row r="284" spans="15:16" x14ac:dyDescent="0.25">
      <c r="O284" s="36" t="s">
        <v>812</v>
      </c>
      <c r="P284" s="20">
        <v>19.799999999999997</v>
      </c>
    </row>
    <row r="285" spans="15:16" x14ac:dyDescent="0.25">
      <c r="O285" s="36" t="s">
        <v>520</v>
      </c>
      <c r="P285" s="20">
        <v>19.799999999999997</v>
      </c>
    </row>
    <row r="286" spans="15:16" x14ac:dyDescent="0.25">
      <c r="O286" s="36" t="s">
        <v>709</v>
      </c>
      <c r="P286" s="20">
        <v>19.799999999999997</v>
      </c>
    </row>
    <row r="287" spans="15:16" x14ac:dyDescent="0.25">
      <c r="O287" s="36" t="s">
        <v>957</v>
      </c>
      <c r="P287" s="20">
        <v>19.799999999999997</v>
      </c>
    </row>
    <row r="288" spans="15:16" x14ac:dyDescent="0.25">
      <c r="O288" s="36" t="s">
        <v>110</v>
      </c>
      <c r="P288" s="20">
        <v>19.799999999999997</v>
      </c>
    </row>
    <row r="289" spans="15:16" x14ac:dyDescent="0.25">
      <c r="O289" s="36" t="s">
        <v>936</v>
      </c>
      <c r="P289" s="20">
        <v>19.799999999999997</v>
      </c>
    </row>
    <row r="290" spans="15:16" x14ac:dyDescent="0.25">
      <c r="O290" s="36" t="s">
        <v>139</v>
      </c>
      <c r="P290" s="20">
        <v>19.799999999999997</v>
      </c>
    </row>
    <row r="291" spans="15:16" x14ac:dyDescent="0.25">
      <c r="O291" s="36" t="s">
        <v>73</v>
      </c>
      <c r="P291" s="20">
        <v>19.799999999999997</v>
      </c>
    </row>
    <row r="292" spans="15:16" x14ac:dyDescent="0.25">
      <c r="O292" s="36" t="s">
        <v>909</v>
      </c>
      <c r="P292" s="20">
        <v>19.799999999999997</v>
      </c>
    </row>
    <row r="293" spans="15:16" x14ac:dyDescent="0.25">
      <c r="O293" s="36" t="s">
        <v>682</v>
      </c>
      <c r="P293" s="20">
        <v>19.5</v>
      </c>
    </row>
    <row r="294" spans="15:16" x14ac:dyDescent="0.25">
      <c r="O294" s="36" t="s">
        <v>587</v>
      </c>
      <c r="P294" s="20">
        <v>19.5</v>
      </c>
    </row>
    <row r="295" spans="15:16" x14ac:dyDescent="0.25">
      <c r="O295" s="36" t="s">
        <v>894</v>
      </c>
      <c r="P295" s="20">
        <v>19.5</v>
      </c>
    </row>
    <row r="296" spans="15:16" x14ac:dyDescent="0.25">
      <c r="O296" s="36" t="s">
        <v>810</v>
      </c>
      <c r="P296" s="20">
        <v>19.5</v>
      </c>
    </row>
    <row r="297" spans="15:16" x14ac:dyDescent="0.25">
      <c r="O297" s="36" t="s">
        <v>776</v>
      </c>
      <c r="P297" s="20">
        <v>18.95</v>
      </c>
    </row>
    <row r="298" spans="15:16" x14ac:dyDescent="0.25">
      <c r="O298" s="36" t="s">
        <v>597</v>
      </c>
      <c r="P298" s="20">
        <v>18.75</v>
      </c>
    </row>
    <row r="299" spans="15:16" x14ac:dyDescent="0.25">
      <c r="O299" s="36" t="s">
        <v>401</v>
      </c>
      <c r="P299" s="20">
        <v>18.75</v>
      </c>
    </row>
    <row r="300" spans="15:16" x14ac:dyDescent="0.25">
      <c r="O300" s="36" t="s">
        <v>383</v>
      </c>
      <c r="P300" s="20">
        <v>18.75</v>
      </c>
    </row>
    <row r="301" spans="15:16" x14ac:dyDescent="0.25">
      <c r="O301" s="36" t="s">
        <v>460</v>
      </c>
      <c r="P301" s="20">
        <v>18.600000000000001</v>
      </c>
    </row>
    <row r="302" spans="15:16" x14ac:dyDescent="0.25">
      <c r="O302" s="36" t="s">
        <v>925</v>
      </c>
      <c r="P302" s="20">
        <v>18.600000000000001</v>
      </c>
    </row>
    <row r="303" spans="15:16" x14ac:dyDescent="0.25">
      <c r="O303" s="36" t="s">
        <v>8</v>
      </c>
      <c r="P303" s="20">
        <v>18.600000000000001</v>
      </c>
    </row>
    <row r="304" spans="15:16" x14ac:dyDescent="0.25">
      <c r="O304" s="36" t="s">
        <v>423</v>
      </c>
      <c r="P304" s="20">
        <v>18.25</v>
      </c>
    </row>
    <row r="305" spans="15:16" x14ac:dyDescent="0.25">
      <c r="O305" s="36" t="s">
        <v>676</v>
      </c>
      <c r="P305" s="20">
        <v>18.149999999999999</v>
      </c>
    </row>
    <row r="306" spans="15:16" x14ac:dyDescent="0.25">
      <c r="O306" s="36" t="s">
        <v>510</v>
      </c>
      <c r="P306" s="20">
        <v>17.899999999999999</v>
      </c>
    </row>
    <row r="307" spans="15:16" x14ac:dyDescent="0.25">
      <c r="O307" s="36" t="s">
        <v>218</v>
      </c>
      <c r="P307" s="20">
        <v>17.88</v>
      </c>
    </row>
    <row r="308" spans="15:16" x14ac:dyDescent="0.25">
      <c r="O308" s="36" t="s">
        <v>257</v>
      </c>
      <c r="P308" s="20">
        <v>17.850000000000001</v>
      </c>
    </row>
    <row r="309" spans="15:16" x14ac:dyDescent="0.25">
      <c r="O309" s="36" t="s">
        <v>292</v>
      </c>
      <c r="P309" s="20">
        <v>17.850000000000001</v>
      </c>
    </row>
    <row r="310" spans="15:16" x14ac:dyDescent="0.25">
      <c r="O310" s="36" t="s">
        <v>697</v>
      </c>
      <c r="P310" s="20">
        <v>17.850000000000001</v>
      </c>
    </row>
    <row r="311" spans="15:16" x14ac:dyDescent="0.25">
      <c r="O311" s="36" t="s">
        <v>144</v>
      </c>
      <c r="P311" s="20">
        <v>17.850000000000001</v>
      </c>
    </row>
    <row r="312" spans="15:16" x14ac:dyDescent="0.25">
      <c r="O312" s="36" t="s">
        <v>303</v>
      </c>
      <c r="P312" s="20">
        <v>17.849999999999998</v>
      </c>
    </row>
    <row r="313" spans="15:16" x14ac:dyDescent="0.25">
      <c r="O313" s="36" t="s">
        <v>923</v>
      </c>
      <c r="P313" s="20">
        <v>17.700000000000003</v>
      </c>
    </row>
    <row r="314" spans="15:16" x14ac:dyDescent="0.25">
      <c r="O314" s="36" t="s">
        <v>861</v>
      </c>
      <c r="P314" s="20">
        <v>17.700000000000003</v>
      </c>
    </row>
    <row r="315" spans="15:16" x14ac:dyDescent="0.25">
      <c r="O315" s="36" t="s">
        <v>883</v>
      </c>
      <c r="P315" s="20">
        <v>17.700000000000003</v>
      </c>
    </row>
    <row r="316" spans="15:16" x14ac:dyDescent="0.25">
      <c r="O316" s="36" t="s">
        <v>248</v>
      </c>
      <c r="P316" s="20">
        <v>17.700000000000003</v>
      </c>
    </row>
    <row r="317" spans="15:16" x14ac:dyDescent="0.25">
      <c r="O317" s="36" t="s">
        <v>632</v>
      </c>
      <c r="P317" s="20">
        <v>17.700000000000003</v>
      </c>
    </row>
    <row r="318" spans="15:16" x14ac:dyDescent="0.25">
      <c r="O318" s="36" t="s">
        <v>976</v>
      </c>
      <c r="P318" s="20">
        <v>17.700000000000003</v>
      </c>
    </row>
    <row r="319" spans="15:16" x14ac:dyDescent="0.25">
      <c r="O319" s="36" t="s">
        <v>367</v>
      </c>
      <c r="P319" s="20">
        <v>17.700000000000003</v>
      </c>
    </row>
    <row r="320" spans="15:16" x14ac:dyDescent="0.25">
      <c r="O320" s="36" t="s">
        <v>871</v>
      </c>
      <c r="P320" s="20">
        <v>17.700000000000003</v>
      </c>
    </row>
    <row r="321" spans="15:16" x14ac:dyDescent="0.25">
      <c r="O321" s="36" t="s">
        <v>464</v>
      </c>
      <c r="P321" s="20">
        <v>17.700000000000003</v>
      </c>
    </row>
    <row r="322" spans="15:16" x14ac:dyDescent="0.25">
      <c r="O322" s="36" t="s">
        <v>357</v>
      </c>
      <c r="P322" s="20">
        <v>17.700000000000003</v>
      </c>
    </row>
    <row r="323" spans="15:16" x14ac:dyDescent="0.25">
      <c r="O323" s="36" t="s">
        <v>753</v>
      </c>
      <c r="P323" s="20">
        <v>17.700000000000003</v>
      </c>
    </row>
    <row r="324" spans="15:16" x14ac:dyDescent="0.25">
      <c r="O324" s="36" t="s">
        <v>33</v>
      </c>
      <c r="P324" s="20">
        <v>17.700000000000003</v>
      </c>
    </row>
    <row r="325" spans="15:16" x14ac:dyDescent="0.25">
      <c r="O325" s="36" t="s">
        <v>41</v>
      </c>
      <c r="P325" s="20">
        <v>17.700000000000003</v>
      </c>
    </row>
    <row r="326" spans="15:16" x14ac:dyDescent="0.25">
      <c r="O326" s="36" t="s">
        <v>782</v>
      </c>
      <c r="P326" s="20">
        <v>17.700000000000003</v>
      </c>
    </row>
    <row r="327" spans="15:16" x14ac:dyDescent="0.25">
      <c r="O327" s="36" t="s">
        <v>529</v>
      </c>
      <c r="P327" s="20">
        <v>17.700000000000003</v>
      </c>
    </row>
    <row r="328" spans="15:16" x14ac:dyDescent="0.25">
      <c r="O328" s="36" t="s">
        <v>386</v>
      </c>
      <c r="P328" s="20">
        <v>17.700000000000003</v>
      </c>
    </row>
    <row r="329" spans="15:16" x14ac:dyDescent="0.25">
      <c r="O329" s="36" t="s">
        <v>855</v>
      </c>
      <c r="P329" s="20">
        <v>17.700000000000003</v>
      </c>
    </row>
    <row r="330" spans="15:16" x14ac:dyDescent="0.25">
      <c r="O330" s="36" t="s">
        <v>910</v>
      </c>
      <c r="P330" s="20">
        <v>17.700000000000003</v>
      </c>
    </row>
    <row r="331" spans="15:16" x14ac:dyDescent="0.25">
      <c r="O331" s="36" t="s">
        <v>639</v>
      </c>
      <c r="P331" s="20">
        <v>17.700000000000003</v>
      </c>
    </row>
    <row r="332" spans="15:16" x14ac:dyDescent="0.25">
      <c r="O332" s="36" t="s">
        <v>795</v>
      </c>
      <c r="P332" s="20">
        <v>17.700000000000003</v>
      </c>
    </row>
    <row r="333" spans="15:16" x14ac:dyDescent="0.25">
      <c r="O333" s="36" t="s">
        <v>194</v>
      </c>
      <c r="P333" s="20">
        <v>17.5</v>
      </c>
    </row>
    <row r="334" spans="15:16" x14ac:dyDescent="0.25">
      <c r="O334" s="36" t="s">
        <v>192</v>
      </c>
      <c r="P334" s="20">
        <v>17.5</v>
      </c>
    </row>
    <row r="335" spans="15:16" x14ac:dyDescent="0.25">
      <c r="O335" s="36" t="s">
        <v>659</v>
      </c>
      <c r="P335" s="20">
        <v>17.399999999999999</v>
      </c>
    </row>
    <row r="336" spans="15:16" x14ac:dyDescent="0.25">
      <c r="O336" s="36" t="s">
        <v>647</v>
      </c>
      <c r="P336" s="20">
        <v>17.399999999999999</v>
      </c>
    </row>
    <row r="337" spans="15:16" x14ac:dyDescent="0.25">
      <c r="O337" s="36" t="s">
        <v>748</v>
      </c>
      <c r="P337" s="20">
        <v>17.399999999999999</v>
      </c>
    </row>
    <row r="338" spans="15:16" x14ac:dyDescent="0.25">
      <c r="O338" s="36" t="s">
        <v>934</v>
      </c>
      <c r="P338" s="20">
        <v>17</v>
      </c>
    </row>
    <row r="339" spans="15:16" x14ac:dyDescent="0.25">
      <c r="O339" s="36" t="s">
        <v>128</v>
      </c>
      <c r="P339" s="20">
        <v>17</v>
      </c>
    </row>
    <row r="340" spans="15:16" x14ac:dyDescent="0.25">
      <c r="O340" s="36" t="s">
        <v>254</v>
      </c>
      <c r="P340" s="20">
        <v>17</v>
      </c>
    </row>
    <row r="341" spans="15:16" x14ac:dyDescent="0.25">
      <c r="O341" s="36" t="s">
        <v>157</v>
      </c>
      <c r="P341" s="20">
        <v>17</v>
      </c>
    </row>
    <row r="342" spans="15:16" x14ac:dyDescent="0.25">
      <c r="O342" s="36" t="s">
        <v>801</v>
      </c>
      <c r="P342" s="20">
        <v>17</v>
      </c>
    </row>
    <row r="343" spans="15:16" x14ac:dyDescent="0.25">
      <c r="O343" s="36" t="s">
        <v>105</v>
      </c>
      <c r="P343" s="20">
        <v>17</v>
      </c>
    </row>
    <row r="344" spans="15:16" x14ac:dyDescent="0.25">
      <c r="O344" s="36" t="s">
        <v>766</v>
      </c>
      <c r="P344" s="20">
        <v>17</v>
      </c>
    </row>
    <row r="345" spans="15:16" x14ac:dyDescent="0.25">
      <c r="O345" s="36" t="s">
        <v>816</v>
      </c>
      <c r="P345" s="20">
        <v>17</v>
      </c>
    </row>
    <row r="346" spans="15:16" x14ac:dyDescent="0.25">
      <c r="O346" s="36" t="s">
        <v>235</v>
      </c>
      <c r="P346" s="20">
        <v>17</v>
      </c>
    </row>
    <row r="347" spans="15:16" x14ac:dyDescent="0.25">
      <c r="O347" s="36" t="s">
        <v>97</v>
      </c>
      <c r="P347" s="20">
        <v>17</v>
      </c>
    </row>
    <row r="348" spans="15:16" x14ac:dyDescent="0.25">
      <c r="O348" s="36" t="s">
        <v>167</v>
      </c>
      <c r="P348" s="20">
        <v>16.95</v>
      </c>
    </row>
    <row r="349" spans="15:16" x14ac:dyDescent="0.25">
      <c r="O349" s="36" t="s">
        <v>686</v>
      </c>
      <c r="P349" s="20">
        <v>16.95</v>
      </c>
    </row>
    <row r="350" spans="15:16" x14ac:dyDescent="0.25">
      <c r="O350" s="36" t="s">
        <v>255</v>
      </c>
      <c r="P350" s="20">
        <v>16.8</v>
      </c>
    </row>
    <row r="351" spans="15:16" x14ac:dyDescent="0.25">
      <c r="O351" s="36" t="s">
        <v>229</v>
      </c>
      <c r="P351" s="20">
        <v>16.5</v>
      </c>
    </row>
    <row r="352" spans="15:16" x14ac:dyDescent="0.25">
      <c r="O352" s="36" t="s">
        <v>444</v>
      </c>
      <c r="P352" s="20">
        <v>16.5</v>
      </c>
    </row>
    <row r="353" spans="15:16" x14ac:dyDescent="0.25">
      <c r="O353" s="36" t="s">
        <v>391</v>
      </c>
      <c r="P353" s="20">
        <v>16.5</v>
      </c>
    </row>
    <row r="354" spans="15:16" x14ac:dyDescent="0.25">
      <c r="O354" s="36" t="s">
        <v>820</v>
      </c>
      <c r="P354" s="20">
        <v>16.350000000000001</v>
      </c>
    </row>
    <row r="355" spans="15:16" x14ac:dyDescent="0.25">
      <c r="O355" s="36" t="s">
        <v>126</v>
      </c>
      <c r="P355" s="20">
        <v>16.25</v>
      </c>
    </row>
    <row r="356" spans="15:16" x14ac:dyDescent="0.25">
      <c r="O356" s="36" t="s">
        <v>733</v>
      </c>
      <c r="P356" s="20">
        <v>16.25</v>
      </c>
    </row>
    <row r="357" spans="15:16" x14ac:dyDescent="0.25">
      <c r="O357" s="36" t="s">
        <v>258</v>
      </c>
      <c r="P357" s="20">
        <v>16.150000000000002</v>
      </c>
    </row>
    <row r="358" spans="15:16" x14ac:dyDescent="0.25">
      <c r="O358" s="36" t="s">
        <v>177</v>
      </c>
      <c r="P358" s="20">
        <v>15.9</v>
      </c>
    </row>
    <row r="359" spans="15:16" x14ac:dyDescent="0.25">
      <c r="O359" s="36" t="s">
        <v>794</v>
      </c>
      <c r="P359" s="20">
        <v>15.9</v>
      </c>
    </row>
    <row r="360" spans="15:16" x14ac:dyDescent="0.25">
      <c r="O360" s="36" t="s">
        <v>338</v>
      </c>
      <c r="P360" s="20">
        <v>15.9</v>
      </c>
    </row>
    <row r="361" spans="15:16" x14ac:dyDescent="0.25">
      <c r="O361" s="36" t="s">
        <v>640</v>
      </c>
      <c r="P361" s="20">
        <v>15.9</v>
      </c>
    </row>
    <row r="362" spans="15:16" x14ac:dyDescent="0.25">
      <c r="O362" s="36" t="s">
        <v>224</v>
      </c>
      <c r="P362" s="20">
        <v>15.9</v>
      </c>
    </row>
    <row r="363" spans="15:16" x14ac:dyDescent="0.25">
      <c r="O363" s="36" t="s">
        <v>933</v>
      </c>
      <c r="P363" s="20">
        <v>15.8</v>
      </c>
    </row>
    <row r="364" spans="15:16" x14ac:dyDescent="0.25">
      <c r="O364" s="36" t="s">
        <v>66</v>
      </c>
      <c r="P364" s="20">
        <v>15.600000000000001</v>
      </c>
    </row>
    <row r="365" spans="15:16" x14ac:dyDescent="0.25">
      <c r="O365" s="36" t="s">
        <v>341</v>
      </c>
      <c r="P365" s="20">
        <v>15.600000000000001</v>
      </c>
    </row>
    <row r="366" spans="15:16" x14ac:dyDescent="0.25">
      <c r="O366" s="36" t="s">
        <v>219</v>
      </c>
      <c r="P366" s="20">
        <v>15.600000000000001</v>
      </c>
    </row>
    <row r="367" spans="15:16" x14ac:dyDescent="0.25">
      <c r="O367" s="36" t="s">
        <v>16</v>
      </c>
      <c r="P367" s="20">
        <v>15.299999999999999</v>
      </c>
    </row>
    <row r="368" spans="15:16" x14ac:dyDescent="0.25">
      <c r="O368" s="36" t="s">
        <v>415</v>
      </c>
      <c r="P368" s="20">
        <v>15.299999999999999</v>
      </c>
    </row>
    <row r="369" spans="15:16" x14ac:dyDescent="0.25">
      <c r="O369" s="36" t="s">
        <v>133</v>
      </c>
      <c r="P369" s="20">
        <v>15.299999999999999</v>
      </c>
    </row>
    <row r="370" spans="15:16" x14ac:dyDescent="0.25">
      <c r="O370" s="36" t="s">
        <v>262</v>
      </c>
      <c r="P370" s="20">
        <v>15.299999999999999</v>
      </c>
    </row>
    <row r="371" spans="15:16" x14ac:dyDescent="0.25">
      <c r="O371" s="36" t="s">
        <v>757</v>
      </c>
      <c r="P371" s="20">
        <v>15.299999999999999</v>
      </c>
    </row>
    <row r="372" spans="15:16" x14ac:dyDescent="0.25">
      <c r="O372" s="36" t="s">
        <v>875</v>
      </c>
      <c r="P372" s="20">
        <v>15.299999999999999</v>
      </c>
    </row>
    <row r="373" spans="15:16" x14ac:dyDescent="0.25">
      <c r="O373" s="36" t="s">
        <v>361</v>
      </c>
      <c r="P373" s="20">
        <v>15.299999999999999</v>
      </c>
    </row>
    <row r="374" spans="15:16" x14ac:dyDescent="0.25">
      <c r="O374" s="36" t="s">
        <v>491</v>
      </c>
      <c r="P374" s="20">
        <v>15.299999999999999</v>
      </c>
    </row>
    <row r="375" spans="15:16" x14ac:dyDescent="0.25">
      <c r="O375" s="36" t="s">
        <v>267</v>
      </c>
      <c r="P375" s="20">
        <v>15.299999999999999</v>
      </c>
    </row>
    <row r="376" spans="15:16" x14ac:dyDescent="0.25">
      <c r="O376" s="36" t="s">
        <v>832</v>
      </c>
      <c r="P376" s="20">
        <v>15.299999999999999</v>
      </c>
    </row>
    <row r="377" spans="15:16" x14ac:dyDescent="0.25">
      <c r="O377" s="36" t="s">
        <v>852</v>
      </c>
      <c r="P377" s="20">
        <v>15.299999999999999</v>
      </c>
    </row>
    <row r="378" spans="15:16" x14ac:dyDescent="0.25">
      <c r="O378" s="36" t="s">
        <v>732</v>
      </c>
      <c r="P378" s="20">
        <v>15</v>
      </c>
    </row>
    <row r="379" spans="15:16" x14ac:dyDescent="0.25">
      <c r="O379" s="36" t="s">
        <v>261</v>
      </c>
      <c r="P379" s="20">
        <v>15</v>
      </c>
    </row>
    <row r="380" spans="15:16" x14ac:dyDescent="0.25">
      <c r="O380" s="36" t="s">
        <v>454</v>
      </c>
      <c r="P380" s="20">
        <v>15</v>
      </c>
    </row>
    <row r="381" spans="15:16" x14ac:dyDescent="0.25">
      <c r="O381" s="36" t="s">
        <v>366</v>
      </c>
      <c r="P381" s="20">
        <v>15</v>
      </c>
    </row>
    <row r="382" spans="15:16" x14ac:dyDescent="0.25">
      <c r="O382" s="36" t="s">
        <v>714</v>
      </c>
      <c r="P382" s="20">
        <v>15</v>
      </c>
    </row>
    <row r="383" spans="15:16" x14ac:dyDescent="0.25">
      <c r="O383" s="36" t="s">
        <v>422</v>
      </c>
      <c r="P383" s="20">
        <v>15</v>
      </c>
    </row>
    <row r="384" spans="15:16" x14ac:dyDescent="0.25">
      <c r="O384" s="36" t="s">
        <v>603</v>
      </c>
      <c r="P384" s="20">
        <v>15</v>
      </c>
    </row>
    <row r="385" spans="15:16" x14ac:dyDescent="0.25">
      <c r="O385" s="36" t="s">
        <v>385</v>
      </c>
      <c r="P385" s="20">
        <v>15</v>
      </c>
    </row>
    <row r="386" spans="15:16" x14ac:dyDescent="0.25">
      <c r="O386" s="36" t="s">
        <v>677</v>
      </c>
      <c r="P386" s="20">
        <v>15</v>
      </c>
    </row>
    <row r="387" spans="15:16" x14ac:dyDescent="0.25">
      <c r="O387" s="36" t="s">
        <v>629</v>
      </c>
      <c r="P387" s="20">
        <v>15</v>
      </c>
    </row>
    <row r="388" spans="15:16" x14ac:dyDescent="0.25">
      <c r="O388" s="36" t="s">
        <v>256</v>
      </c>
      <c r="P388" s="20">
        <v>15</v>
      </c>
    </row>
    <row r="389" spans="15:16" x14ac:dyDescent="0.25">
      <c r="O389" s="36" t="s">
        <v>238</v>
      </c>
      <c r="P389" s="20">
        <v>15</v>
      </c>
    </row>
    <row r="390" spans="15:16" x14ac:dyDescent="0.25">
      <c r="O390" s="36" t="s">
        <v>559</v>
      </c>
      <c r="P390" s="20">
        <v>15</v>
      </c>
    </row>
    <row r="391" spans="15:16" x14ac:dyDescent="0.25">
      <c r="O391" s="36" t="s">
        <v>396</v>
      </c>
      <c r="P391" s="20">
        <v>15</v>
      </c>
    </row>
    <row r="392" spans="15:16" x14ac:dyDescent="0.25">
      <c r="O392" s="36" t="s">
        <v>204</v>
      </c>
      <c r="P392" s="20">
        <v>15</v>
      </c>
    </row>
    <row r="393" spans="15:16" x14ac:dyDescent="0.25">
      <c r="O393" s="36" t="s">
        <v>789</v>
      </c>
      <c r="P393" s="20">
        <v>15</v>
      </c>
    </row>
    <row r="394" spans="15:16" x14ac:dyDescent="0.25">
      <c r="O394" s="36" t="s">
        <v>433</v>
      </c>
      <c r="P394" s="20">
        <v>15</v>
      </c>
    </row>
    <row r="395" spans="15:16" x14ac:dyDescent="0.25">
      <c r="O395" s="36" t="s">
        <v>75</v>
      </c>
      <c r="P395" s="20">
        <v>15</v>
      </c>
    </row>
    <row r="396" spans="15:16" x14ac:dyDescent="0.25">
      <c r="O396" s="36" t="s">
        <v>670</v>
      </c>
      <c r="P396" s="20">
        <v>15</v>
      </c>
    </row>
    <row r="397" spans="15:16" x14ac:dyDescent="0.25">
      <c r="O397" s="36" t="s">
        <v>884</v>
      </c>
      <c r="P397" s="20">
        <v>14.98</v>
      </c>
    </row>
    <row r="398" spans="15:16" x14ac:dyDescent="0.25">
      <c r="O398" s="36" t="s">
        <v>851</v>
      </c>
      <c r="P398" s="20">
        <v>14.98</v>
      </c>
    </row>
    <row r="399" spans="15:16" x14ac:dyDescent="0.25">
      <c r="O399" s="36" t="s">
        <v>439</v>
      </c>
      <c r="P399" s="20">
        <v>14.98</v>
      </c>
    </row>
    <row r="400" spans="15:16" x14ac:dyDescent="0.25">
      <c r="O400" s="36" t="s">
        <v>931</v>
      </c>
      <c r="P400" s="20">
        <v>14.98</v>
      </c>
    </row>
    <row r="401" spans="15:16" x14ac:dyDescent="0.25">
      <c r="O401" s="36" t="s">
        <v>564</v>
      </c>
      <c r="P401" s="20">
        <v>14.95</v>
      </c>
    </row>
    <row r="402" spans="15:16" x14ac:dyDescent="0.25">
      <c r="O402" s="36" t="s">
        <v>279</v>
      </c>
      <c r="P402" s="20">
        <v>14.850000000000001</v>
      </c>
    </row>
    <row r="403" spans="15:16" x14ac:dyDescent="0.25">
      <c r="O403" s="36" t="s">
        <v>839</v>
      </c>
      <c r="P403" s="20">
        <v>14.850000000000001</v>
      </c>
    </row>
    <row r="404" spans="15:16" x14ac:dyDescent="0.25">
      <c r="O404" s="36" t="s">
        <v>101</v>
      </c>
      <c r="P404" s="20">
        <v>14.850000000000001</v>
      </c>
    </row>
    <row r="405" spans="15:16" x14ac:dyDescent="0.25">
      <c r="O405" s="36" t="s">
        <v>46</v>
      </c>
      <c r="P405" s="20">
        <v>14.84</v>
      </c>
    </row>
    <row r="406" spans="15:16" x14ac:dyDescent="0.25">
      <c r="O406" s="36" t="s">
        <v>876</v>
      </c>
      <c r="P406" s="20">
        <v>14.75</v>
      </c>
    </row>
    <row r="407" spans="15:16" x14ac:dyDescent="0.25">
      <c r="O407" s="36" t="s">
        <v>539</v>
      </c>
      <c r="P407" s="20">
        <v>14.75</v>
      </c>
    </row>
    <row r="408" spans="15:16" x14ac:dyDescent="0.25">
      <c r="O408" s="36" t="s">
        <v>688</v>
      </c>
      <c r="P408" s="20">
        <v>14.5</v>
      </c>
    </row>
    <row r="409" spans="15:16" x14ac:dyDescent="0.25">
      <c r="O409" s="36" t="s">
        <v>612</v>
      </c>
      <c r="P409" s="20">
        <v>14.3</v>
      </c>
    </row>
    <row r="410" spans="15:16" x14ac:dyDescent="0.25">
      <c r="O410" s="36" t="s">
        <v>451</v>
      </c>
      <c r="P410" s="20">
        <v>13.750000000000002</v>
      </c>
    </row>
    <row r="411" spans="15:16" x14ac:dyDescent="0.25">
      <c r="O411" s="36" t="s">
        <v>329</v>
      </c>
      <c r="P411" s="20">
        <v>13.75</v>
      </c>
    </row>
    <row r="412" spans="15:16" x14ac:dyDescent="0.25">
      <c r="O412" s="36" t="s">
        <v>477</v>
      </c>
      <c r="P412" s="20">
        <v>13.649999999999999</v>
      </c>
    </row>
    <row r="413" spans="15:16" x14ac:dyDescent="0.25">
      <c r="O413" s="36" t="s">
        <v>392</v>
      </c>
      <c r="P413" s="20">
        <v>13.649999999999999</v>
      </c>
    </row>
    <row r="414" spans="15:16" x14ac:dyDescent="0.25">
      <c r="O414" s="36" t="s">
        <v>293</v>
      </c>
      <c r="P414" s="20">
        <v>13.52</v>
      </c>
    </row>
    <row r="415" spans="15:16" x14ac:dyDescent="0.25">
      <c r="O415" s="36" t="s">
        <v>960</v>
      </c>
      <c r="P415" s="20">
        <v>13.5</v>
      </c>
    </row>
    <row r="416" spans="15:16" x14ac:dyDescent="0.25">
      <c r="O416" s="36" t="s">
        <v>571</v>
      </c>
      <c r="P416" s="20">
        <v>13.5</v>
      </c>
    </row>
    <row r="417" spans="15:16" x14ac:dyDescent="0.25">
      <c r="O417" s="36" t="s">
        <v>872</v>
      </c>
      <c r="P417" s="20">
        <v>13.5</v>
      </c>
    </row>
    <row r="418" spans="15:16" x14ac:dyDescent="0.25">
      <c r="O418" s="36" t="s">
        <v>583</v>
      </c>
      <c r="P418" s="20">
        <v>13.5</v>
      </c>
    </row>
    <row r="419" spans="15:16" x14ac:dyDescent="0.25">
      <c r="O419" s="36" t="s">
        <v>932</v>
      </c>
      <c r="P419" s="20">
        <v>13.200000000000001</v>
      </c>
    </row>
    <row r="420" spans="15:16" x14ac:dyDescent="0.25">
      <c r="O420" s="36" t="s">
        <v>856</v>
      </c>
      <c r="P420" s="20">
        <v>13.2</v>
      </c>
    </row>
    <row r="421" spans="15:16" x14ac:dyDescent="0.25">
      <c r="O421" s="36" t="s">
        <v>327</v>
      </c>
      <c r="P421" s="20">
        <v>13.2</v>
      </c>
    </row>
    <row r="422" spans="15:16" x14ac:dyDescent="0.25">
      <c r="O422" s="36" t="s">
        <v>98</v>
      </c>
      <c r="P422" s="20">
        <v>13.2</v>
      </c>
    </row>
    <row r="423" spans="15:16" x14ac:dyDescent="0.25">
      <c r="O423" s="36" t="s">
        <v>755</v>
      </c>
      <c r="P423" s="20">
        <v>13</v>
      </c>
    </row>
    <row r="424" spans="15:16" x14ac:dyDescent="0.25">
      <c r="O424" s="36" t="s">
        <v>406</v>
      </c>
      <c r="P424" s="20">
        <v>12.75</v>
      </c>
    </row>
    <row r="425" spans="15:16" x14ac:dyDescent="0.25">
      <c r="O425" s="36" t="s">
        <v>775</v>
      </c>
      <c r="P425" s="20">
        <v>12.75</v>
      </c>
    </row>
    <row r="426" spans="15:16" x14ac:dyDescent="0.25">
      <c r="O426" s="36" t="s">
        <v>589</v>
      </c>
      <c r="P426" s="20">
        <v>12.75</v>
      </c>
    </row>
    <row r="427" spans="15:16" x14ac:dyDescent="0.25">
      <c r="O427" s="36" t="s">
        <v>798</v>
      </c>
      <c r="P427" s="20">
        <v>12.7</v>
      </c>
    </row>
    <row r="428" spans="15:16" x14ac:dyDescent="0.25">
      <c r="O428" s="36" t="s">
        <v>92</v>
      </c>
      <c r="P428" s="20">
        <v>12.600000000000001</v>
      </c>
    </row>
    <row r="429" spans="15:16" x14ac:dyDescent="0.25">
      <c r="O429" s="36" t="s">
        <v>352</v>
      </c>
      <c r="P429" s="20">
        <v>12.600000000000001</v>
      </c>
    </row>
    <row r="430" spans="15:16" x14ac:dyDescent="0.25">
      <c r="O430" s="36" t="s">
        <v>946</v>
      </c>
      <c r="P430" s="20">
        <v>12.600000000000001</v>
      </c>
    </row>
    <row r="431" spans="15:16" x14ac:dyDescent="0.25">
      <c r="O431" s="36" t="s">
        <v>302</v>
      </c>
      <c r="P431" s="20">
        <v>12.600000000000001</v>
      </c>
    </row>
    <row r="432" spans="15:16" x14ac:dyDescent="0.25">
      <c r="O432" s="36" t="s">
        <v>698</v>
      </c>
      <c r="P432" s="20">
        <v>12.600000000000001</v>
      </c>
    </row>
    <row r="433" spans="15:16" x14ac:dyDescent="0.25">
      <c r="O433" s="36" t="s">
        <v>950</v>
      </c>
      <c r="P433" s="20">
        <v>12.600000000000001</v>
      </c>
    </row>
    <row r="434" spans="15:16" x14ac:dyDescent="0.25">
      <c r="O434" s="36" t="s">
        <v>159</v>
      </c>
      <c r="P434" s="20">
        <v>12.600000000000001</v>
      </c>
    </row>
    <row r="435" spans="15:16" x14ac:dyDescent="0.25">
      <c r="O435" s="36" t="s">
        <v>854</v>
      </c>
      <c r="P435" s="20">
        <v>12.6</v>
      </c>
    </row>
    <row r="436" spans="15:16" x14ac:dyDescent="0.25">
      <c r="O436" s="36" t="s">
        <v>898</v>
      </c>
      <c r="P436" s="20">
        <v>12.5</v>
      </c>
    </row>
    <row r="437" spans="15:16" x14ac:dyDescent="0.25">
      <c r="O437" s="36" t="s">
        <v>64</v>
      </c>
      <c r="P437" s="20">
        <v>12.5</v>
      </c>
    </row>
    <row r="438" spans="15:16" x14ac:dyDescent="0.25">
      <c r="O438" s="36" t="s">
        <v>777</v>
      </c>
      <c r="P438" s="20">
        <v>12.5</v>
      </c>
    </row>
    <row r="439" spans="15:16" x14ac:dyDescent="0.25">
      <c r="O439" s="36" t="s">
        <v>695</v>
      </c>
      <c r="P439" s="20">
        <v>12.5</v>
      </c>
    </row>
    <row r="440" spans="15:16" x14ac:dyDescent="0.25">
      <c r="O440" s="36" t="s">
        <v>355</v>
      </c>
      <c r="P440" s="20">
        <v>12.5</v>
      </c>
    </row>
    <row r="441" spans="15:16" x14ac:dyDescent="0.25">
      <c r="O441" s="36" t="s">
        <v>841</v>
      </c>
      <c r="P441" s="20">
        <v>11.9</v>
      </c>
    </row>
    <row r="442" spans="15:16" x14ac:dyDescent="0.25">
      <c r="O442" s="36" t="s">
        <v>71</v>
      </c>
      <c r="P442" s="20">
        <v>11.9</v>
      </c>
    </row>
    <row r="443" spans="15:16" x14ac:dyDescent="0.25">
      <c r="O443" s="36" t="s">
        <v>803</v>
      </c>
      <c r="P443" s="20">
        <v>11.9</v>
      </c>
    </row>
    <row r="444" spans="15:16" x14ac:dyDescent="0.25">
      <c r="O444" s="36" t="s">
        <v>824</v>
      </c>
      <c r="P444" s="20">
        <v>11.9</v>
      </c>
    </row>
    <row r="445" spans="15:16" x14ac:dyDescent="0.25">
      <c r="O445" s="36" t="s">
        <v>307</v>
      </c>
      <c r="P445" s="20">
        <v>11.8</v>
      </c>
    </row>
    <row r="446" spans="15:16" x14ac:dyDescent="0.25">
      <c r="O446" s="36" t="s">
        <v>70</v>
      </c>
      <c r="P446" s="20">
        <v>11.8</v>
      </c>
    </row>
    <row r="447" spans="15:16" x14ac:dyDescent="0.25">
      <c r="O447" s="36" t="s">
        <v>140</v>
      </c>
      <c r="P447" s="20">
        <v>11.8</v>
      </c>
    </row>
    <row r="448" spans="15:16" x14ac:dyDescent="0.25">
      <c r="O448" s="36" t="s">
        <v>927</v>
      </c>
      <c r="P448" s="20">
        <v>11.8</v>
      </c>
    </row>
    <row r="449" spans="15:16" x14ac:dyDescent="0.25">
      <c r="O449" s="36" t="s">
        <v>868</v>
      </c>
      <c r="P449" s="20">
        <v>11.8</v>
      </c>
    </row>
    <row r="450" spans="15:16" x14ac:dyDescent="0.25">
      <c r="O450" s="36" t="s">
        <v>590</v>
      </c>
      <c r="P450" s="20">
        <v>11.8</v>
      </c>
    </row>
    <row r="451" spans="15:16" x14ac:dyDescent="0.25">
      <c r="O451" s="36" t="s">
        <v>213</v>
      </c>
      <c r="P451" s="20">
        <v>11.7</v>
      </c>
    </row>
    <row r="452" spans="15:16" x14ac:dyDescent="0.25">
      <c r="O452" s="36" t="s">
        <v>349</v>
      </c>
      <c r="P452" s="20">
        <v>11.399999999999999</v>
      </c>
    </row>
    <row r="453" spans="15:16" x14ac:dyDescent="0.25">
      <c r="O453" s="36" t="s">
        <v>904</v>
      </c>
      <c r="P453" s="20">
        <v>11.25</v>
      </c>
    </row>
    <row r="454" spans="15:16" x14ac:dyDescent="0.25">
      <c r="O454" s="36" t="s">
        <v>127</v>
      </c>
      <c r="P454" s="20">
        <v>11.25</v>
      </c>
    </row>
    <row r="455" spans="15:16" x14ac:dyDescent="0.25">
      <c r="O455" s="36" t="s">
        <v>56</v>
      </c>
      <c r="P455" s="20">
        <v>11.25</v>
      </c>
    </row>
    <row r="456" spans="15:16" x14ac:dyDescent="0.25">
      <c r="O456" s="36" t="s">
        <v>973</v>
      </c>
      <c r="P456" s="20">
        <v>11.25</v>
      </c>
    </row>
    <row r="457" spans="15:16" x14ac:dyDescent="0.25">
      <c r="O457" s="36" t="s">
        <v>720</v>
      </c>
      <c r="P457" s="20">
        <v>11.25</v>
      </c>
    </row>
    <row r="458" spans="15:16" x14ac:dyDescent="0.25">
      <c r="O458" s="36" t="s">
        <v>62</v>
      </c>
      <c r="P458" s="20">
        <v>11.049999999999999</v>
      </c>
    </row>
    <row r="459" spans="15:16" x14ac:dyDescent="0.25">
      <c r="O459" s="36" t="s">
        <v>893</v>
      </c>
      <c r="P459" s="20">
        <v>10.75</v>
      </c>
    </row>
    <row r="460" spans="15:16" x14ac:dyDescent="0.25">
      <c r="O460" s="36" t="s">
        <v>371</v>
      </c>
      <c r="P460" s="20">
        <v>10.65</v>
      </c>
    </row>
    <row r="461" spans="15:16" x14ac:dyDescent="0.25">
      <c r="O461" s="36" t="s">
        <v>271</v>
      </c>
      <c r="P461" s="20">
        <v>10.5</v>
      </c>
    </row>
    <row r="462" spans="15:16" x14ac:dyDescent="0.25">
      <c r="O462" s="36" t="s">
        <v>526</v>
      </c>
      <c r="P462" s="20">
        <v>10.5</v>
      </c>
    </row>
    <row r="463" spans="15:16" x14ac:dyDescent="0.25">
      <c r="O463" s="36" t="s">
        <v>74</v>
      </c>
      <c r="P463" s="20">
        <v>10.5</v>
      </c>
    </row>
    <row r="464" spans="15:16" x14ac:dyDescent="0.25">
      <c r="O464" s="36" t="s">
        <v>287</v>
      </c>
      <c r="P464" s="20">
        <v>10.5</v>
      </c>
    </row>
    <row r="465" spans="15:16" x14ac:dyDescent="0.25">
      <c r="O465" s="36" t="s">
        <v>572</v>
      </c>
      <c r="P465" s="20">
        <v>10.5</v>
      </c>
    </row>
    <row r="466" spans="15:16" x14ac:dyDescent="0.25">
      <c r="O466" s="36" t="s">
        <v>919</v>
      </c>
      <c r="P466" s="20">
        <v>10.5</v>
      </c>
    </row>
    <row r="467" spans="15:16" x14ac:dyDescent="0.25">
      <c r="O467" s="36" t="s">
        <v>61</v>
      </c>
      <c r="P467" s="20">
        <v>10.5</v>
      </c>
    </row>
    <row r="468" spans="15:16" x14ac:dyDescent="0.25">
      <c r="O468" s="36" t="s">
        <v>326</v>
      </c>
      <c r="P468" s="20">
        <v>10.5</v>
      </c>
    </row>
    <row r="469" spans="15:16" x14ac:dyDescent="0.25">
      <c r="O469" s="36" t="s">
        <v>182</v>
      </c>
      <c r="P469" s="20">
        <v>10.199999999999999</v>
      </c>
    </row>
    <row r="470" spans="15:16" x14ac:dyDescent="0.25">
      <c r="O470" s="36" t="s">
        <v>805</v>
      </c>
      <c r="P470" s="20">
        <v>10.199999999999999</v>
      </c>
    </row>
    <row r="471" spans="15:16" x14ac:dyDescent="0.25">
      <c r="O471" s="36" t="s">
        <v>746</v>
      </c>
      <c r="P471" s="20">
        <v>10.199999999999999</v>
      </c>
    </row>
    <row r="472" spans="15:16" x14ac:dyDescent="0.25">
      <c r="O472" s="36" t="s">
        <v>186</v>
      </c>
      <c r="P472" s="20">
        <v>10.199999999999999</v>
      </c>
    </row>
    <row r="473" spans="15:16" x14ac:dyDescent="0.25">
      <c r="O473" s="36" t="s">
        <v>870</v>
      </c>
      <c r="P473" s="20">
        <v>10.199999999999999</v>
      </c>
    </row>
    <row r="474" spans="15:16" x14ac:dyDescent="0.25">
      <c r="O474" s="36" t="s">
        <v>408</v>
      </c>
      <c r="P474" s="20">
        <v>10.199999999999999</v>
      </c>
    </row>
    <row r="475" spans="15:16" x14ac:dyDescent="0.25">
      <c r="O475" s="36" t="s">
        <v>840</v>
      </c>
      <c r="P475" s="20">
        <v>10.199999999999999</v>
      </c>
    </row>
    <row r="476" spans="15:16" x14ac:dyDescent="0.25">
      <c r="O476" s="36" t="s">
        <v>119</v>
      </c>
      <c r="P476" s="20">
        <v>10.199999999999999</v>
      </c>
    </row>
    <row r="477" spans="15:16" x14ac:dyDescent="0.25">
      <c r="O477" s="36" t="s">
        <v>926</v>
      </c>
      <c r="P477" s="20">
        <v>10.199999999999999</v>
      </c>
    </row>
    <row r="478" spans="15:16" x14ac:dyDescent="0.25">
      <c r="O478" s="36" t="s">
        <v>721</v>
      </c>
      <c r="P478" s="20">
        <v>10.199999999999999</v>
      </c>
    </row>
    <row r="479" spans="15:16" x14ac:dyDescent="0.25">
      <c r="O479" s="36" t="s">
        <v>569</v>
      </c>
      <c r="P479" s="20">
        <v>10.199999999999999</v>
      </c>
    </row>
    <row r="480" spans="15:16" x14ac:dyDescent="0.25">
      <c r="O480" s="36" t="s">
        <v>407</v>
      </c>
      <c r="P480" s="20">
        <v>10.199999999999999</v>
      </c>
    </row>
    <row r="481" spans="15:16" x14ac:dyDescent="0.25">
      <c r="O481" s="36" t="s">
        <v>93</v>
      </c>
      <c r="P481" s="20">
        <v>10.08</v>
      </c>
    </row>
    <row r="482" spans="15:16" x14ac:dyDescent="0.25">
      <c r="O482" s="36" t="s">
        <v>774</v>
      </c>
      <c r="P482" s="20">
        <v>10.08</v>
      </c>
    </row>
    <row r="483" spans="15:16" x14ac:dyDescent="0.25">
      <c r="O483" s="36" t="s">
        <v>448</v>
      </c>
      <c r="P483" s="20">
        <v>10.08</v>
      </c>
    </row>
    <row r="484" spans="15:16" x14ac:dyDescent="0.25">
      <c r="O484" s="36" t="s">
        <v>916</v>
      </c>
      <c r="P484" s="20">
        <v>10.08</v>
      </c>
    </row>
    <row r="485" spans="15:16" x14ac:dyDescent="0.25">
      <c r="O485" s="36" t="s">
        <v>886</v>
      </c>
      <c r="P485" s="20">
        <v>10.08</v>
      </c>
    </row>
    <row r="486" spans="15:16" x14ac:dyDescent="0.25">
      <c r="O486" s="36" t="s">
        <v>555</v>
      </c>
      <c r="P486" s="20">
        <v>10.08</v>
      </c>
    </row>
    <row r="487" spans="15:16" x14ac:dyDescent="0.25">
      <c r="O487" s="36" t="s">
        <v>625</v>
      </c>
      <c r="P487" s="20">
        <v>10.050000000000001</v>
      </c>
    </row>
    <row r="488" spans="15:16" x14ac:dyDescent="0.25">
      <c r="O488" s="36" t="s">
        <v>574</v>
      </c>
      <c r="P488" s="20">
        <v>9.9499999999999993</v>
      </c>
    </row>
    <row r="489" spans="15:16" x14ac:dyDescent="0.25">
      <c r="O489" s="36" t="s">
        <v>808</v>
      </c>
      <c r="P489" s="20">
        <v>9.9499999999999993</v>
      </c>
    </row>
    <row r="490" spans="15:16" x14ac:dyDescent="0.25">
      <c r="O490" s="36" t="s">
        <v>575</v>
      </c>
      <c r="P490" s="20">
        <v>9.9499999999999993</v>
      </c>
    </row>
    <row r="491" spans="15:16" x14ac:dyDescent="0.25">
      <c r="O491" s="36" t="s">
        <v>975</v>
      </c>
      <c r="P491" s="20">
        <v>9.9499999999999993</v>
      </c>
    </row>
    <row r="492" spans="15:16" x14ac:dyDescent="0.25">
      <c r="O492" s="36" t="s">
        <v>785</v>
      </c>
      <c r="P492" s="20">
        <v>9.9</v>
      </c>
    </row>
    <row r="493" spans="15:16" x14ac:dyDescent="0.25">
      <c r="O493" s="36" t="s">
        <v>833</v>
      </c>
      <c r="P493" s="20">
        <v>9.9</v>
      </c>
    </row>
    <row r="494" spans="15:16" x14ac:dyDescent="0.25">
      <c r="O494" s="36" t="s">
        <v>480</v>
      </c>
      <c r="P494" s="20">
        <v>9.9</v>
      </c>
    </row>
    <row r="495" spans="15:16" x14ac:dyDescent="0.25">
      <c r="O495" s="36" t="s">
        <v>145</v>
      </c>
      <c r="P495" s="20">
        <v>9.9</v>
      </c>
    </row>
    <row r="496" spans="15:16" x14ac:dyDescent="0.25">
      <c r="O496" s="36" t="s">
        <v>618</v>
      </c>
      <c r="P496" s="20">
        <v>9.9</v>
      </c>
    </row>
    <row r="497" spans="15:16" x14ac:dyDescent="0.25">
      <c r="O497" s="36" t="s">
        <v>35</v>
      </c>
      <c r="P497" s="20">
        <v>9.8999999999999986</v>
      </c>
    </row>
    <row r="498" spans="15:16" x14ac:dyDescent="0.25">
      <c r="O498" s="36" t="s">
        <v>908</v>
      </c>
      <c r="P498" s="20">
        <v>9.8999999999999986</v>
      </c>
    </row>
    <row r="499" spans="15:16" x14ac:dyDescent="0.25">
      <c r="O499" s="36" t="s">
        <v>476</v>
      </c>
      <c r="P499" s="20">
        <v>9.8999999999999986</v>
      </c>
    </row>
    <row r="500" spans="15:16" x14ac:dyDescent="0.25">
      <c r="O500" s="36" t="s">
        <v>435</v>
      </c>
      <c r="P500" s="20">
        <v>9.36</v>
      </c>
    </row>
    <row r="501" spans="15:16" x14ac:dyDescent="0.25">
      <c r="O501" s="36" t="s">
        <v>576</v>
      </c>
      <c r="P501" s="20">
        <v>9</v>
      </c>
    </row>
    <row r="502" spans="15:16" x14ac:dyDescent="0.25">
      <c r="O502" s="36" t="s">
        <v>332</v>
      </c>
      <c r="P502" s="20">
        <v>8.9499999999999993</v>
      </c>
    </row>
    <row r="503" spans="15:16" x14ac:dyDescent="0.25">
      <c r="O503" s="36" t="s">
        <v>668</v>
      </c>
      <c r="P503" s="20">
        <v>8.94</v>
      </c>
    </row>
    <row r="504" spans="15:16" x14ac:dyDescent="0.25">
      <c r="O504" s="36" t="s">
        <v>636</v>
      </c>
      <c r="P504" s="20">
        <v>8.8500000000000014</v>
      </c>
    </row>
    <row r="505" spans="15:16" x14ac:dyDescent="0.25">
      <c r="O505" s="36" t="s">
        <v>823</v>
      </c>
      <c r="P505" s="20">
        <v>8.8500000000000014</v>
      </c>
    </row>
    <row r="506" spans="15:16" x14ac:dyDescent="0.25">
      <c r="O506" s="36" t="s">
        <v>764</v>
      </c>
      <c r="P506" s="20">
        <v>8.8500000000000014</v>
      </c>
    </row>
    <row r="507" spans="15:16" x14ac:dyDescent="0.25">
      <c r="O507" s="36" t="s">
        <v>323</v>
      </c>
      <c r="P507" s="20">
        <v>8.8500000000000014</v>
      </c>
    </row>
    <row r="508" spans="15:16" x14ac:dyDescent="0.25">
      <c r="O508" s="36" t="s">
        <v>511</v>
      </c>
      <c r="P508" s="20">
        <v>8.64</v>
      </c>
    </row>
    <row r="509" spans="15:16" x14ac:dyDescent="0.25">
      <c r="O509" s="36" t="s">
        <v>509</v>
      </c>
      <c r="P509" s="20">
        <v>8.5</v>
      </c>
    </row>
    <row r="510" spans="15:16" x14ac:dyDescent="0.25">
      <c r="O510" s="36" t="s">
        <v>749</v>
      </c>
      <c r="P510" s="20">
        <v>8.5</v>
      </c>
    </row>
    <row r="511" spans="15:16" x14ac:dyDescent="0.25">
      <c r="O511" s="36" t="s">
        <v>203</v>
      </c>
      <c r="P511" s="20">
        <v>8.5</v>
      </c>
    </row>
    <row r="512" spans="15:16" x14ac:dyDescent="0.25">
      <c r="O512" s="36" t="s">
        <v>954</v>
      </c>
      <c r="P512" s="20">
        <v>8.5</v>
      </c>
    </row>
    <row r="513" spans="15:16" x14ac:dyDescent="0.25">
      <c r="O513" s="36" t="s">
        <v>340</v>
      </c>
      <c r="P513" s="20">
        <v>8.4</v>
      </c>
    </row>
    <row r="514" spans="15:16" x14ac:dyDescent="0.25">
      <c r="O514" s="36" t="s">
        <v>29</v>
      </c>
      <c r="P514" s="20">
        <v>8.4</v>
      </c>
    </row>
    <row r="515" spans="15:16" x14ac:dyDescent="0.25">
      <c r="O515" s="36" t="s">
        <v>162</v>
      </c>
      <c r="P515" s="20">
        <v>8.4</v>
      </c>
    </row>
    <row r="516" spans="15:16" x14ac:dyDescent="0.25">
      <c r="O516" s="36" t="s">
        <v>858</v>
      </c>
      <c r="P516" s="20">
        <v>8.25</v>
      </c>
    </row>
    <row r="517" spans="15:16" x14ac:dyDescent="0.25">
      <c r="O517" s="36" t="s">
        <v>170</v>
      </c>
      <c r="P517" s="20">
        <v>8.25</v>
      </c>
    </row>
    <row r="518" spans="15:16" x14ac:dyDescent="0.25">
      <c r="O518" s="36" t="s">
        <v>817</v>
      </c>
      <c r="P518" s="20">
        <v>7.95</v>
      </c>
    </row>
    <row r="519" spans="15:16" x14ac:dyDescent="0.25">
      <c r="O519" s="36" t="s">
        <v>765</v>
      </c>
      <c r="P519" s="20">
        <v>7.8000000000000007</v>
      </c>
    </row>
    <row r="520" spans="15:16" x14ac:dyDescent="0.25">
      <c r="O520" s="36" t="s">
        <v>558</v>
      </c>
      <c r="P520" s="20">
        <v>7.8000000000000007</v>
      </c>
    </row>
    <row r="521" spans="15:16" x14ac:dyDescent="0.25">
      <c r="O521" s="36" t="s">
        <v>921</v>
      </c>
      <c r="P521" s="20">
        <v>7.8000000000000007</v>
      </c>
    </row>
    <row r="522" spans="15:16" x14ac:dyDescent="0.25">
      <c r="O522" s="36" t="s">
        <v>939</v>
      </c>
      <c r="P522" s="20">
        <v>7.8000000000000007</v>
      </c>
    </row>
    <row r="523" spans="15:16" x14ac:dyDescent="0.25">
      <c r="O523" s="36" t="s">
        <v>809</v>
      </c>
      <c r="P523" s="20">
        <v>7.8</v>
      </c>
    </row>
    <row r="524" spans="15:16" x14ac:dyDescent="0.25">
      <c r="O524" s="36" t="s">
        <v>547</v>
      </c>
      <c r="P524" s="20">
        <v>7.8</v>
      </c>
    </row>
    <row r="525" spans="15:16" x14ac:dyDescent="0.25">
      <c r="O525" s="36" t="s">
        <v>818</v>
      </c>
      <c r="P525" s="20">
        <v>7.6499999999999995</v>
      </c>
    </row>
    <row r="526" spans="15:16" x14ac:dyDescent="0.25">
      <c r="O526" s="36" t="s">
        <v>388</v>
      </c>
      <c r="P526" s="20">
        <v>7.6499999999999995</v>
      </c>
    </row>
    <row r="527" spans="15:16" x14ac:dyDescent="0.25">
      <c r="O527" s="36" t="s">
        <v>710</v>
      </c>
      <c r="P527" s="20">
        <v>7.5</v>
      </c>
    </row>
    <row r="528" spans="15:16" x14ac:dyDescent="0.25">
      <c r="O528" s="36" t="s">
        <v>728</v>
      </c>
      <c r="P528" s="20">
        <v>7.5</v>
      </c>
    </row>
    <row r="529" spans="15:16" x14ac:dyDescent="0.25">
      <c r="O529" s="36" t="s">
        <v>535</v>
      </c>
      <c r="P529" s="20">
        <v>7.5</v>
      </c>
    </row>
    <row r="530" spans="15:16" x14ac:dyDescent="0.25">
      <c r="O530" s="36" t="s">
        <v>920</v>
      </c>
      <c r="P530" s="20">
        <v>7.5</v>
      </c>
    </row>
    <row r="531" spans="15:16" x14ac:dyDescent="0.25">
      <c r="O531" s="36" t="s">
        <v>951</v>
      </c>
      <c r="P531" s="20">
        <v>7.5</v>
      </c>
    </row>
    <row r="532" spans="15:16" x14ac:dyDescent="0.25">
      <c r="O532" s="36" t="s">
        <v>228</v>
      </c>
      <c r="P532" s="20">
        <v>7.5</v>
      </c>
    </row>
    <row r="533" spans="15:16" x14ac:dyDescent="0.25">
      <c r="O533" s="36" t="s">
        <v>52</v>
      </c>
      <c r="P533" s="20">
        <v>7.5</v>
      </c>
    </row>
    <row r="534" spans="15:16" x14ac:dyDescent="0.25">
      <c r="O534" s="36" t="s">
        <v>669</v>
      </c>
      <c r="P534" s="20">
        <v>7.5</v>
      </c>
    </row>
    <row r="535" spans="15:16" x14ac:dyDescent="0.25">
      <c r="O535" s="36" t="s">
        <v>121</v>
      </c>
      <c r="P535" s="20">
        <v>7.49</v>
      </c>
    </row>
    <row r="536" spans="15:16" x14ac:dyDescent="0.25">
      <c r="O536" s="36" t="s">
        <v>30</v>
      </c>
      <c r="P536" s="20">
        <v>7.49</v>
      </c>
    </row>
    <row r="537" spans="15:16" x14ac:dyDescent="0.25">
      <c r="O537" s="36" t="s">
        <v>783</v>
      </c>
      <c r="P537" s="20">
        <v>6.95</v>
      </c>
    </row>
    <row r="538" spans="15:16" x14ac:dyDescent="0.25">
      <c r="O538" s="36" t="s">
        <v>902</v>
      </c>
      <c r="P538" s="20">
        <v>6.95</v>
      </c>
    </row>
    <row r="539" spans="15:16" x14ac:dyDescent="0.25">
      <c r="O539" s="36" t="s">
        <v>548</v>
      </c>
      <c r="P539" s="20">
        <v>6.95</v>
      </c>
    </row>
    <row r="540" spans="15:16" x14ac:dyDescent="0.25">
      <c r="O540" s="36" t="s">
        <v>692</v>
      </c>
      <c r="P540" s="20">
        <v>6.8</v>
      </c>
    </row>
    <row r="541" spans="15:16" x14ac:dyDescent="0.25">
      <c r="O541" s="36" t="s">
        <v>804</v>
      </c>
      <c r="P541" s="20">
        <v>6.8</v>
      </c>
    </row>
    <row r="542" spans="15:16" x14ac:dyDescent="0.25">
      <c r="O542" s="36" t="s">
        <v>944</v>
      </c>
      <c r="P542" s="20">
        <v>6.75</v>
      </c>
    </row>
    <row r="543" spans="15:16" x14ac:dyDescent="0.25">
      <c r="O543" s="36" t="s">
        <v>700</v>
      </c>
      <c r="P543" s="20">
        <v>6.72</v>
      </c>
    </row>
    <row r="544" spans="15:16" x14ac:dyDescent="0.25">
      <c r="O544" s="36" t="s">
        <v>379</v>
      </c>
      <c r="P544" s="20">
        <v>6.72</v>
      </c>
    </row>
    <row r="545" spans="15:16" x14ac:dyDescent="0.25">
      <c r="O545" s="36" t="s">
        <v>552</v>
      </c>
      <c r="P545" s="20">
        <v>6.35</v>
      </c>
    </row>
    <row r="546" spans="15:16" x14ac:dyDescent="0.25">
      <c r="O546" s="36" t="s">
        <v>608</v>
      </c>
      <c r="P546" s="20">
        <v>6.35</v>
      </c>
    </row>
    <row r="547" spans="15:16" x14ac:dyDescent="0.25">
      <c r="O547" s="36" t="s">
        <v>531</v>
      </c>
      <c r="P547" s="20">
        <v>6.3000000000000007</v>
      </c>
    </row>
    <row r="548" spans="15:16" x14ac:dyDescent="0.25">
      <c r="O548" s="36" t="s">
        <v>189</v>
      </c>
      <c r="P548" s="20">
        <v>6.3000000000000007</v>
      </c>
    </row>
    <row r="549" spans="15:16" x14ac:dyDescent="0.25">
      <c r="O549" s="36" t="s">
        <v>637</v>
      </c>
      <c r="P549" s="20">
        <v>6.3000000000000007</v>
      </c>
    </row>
    <row r="550" spans="15:16" x14ac:dyDescent="0.25">
      <c r="O550" s="36" t="s">
        <v>368</v>
      </c>
      <c r="P550" s="20">
        <v>6.3000000000000007</v>
      </c>
    </row>
    <row r="551" spans="15:16" x14ac:dyDescent="0.25">
      <c r="O551" s="36" t="s">
        <v>961</v>
      </c>
      <c r="P551" s="20">
        <v>6.3</v>
      </c>
    </row>
    <row r="552" spans="15:16" x14ac:dyDescent="0.25">
      <c r="O552" s="36" t="s">
        <v>826</v>
      </c>
      <c r="P552" s="20">
        <v>6.25</v>
      </c>
    </row>
    <row r="553" spans="15:16" x14ac:dyDescent="0.25">
      <c r="O553" s="36" t="s">
        <v>301</v>
      </c>
      <c r="P553" s="20">
        <v>5.95</v>
      </c>
    </row>
    <row r="554" spans="15:16" x14ac:dyDescent="0.25">
      <c r="O554" s="36" t="s">
        <v>541</v>
      </c>
      <c r="P554" s="20">
        <v>5.95</v>
      </c>
    </row>
    <row r="555" spans="15:16" x14ac:dyDescent="0.25">
      <c r="O555" s="36" t="s">
        <v>375</v>
      </c>
      <c r="P555" s="20">
        <v>5.95</v>
      </c>
    </row>
    <row r="556" spans="15:16" x14ac:dyDescent="0.25">
      <c r="O556" s="36" t="s">
        <v>633</v>
      </c>
      <c r="P556" s="20">
        <v>5.95</v>
      </c>
    </row>
    <row r="557" spans="15:16" x14ac:dyDescent="0.25">
      <c r="O557" s="36" t="s">
        <v>398</v>
      </c>
      <c r="P557" s="20">
        <v>5.95</v>
      </c>
    </row>
    <row r="558" spans="15:16" x14ac:dyDescent="0.25">
      <c r="O558" s="36" t="s">
        <v>373</v>
      </c>
      <c r="P558" s="20">
        <v>5.95</v>
      </c>
    </row>
    <row r="559" spans="15:16" x14ac:dyDescent="0.25">
      <c r="O559" s="36" t="s">
        <v>91</v>
      </c>
      <c r="P559" s="20">
        <v>5.9</v>
      </c>
    </row>
    <row r="560" spans="15:16" x14ac:dyDescent="0.25">
      <c r="O560" s="36" t="s">
        <v>838</v>
      </c>
      <c r="P560" s="20">
        <v>5.9</v>
      </c>
    </row>
    <row r="561" spans="15:16" x14ac:dyDescent="0.25">
      <c r="O561" s="36" t="s">
        <v>65</v>
      </c>
      <c r="P561" s="20">
        <v>5.9</v>
      </c>
    </row>
    <row r="562" spans="15:16" x14ac:dyDescent="0.25">
      <c r="O562" s="36" t="s">
        <v>642</v>
      </c>
      <c r="P562" s="20">
        <v>5.9</v>
      </c>
    </row>
    <row r="563" spans="15:16" x14ac:dyDescent="0.25">
      <c r="O563" s="36" t="s">
        <v>722</v>
      </c>
      <c r="P563" s="20">
        <v>5.9</v>
      </c>
    </row>
    <row r="564" spans="15:16" x14ac:dyDescent="0.25">
      <c r="O564" s="36" t="s">
        <v>672</v>
      </c>
      <c r="P564" s="20">
        <v>5.9</v>
      </c>
    </row>
    <row r="565" spans="15:16" x14ac:dyDescent="0.25">
      <c r="O565" s="36" t="s">
        <v>290</v>
      </c>
      <c r="P565" s="20">
        <v>5.9</v>
      </c>
    </row>
    <row r="566" spans="15:16" x14ac:dyDescent="0.25">
      <c r="O566" s="36" t="s">
        <v>23</v>
      </c>
      <c r="P566" s="20">
        <v>5.85</v>
      </c>
    </row>
    <row r="567" spans="15:16" x14ac:dyDescent="0.25">
      <c r="O567" s="36" t="s">
        <v>324</v>
      </c>
      <c r="P567" s="20">
        <v>5.85</v>
      </c>
    </row>
    <row r="568" spans="15:16" x14ac:dyDescent="0.25">
      <c r="O568" s="36" t="s">
        <v>226</v>
      </c>
      <c r="P568" s="20">
        <v>5.8</v>
      </c>
    </row>
    <row r="569" spans="15:16" x14ac:dyDescent="0.25">
      <c r="O569" s="36" t="s">
        <v>556</v>
      </c>
      <c r="P569" s="20">
        <v>5.8</v>
      </c>
    </row>
    <row r="570" spans="15:16" x14ac:dyDescent="0.25">
      <c r="O570" s="36" t="s">
        <v>651</v>
      </c>
      <c r="P570" s="20">
        <v>5.8</v>
      </c>
    </row>
    <row r="571" spans="15:16" x14ac:dyDescent="0.25">
      <c r="O571" s="36" t="s">
        <v>644</v>
      </c>
      <c r="P571" s="20">
        <v>5.0999999999999996</v>
      </c>
    </row>
    <row r="572" spans="15:16" x14ac:dyDescent="0.25">
      <c r="O572" s="36" t="s">
        <v>549</v>
      </c>
      <c r="P572" s="20">
        <v>5.0999999999999996</v>
      </c>
    </row>
    <row r="573" spans="15:16" x14ac:dyDescent="0.25">
      <c r="O573" s="36" t="s">
        <v>619</v>
      </c>
      <c r="P573" s="20">
        <v>5.0999999999999996</v>
      </c>
    </row>
    <row r="574" spans="15:16" x14ac:dyDescent="0.25">
      <c r="O574" s="36" t="s">
        <v>935</v>
      </c>
      <c r="P574" s="20">
        <v>5.0999999999999996</v>
      </c>
    </row>
    <row r="575" spans="15:16" x14ac:dyDescent="0.25">
      <c r="O575" s="36" t="s">
        <v>430</v>
      </c>
      <c r="P575" s="20">
        <v>5.0999999999999996</v>
      </c>
    </row>
    <row r="576" spans="15:16" x14ac:dyDescent="0.25">
      <c r="O576" s="36" t="s">
        <v>696</v>
      </c>
      <c r="P576" s="20">
        <v>5.0999999999999996</v>
      </c>
    </row>
    <row r="577" spans="15:16" x14ac:dyDescent="0.25">
      <c r="O577" s="36" t="s">
        <v>181</v>
      </c>
      <c r="P577" s="20">
        <v>5.04</v>
      </c>
    </row>
    <row r="578" spans="15:16" x14ac:dyDescent="0.25">
      <c r="O578" s="36" t="s">
        <v>337</v>
      </c>
      <c r="P578" s="20">
        <v>5.04</v>
      </c>
    </row>
    <row r="579" spans="15:16" x14ac:dyDescent="0.25">
      <c r="O579" s="36" t="s">
        <v>165</v>
      </c>
      <c r="P579" s="20">
        <v>5.04</v>
      </c>
    </row>
    <row r="580" spans="15:16" x14ac:dyDescent="0.25">
      <c r="O580" s="36" t="s">
        <v>405</v>
      </c>
      <c r="P580" s="20">
        <v>5</v>
      </c>
    </row>
    <row r="581" spans="15:16" x14ac:dyDescent="0.25">
      <c r="O581" s="36" t="s">
        <v>835</v>
      </c>
      <c r="P581" s="20">
        <v>5</v>
      </c>
    </row>
    <row r="582" spans="15:16" x14ac:dyDescent="0.25">
      <c r="O582" s="36" t="s">
        <v>693</v>
      </c>
      <c r="P582" s="20">
        <v>5</v>
      </c>
    </row>
    <row r="583" spans="15:16" x14ac:dyDescent="0.25">
      <c r="O583" s="36" t="s">
        <v>593</v>
      </c>
      <c r="P583" s="20">
        <v>5</v>
      </c>
    </row>
    <row r="584" spans="15:16" x14ac:dyDescent="0.25">
      <c r="O584" s="36" t="s">
        <v>463</v>
      </c>
      <c r="P584" s="20">
        <v>5</v>
      </c>
    </row>
    <row r="585" spans="15:16" x14ac:dyDescent="0.25">
      <c r="O585" s="36" t="s">
        <v>941</v>
      </c>
      <c r="P585" s="20">
        <v>5</v>
      </c>
    </row>
    <row r="586" spans="15:16" x14ac:dyDescent="0.25">
      <c r="O586" s="36" t="s">
        <v>201</v>
      </c>
      <c r="P586" s="20">
        <v>5</v>
      </c>
    </row>
    <row r="587" spans="15:16" x14ac:dyDescent="0.25">
      <c r="O587" s="36" t="s">
        <v>844</v>
      </c>
      <c r="P587" s="20">
        <v>5</v>
      </c>
    </row>
    <row r="588" spans="15:16" x14ac:dyDescent="0.25">
      <c r="O588" s="36" t="s">
        <v>750</v>
      </c>
      <c r="P588" s="20">
        <v>4.95</v>
      </c>
    </row>
    <row r="589" spans="15:16" x14ac:dyDescent="0.25">
      <c r="O589" s="36" t="s">
        <v>679</v>
      </c>
      <c r="P589" s="20">
        <v>4.95</v>
      </c>
    </row>
    <row r="590" spans="15:16" x14ac:dyDescent="0.25">
      <c r="O590" s="36" t="s">
        <v>814</v>
      </c>
      <c r="P590" s="20">
        <v>4.9499999999999993</v>
      </c>
    </row>
    <row r="591" spans="15:16" x14ac:dyDescent="0.25">
      <c r="O591" s="36" t="s">
        <v>69</v>
      </c>
      <c r="P591" s="20">
        <v>4.9499999999999993</v>
      </c>
    </row>
    <row r="592" spans="15:16" x14ac:dyDescent="0.25">
      <c r="O592" s="36" t="s">
        <v>208</v>
      </c>
      <c r="P592" s="20">
        <v>4.6500000000000004</v>
      </c>
    </row>
    <row r="593" spans="15:16" x14ac:dyDescent="0.25">
      <c r="O593" s="36" t="s">
        <v>879</v>
      </c>
      <c r="P593" s="20">
        <v>4.3499999999999996</v>
      </c>
    </row>
    <row r="594" spans="15:16" x14ac:dyDescent="0.25">
      <c r="O594" s="36" t="s">
        <v>713</v>
      </c>
      <c r="P594" s="20">
        <v>4.25</v>
      </c>
    </row>
    <row r="595" spans="15:16" x14ac:dyDescent="0.25">
      <c r="O595" s="36" t="s">
        <v>980</v>
      </c>
      <c r="P595" s="20">
        <v>4.25</v>
      </c>
    </row>
    <row r="596" spans="15:16" x14ac:dyDescent="0.25">
      <c r="O596" s="36" t="s">
        <v>207</v>
      </c>
      <c r="P596" s="20">
        <v>4.25</v>
      </c>
    </row>
    <row r="597" spans="15:16" x14ac:dyDescent="0.25">
      <c r="O597" s="36" t="s">
        <v>359</v>
      </c>
      <c r="P597" s="20">
        <v>4.25</v>
      </c>
    </row>
    <row r="598" spans="15:16" x14ac:dyDescent="0.25">
      <c r="O598" s="36" t="s">
        <v>873</v>
      </c>
      <c r="P598" s="20">
        <v>4.25</v>
      </c>
    </row>
    <row r="599" spans="15:16" x14ac:dyDescent="0.25">
      <c r="O599" s="36" t="s">
        <v>912</v>
      </c>
      <c r="P599" s="20">
        <v>4.25</v>
      </c>
    </row>
    <row r="600" spans="15:16" x14ac:dyDescent="0.25">
      <c r="O600" s="36" t="s">
        <v>739</v>
      </c>
      <c r="P600" s="20">
        <v>4.25</v>
      </c>
    </row>
    <row r="601" spans="15:16" x14ac:dyDescent="0.25">
      <c r="O601" s="36" t="s">
        <v>726</v>
      </c>
      <c r="P601" s="20">
        <v>4.25</v>
      </c>
    </row>
    <row r="602" spans="15:16" x14ac:dyDescent="0.25">
      <c r="O602" s="36" t="s">
        <v>582</v>
      </c>
      <c r="P602" s="20">
        <v>4.2</v>
      </c>
    </row>
    <row r="603" spans="15:16" x14ac:dyDescent="0.25">
      <c r="O603" s="36" t="s">
        <v>665</v>
      </c>
      <c r="P603" s="20">
        <v>4.2</v>
      </c>
    </row>
    <row r="604" spans="15:16" x14ac:dyDescent="0.25">
      <c r="O604" s="36" t="s">
        <v>317</v>
      </c>
      <c r="P604" s="20">
        <v>4.2</v>
      </c>
    </row>
    <row r="605" spans="15:16" x14ac:dyDescent="0.25">
      <c r="O605" s="36" t="s">
        <v>95</v>
      </c>
      <c r="P605" s="20">
        <v>4.2</v>
      </c>
    </row>
    <row r="606" spans="15:16" x14ac:dyDescent="0.25">
      <c r="O606" s="36" t="s">
        <v>281</v>
      </c>
      <c r="P606" s="20">
        <v>4.2</v>
      </c>
    </row>
    <row r="607" spans="15:16" x14ac:dyDescent="0.25">
      <c r="O607" s="36" t="s">
        <v>675</v>
      </c>
      <c r="P607" s="20">
        <v>4.2</v>
      </c>
    </row>
    <row r="608" spans="15:16" x14ac:dyDescent="0.25">
      <c r="O608" s="36" t="s">
        <v>506</v>
      </c>
      <c r="P608" s="20">
        <v>3.95</v>
      </c>
    </row>
    <row r="609" spans="15:16" x14ac:dyDescent="0.25">
      <c r="O609" s="36" t="s">
        <v>19</v>
      </c>
      <c r="P609" s="20">
        <v>3.9</v>
      </c>
    </row>
    <row r="610" spans="15:16" x14ac:dyDescent="0.25">
      <c r="O610" s="36" t="s">
        <v>911</v>
      </c>
      <c r="P610" s="20">
        <v>3.9</v>
      </c>
    </row>
    <row r="611" spans="15:16" x14ac:dyDescent="0.25">
      <c r="O611" s="36" t="s">
        <v>953</v>
      </c>
      <c r="P611" s="20">
        <v>3.8</v>
      </c>
    </row>
    <row r="612" spans="15:16" x14ac:dyDescent="0.25">
      <c r="O612" s="36" t="s">
        <v>156</v>
      </c>
      <c r="P612" s="20">
        <v>3.75</v>
      </c>
    </row>
    <row r="613" spans="15:16" x14ac:dyDescent="0.25">
      <c r="O613" s="36" t="s">
        <v>834</v>
      </c>
      <c r="P613" s="20">
        <v>3.75</v>
      </c>
    </row>
    <row r="614" spans="15:16" x14ac:dyDescent="0.25">
      <c r="O614" s="36" t="s">
        <v>561</v>
      </c>
      <c r="P614" s="20">
        <v>3.75</v>
      </c>
    </row>
    <row r="615" spans="15:16" x14ac:dyDescent="0.25">
      <c r="O615" s="36" t="s">
        <v>863</v>
      </c>
      <c r="P615" s="20">
        <v>3.75</v>
      </c>
    </row>
    <row r="616" spans="15:16" x14ac:dyDescent="0.25">
      <c r="O616" s="36" t="s">
        <v>546</v>
      </c>
      <c r="P616" s="20">
        <v>3.75</v>
      </c>
    </row>
    <row r="617" spans="15:16" x14ac:dyDescent="0.25">
      <c r="O617" s="36" t="s">
        <v>796</v>
      </c>
      <c r="P617" s="20">
        <v>3.75</v>
      </c>
    </row>
    <row r="618" spans="15:16" x14ac:dyDescent="0.25">
      <c r="O618" s="36" t="s">
        <v>466</v>
      </c>
      <c r="P618" s="20">
        <v>3.75</v>
      </c>
    </row>
    <row r="619" spans="15:16" x14ac:dyDescent="0.25">
      <c r="O619" s="36" t="s">
        <v>959</v>
      </c>
      <c r="P619" s="20">
        <v>3.75</v>
      </c>
    </row>
    <row r="620" spans="15:16" x14ac:dyDescent="0.25">
      <c r="O620" s="36" t="s">
        <v>882</v>
      </c>
      <c r="P620" s="20">
        <v>3.75</v>
      </c>
    </row>
    <row r="621" spans="15:16" x14ac:dyDescent="0.25">
      <c r="O621" s="36" t="s">
        <v>827</v>
      </c>
      <c r="P621" s="20">
        <v>3.75</v>
      </c>
    </row>
    <row r="622" spans="15:16" x14ac:dyDescent="0.25">
      <c r="O622" s="36" t="s">
        <v>763</v>
      </c>
      <c r="P622" s="20">
        <v>3.75</v>
      </c>
    </row>
    <row r="623" spans="15:16" x14ac:dyDescent="0.25">
      <c r="O623" s="36" t="s">
        <v>967</v>
      </c>
      <c r="P623" s="20">
        <v>3.75</v>
      </c>
    </row>
    <row r="624" spans="15:16" x14ac:dyDescent="0.25">
      <c r="O624" s="36" t="s">
        <v>76</v>
      </c>
      <c r="P624" s="20">
        <v>3.75</v>
      </c>
    </row>
    <row r="625" spans="15:16" x14ac:dyDescent="0.25">
      <c r="O625" s="36" t="s">
        <v>83</v>
      </c>
      <c r="P625" s="20">
        <v>3.75</v>
      </c>
    </row>
    <row r="626" spans="15:16" x14ac:dyDescent="0.25">
      <c r="O626" s="36" t="s">
        <v>735</v>
      </c>
      <c r="P626" s="20">
        <v>3.4799999999999995</v>
      </c>
    </row>
    <row r="627" spans="15:16" x14ac:dyDescent="0.25">
      <c r="O627" s="36" t="s">
        <v>685</v>
      </c>
      <c r="P627" s="20">
        <v>3.4</v>
      </c>
    </row>
    <row r="628" spans="15:16" x14ac:dyDescent="0.25">
      <c r="O628" s="36" t="s">
        <v>517</v>
      </c>
      <c r="P628" s="20">
        <v>3.4</v>
      </c>
    </row>
    <row r="629" spans="15:16" x14ac:dyDescent="0.25">
      <c r="O629" s="36" t="s">
        <v>308</v>
      </c>
      <c r="P629" s="20">
        <v>3.4</v>
      </c>
    </row>
    <row r="630" spans="15:16" x14ac:dyDescent="0.25">
      <c r="O630" s="36" t="s">
        <v>249</v>
      </c>
      <c r="P630" s="20">
        <v>3.4</v>
      </c>
    </row>
    <row r="631" spans="15:16" x14ac:dyDescent="0.25">
      <c r="O631" s="36" t="s">
        <v>772</v>
      </c>
      <c r="P631" s="20">
        <v>3.4</v>
      </c>
    </row>
    <row r="632" spans="15:16" x14ac:dyDescent="0.25">
      <c r="O632" s="36" t="s">
        <v>551</v>
      </c>
      <c r="P632" s="20">
        <v>3.4</v>
      </c>
    </row>
    <row r="633" spans="15:16" x14ac:dyDescent="0.25">
      <c r="O633" s="36" t="s">
        <v>462</v>
      </c>
      <c r="P633" s="20">
        <v>3.38</v>
      </c>
    </row>
    <row r="634" spans="15:16" x14ac:dyDescent="0.25">
      <c r="O634" s="36" t="s">
        <v>947</v>
      </c>
      <c r="P634" s="20">
        <v>3.35</v>
      </c>
    </row>
    <row r="635" spans="15:16" x14ac:dyDescent="0.25">
      <c r="O635" s="36" t="s">
        <v>725</v>
      </c>
      <c r="P635" s="20">
        <v>3.3000000000000003</v>
      </c>
    </row>
    <row r="636" spans="15:16" x14ac:dyDescent="0.25">
      <c r="O636" s="36" t="s">
        <v>969</v>
      </c>
      <c r="P636" s="20">
        <v>3.3000000000000003</v>
      </c>
    </row>
    <row r="637" spans="15:16" x14ac:dyDescent="0.25">
      <c r="O637" s="36" t="s">
        <v>166</v>
      </c>
      <c r="P637" s="20">
        <v>3.3</v>
      </c>
    </row>
    <row r="638" spans="15:16" x14ac:dyDescent="0.25">
      <c r="O638" s="36" t="s">
        <v>680</v>
      </c>
      <c r="P638" s="20">
        <v>3.3</v>
      </c>
    </row>
    <row r="639" spans="15:16" x14ac:dyDescent="0.25">
      <c r="O639" s="36" t="s">
        <v>906</v>
      </c>
      <c r="P639" s="20">
        <v>3.3</v>
      </c>
    </row>
    <row r="640" spans="15:16" x14ac:dyDescent="0.25">
      <c r="O640" s="36" t="s">
        <v>928</v>
      </c>
      <c r="P640" s="20">
        <v>3.3</v>
      </c>
    </row>
    <row r="641" spans="15:16" x14ac:dyDescent="0.25">
      <c r="O641" s="36" t="s">
        <v>596</v>
      </c>
      <c r="P641" s="20">
        <v>3.3</v>
      </c>
    </row>
    <row r="642" spans="15:16" x14ac:dyDescent="0.25">
      <c r="O642" s="36" t="s">
        <v>598</v>
      </c>
      <c r="P642" s="20">
        <v>3.3</v>
      </c>
    </row>
    <row r="643" spans="15:16" x14ac:dyDescent="0.25">
      <c r="O643" s="36" t="s">
        <v>420</v>
      </c>
      <c r="P643" s="20">
        <v>3.3</v>
      </c>
    </row>
    <row r="644" spans="15:16" x14ac:dyDescent="0.25">
      <c r="O644" s="36" t="s">
        <v>394</v>
      </c>
      <c r="P644" s="20">
        <v>3.3</v>
      </c>
    </row>
    <row r="645" spans="15:16" x14ac:dyDescent="0.25">
      <c r="O645" s="36" t="s">
        <v>123</v>
      </c>
      <c r="P645" s="20">
        <v>3.3</v>
      </c>
    </row>
    <row r="646" spans="15:16" x14ac:dyDescent="0.25">
      <c r="O646" s="36" t="s">
        <v>664</v>
      </c>
      <c r="P646" s="20">
        <v>3.3</v>
      </c>
    </row>
    <row r="647" spans="15:16" x14ac:dyDescent="0.25">
      <c r="O647" s="36" t="s">
        <v>756</v>
      </c>
      <c r="P647" s="20">
        <v>2.95</v>
      </c>
    </row>
    <row r="648" spans="15:16" x14ac:dyDescent="0.25">
      <c r="O648" s="36" t="s">
        <v>320</v>
      </c>
      <c r="P648" s="20">
        <v>2.95</v>
      </c>
    </row>
    <row r="649" spans="15:16" x14ac:dyDescent="0.25">
      <c r="O649" s="36" t="s">
        <v>334</v>
      </c>
      <c r="P649" s="20">
        <v>2.95</v>
      </c>
    </row>
    <row r="650" spans="15:16" x14ac:dyDescent="0.25">
      <c r="O650" s="36" t="s">
        <v>842</v>
      </c>
      <c r="P650" s="20">
        <v>2.95</v>
      </c>
    </row>
    <row r="651" spans="15:16" x14ac:dyDescent="0.25">
      <c r="O651" s="36" t="s">
        <v>724</v>
      </c>
      <c r="P651" s="20">
        <v>2.95</v>
      </c>
    </row>
    <row r="652" spans="15:16" x14ac:dyDescent="0.25">
      <c r="O652" s="36" t="s">
        <v>900</v>
      </c>
      <c r="P652" s="20">
        <v>2.95</v>
      </c>
    </row>
    <row r="653" spans="15:16" x14ac:dyDescent="0.25">
      <c r="O653" s="36" t="s">
        <v>528</v>
      </c>
      <c r="P653" s="20">
        <v>2.95</v>
      </c>
    </row>
    <row r="654" spans="15:16" x14ac:dyDescent="0.25">
      <c r="O654" s="36" t="s">
        <v>888</v>
      </c>
      <c r="P654" s="20">
        <v>2.95</v>
      </c>
    </row>
    <row r="655" spans="15:16" x14ac:dyDescent="0.25">
      <c r="O655" s="36" t="s">
        <v>627</v>
      </c>
      <c r="P655" s="20">
        <v>2.94</v>
      </c>
    </row>
    <row r="656" spans="15:16" x14ac:dyDescent="0.25">
      <c r="O656" s="36" t="s">
        <v>605</v>
      </c>
      <c r="P656" s="20">
        <v>2.9</v>
      </c>
    </row>
    <row r="657" spans="15:16" x14ac:dyDescent="0.25">
      <c r="O657" s="36" t="s">
        <v>387</v>
      </c>
      <c r="P657" s="20">
        <v>2.9</v>
      </c>
    </row>
    <row r="658" spans="15:16" x14ac:dyDescent="0.25">
      <c r="O658" s="36" t="s">
        <v>414</v>
      </c>
      <c r="P658" s="20">
        <v>2.8499999999999996</v>
      </c>
    </row>
    <row r="659" spans="15:16" x14ac:dyDescent="0.25">
      <c r="O659" s="36" t="s">
        <v>806</v>
      </c>
      <c r="P659" s="20">
        <v>2.6</v>
      </c>
    </row>
    <row r="660" spans="15:16" x14ac:dyDescent="0.25">
      <c r="O660" s="36" t="s">
        <v>289</v>
      </c>
      <c r="P660" s="20">
        <v>2.5499999999999998</v>
      </c>
    </row>
    <row r="661" spans="15:16" x14ac:dyDescent="0.25">
      <c r="O661" s="36" t="s">
        <v>470</v>
      </c>
      <c r="P661" s="20">
        <v>2.5499999999999998</v>
      </c>
    </row>
    <row r="662" spans="15:16" x14ac:dyDescent="0.25">
      <c r="O662" s="36" t="s">
        <v>731</v>
      </c>
      <c r="P662" s="20">
        <v>2.5499999999999998</v>
      </c>
    </row>
    <row r="663" spans="15:16" x14ac:dyDescent="0.25">
      <c r="O663" s="36" t="s">
        <v>500</v>
      </c>
      <c r="P663" s="20">
        <v>2.5499999999999998</v>
      </c>
    </row>
    <row r="664" spans="15:16" x14ac:dyDescent="0.25">
      <c r="O664" s="36" t="s">
        <v>895</v>
      </c>
      <c r="P664" s="20">
        <v>2.5499999999999998</v>
      </c>
    </row>
    <row r="665" spans="15:16" x14ac:dyDescent="0.25">
      <c r="O665" s="36" t="s">
        <v>306</v>
      </c>
      <c r="P665" s="20">
        <v>2.5499999999999998</v>
      </c>
    </row>
    <row r="666" spans="15:16" x14ac:dyDescent="0.25">
      <c r="O666" s="36" t="s">
        <v>457</v>
      </c>
      <c r="P666" s="20">
        <v>2.5499999999999998</v>
      </c>
    </row>
    <row r="667" spans="15:16" x14ac:dyDescent="0.25">
      <c r="O667" s="36" t="s">
        <v>513</v>
      </c>
      <c r="P667" s="20">
        <v>2.5499999999999998</v>
      </c>
    </row>
    <row r="668" spans="15:16" x14ac:dyDescent="0.25">
      <c r="O668" s="36" t="s">
        <v>325</v>
      </c>
      <c r="P668" s="20">
        <v>2.5</v>
      </c>
    </row>
    <row r="669" spans="15:16" x14ac:dyDescent="0.25">
      <c r="O669" s="36" t="s">
        <v>955</v>
      </c>
      <c r="P669" s="20">
        <v>2.5</v>
      </c>
    </row>
    <row r="670" spans="15:16" x14ac:dyDescent="0.25">
      <c r="O670" s="36" t="s">
        <v>634</v>
      </c>
      <c r="P670" s="20">
        <v>2.5</v>
      </c>
    </row>
    <row r="671" spans="15:16" x14ac:dyDescent="0.25">
      <c r="O671" s="36" t="s">
        <v>467</v>
      </c>
      <c r="P671" s="20">
        <v>2.5</v>
      </c>
    </row>
    <row r="672" spans="15:16" x14ac:dyDescent="0.25">
      <c r="O672" s="36" t="s">
        <v>727</v>
      </c>
      <c r="P672" s="20">
        <v>2.5</v>
      </c>
    </row>
    <row r="673" spans="15:16" x14ac:dyDescent="0.25">
      <c r="O673" s="36" t="s">
        <v>502</v>
      </c>
      <c r="P673" s="20">
        <v>2.5</v>
      </c>
    </row>
    <row r="674" spans="15:16" x14ac:dyDescent="0.25">
      <c r="O674" s="36" t="s">
        <v>432</v>
      </c>
      <c r="P674" s="20">
        <v>2.5</v>
      </c>
    </row>
    <row r="675" spans="15:16" x14ac:dyDescent="0.25">
      <c r="O675" s="36" t="s">
        <v>504</v>
      </c>
      <c r="P675" s="20">
        <v>2.5</v>
      </c>
    </row>
    <row r="676" spans="15:16" x14ac:dyDescent="0.25">
      <c r="O676" s="36" t="s">
        <v>681</v>
      </c>
      <c r="P676" s="20">
        <v>2.5</v>
      </c>
    </row>
    <row r="677" spans="15:16" x14ac:dyDescent="0.25">
      <c r="O677" s="36" t="s">
        <v>310</v>
      </c>
      <c r="P677" s="20">
        <v>2.5</v>
      </c>
    </row>
    <row r="678" spans="15:16" x14ac:dyDescent="0.25">
      <c r="O678" s="36" t="s">
        <v>620</v>
      </c>
      <c r="P678" s="20">
        <v>2.5</v>
      </c>
    </row>
    <row r="679" spans="15:16" x14ac:dyDescent="0.25">
      <c r="O679" s="36" t="s">
        <v>465</v>
      </c>
      <c r="P679" s="20">
        <v>2.5</v>
      </c>
    </row>
    <row r="680" spans="15:16" x14ac:dyDescent="0.25">
      <c r="O680" s="36" t="s">
        <v>537</v>
      </c>
      <c r="P680" s="20">
        <v>2.25</v>
      </c>
    </row>
    <row r="681" spans="15:16" x14ac:dyDescent="0.25">
      <c r="O681" s="36" t="s">
        <v>945</v>
      </c>
      <c r="P681" s="20">
        <v>2.2000000000000002</v>
      </c>
    </row>
    <row r="682" spans="15:16" x14ac:dyDescent="0.25">
      <c r="O682" s="36" t="s">
        <v>117</v>
      </c>
      <c r="P682" s="20">
        <v>2.1</v>
      </c>
    </row>
    <row r="683" spans="15:16" x14ac:dyDescent="0.25">
      <c r="O683" s="36" t="s">
        <v>825</v>
      </c>
      <c r="P683" s="20">
        <v>2.1</v>
      </c>
    </row>
    <row r="684" spans="15:16" x14ac:dyDescent="0.25">
      <c r="O684" s="36" t="s">
        <v>469</v>
      </c>
      <c r="P684" s="20">
        <v>2.1</v>
      </c>
    </row>
    <row r="685" spans="15:16" x14ac:dyDescent="0.25">
      <c r="O685" s="36" t="s">
        <v>276</v>
      </c>
      <c r="P685" s="20">
        <v>2.1</v>
      </c>
    </row>
    <row r="686" spans="15:16" x14ac:dyDescent="0.25">
      <c r="O686" s="36" t="s">
        <v>158</v>
      </c>
      <c r="P686" s="20">
        <v>2.1</v>
      </c>
    </row>
    <row r="687" spans="15:16" x14ac:dyDescent="0.25">
      <c r="O687" s="36" t="s">
        <v>475</v>
      </c>
      <c r="P687" s="20">
        <v>2.1</v>
      </c>
    </row>
    <row r="688" spans="15:16" x14ac:dyDescent="0.25">
      <c r="O688" s="36" t="s">
        <v>152</v>
      </c>
      <c r="P688" s="20">
        <v>2.1</v>
      </c>
    </row>
    <row r="689" spans="15:16" x14ac:dyDescent="0.25">
      <c r="O689" s="36" t="s">
        <v>179</v>
      </c>
      <c r="P689" s="20">
        <v>2.1</v>
      </c>
    </row>
    <row r="690" spans="15:16" x14ac:dyDescent="0.25">
      <c r="O690" s="36" t="s">
        <v>446</v>
      </c>
      <c r="P690" s="20">
        <v>1.9500000000000002</v>
      </c>
    </row>
    <row r="691" spans="15:16" x14ac:dyDescent="0.25">
      <c r="O691" s="36" t="s">
        <v>172</v>
      </c>
      <c r="P691" s="20">
        <v>1.95</v>
      </c>
    </row>
    <row r="692" spans="15:16" x14ac:dyDescent="0.25">
      <c r="O692" s="36" t="s">
        <v>930</v>
      </c>
      <c r="P692" s="20">
        <v>1.95</v>
      </c>
    </row>
    <row r="693" spans="15:16" x14ac:dyDescent="0.25">
      <c r="O693" s="36" t="s">
        <v>319</v>
      </c>
      <c r="P693" s="20">
        <v>1.92</v>
      </c>
    </row>
    <row r="694" spans="15:16" x14ac:dyDescent="0.25">
      <c r="O694" s="36" t="s">
        <v>897</v>
      </c>
      <c r="P694" s="20">
        <v>1.7</v>
      </c>
    </row>
    <row r="695" spans="15:16" x14ac:dyDescent="0.25">
      <c r="O695" s="36" t="s">
        <v>285</v>
      </c>
      <c r="P695" s="20">
        <v>1.69</v>
      </c>
    </row>
    <row r="696" spans="15:16" x14ac:dyDescent="0.25">
      <c r="O696" s="36" t="s">
        <v>272</v>
      </c>
      <c r="P696" s="20">
        <v>1.69</v>
      </c>
    </row>
    <row r="697" spans="15:16" x14ac:dyDescent="0.25">
      <c r="O697" s="36" t="s">
        <v>607</v>
      </c>
      <c r="P697" s="20">
        <v>1.69</v>
      </c>
    </row>
    <row r="698" spans="15:16" x14ac:dyDescent="0.25">
      <c r="O698" s="36" t="s">
        <v>666</v>
      </c>
      <c r="P698" s="20">
        <v>1.6500000000000001</v>
      </c>
    </row>
    <row r="699" spans="15:16" x14ac:dyDescent="0.25">
      <c r="O699" s="36" t="s">
        <v>623</v>
      </c>
      <c r="P699" s="20">
        <v>1.6500000000000001</v>
      </c>
    </row>
    <row r="700" spans="15:16" x14ac:dyDescent="0.25">
      <c r="O700" s="36" t="s">
        <v>12</v>
      </c>
      <c r="P700" s="20">
        <v>1.65</v>
      </c>
    </row>
    <row r="701" spans="15:16" x14ac:dyDescent="0.25">
      <c r="O701" s="36" t="s">
        <v>962</v>
      </c>
      <c r="P701" s="20">
        <v>1.65</v>
      </c>
    </row>
    <row r="702" spans="15:16" x14ac:dyDescent="0.25">
      <c r="O702" s="36" t="s">
        <v>60</v>
      </c>
      <c r="P702" s="20">
        <v>1.65</v>
      </c>
    </row>
    <row r="703" spans="15:16" x14ac:dyDescent="0.25">
      <c r="O703" s="36" t="s">
        <v>532</v>
      </c>
      <c r="P703" s="20">
        <v>1.65</v>
      </c>
    </row>
    <row r="704" spans="15:16" x14ac:dyDescent="0.25">
      <c r="O704" s="36" t="s">
        <v>649</v>
      </c>
      <c r="P704" s="20">
        <v>1.65</v>
      </c>
    </row>
    <row r="705" spans="15:16" x14ac:dyDescent="0.25">
      <c r="O705" s="36" t="s">
        <v>225</v>
      </c>
      <c r="P705" s="20">
        <v>1.49</v>
      </c>
    </row>
    <row r="706" spans="15:16" x14ac:dyDescent="0.25">
      <c r="O706" s="36" t="s">
        <v>811</v>
      </c>
      <c r="P706" s="20">
        <v>1.45</v>
      </c>
    </row>
    <row r="707" spans="15:16" x14ac:dyDescent="0.25">
      <c r="O707" s="36" t="s">
        <v>617</v>
      </c>
      <c r="P707" s="20">
        <v>1.45</v>
      </c>
    </row>
    <row r="708" spans="15:16" x14ac:dyDescent="0.25">
      <c r="O708" s="36" t="s">
        <v>678</v>
      </c>
      <c r="P708" s="20">
        <v>1.45</v>
      </c>
    </row>
    <row r="709" spans="15:16" x14ac:dyDescent="0.25">
      <c r="O709" s="36" t="s">
        <v>492</v>
      </c>
      <c r="P709" s="20">
        <v>1.3</v>
      </c>
    </row>
    <row r="710" spans="15:16" x14ac:dyDescent="0.25">
      <c r="O710" s="36" t="s">
        <v>350</v>
      </c>
      <c r="P710" s="20">
        <v>1.3</v>
      </c>
    </row>
    <row r="711" spans="15:16" x14ac:dyDescent="0.25">
      <c r="O711" s="36" t="s">
        <v>295</v>
      </c>
      <c r="P711" s="20">
        <v>1.26</v>
      </c>
    </row>
    <row r="712" spans="15:16" x14ac:dyDescent="0.25">
      <c r="O712" s="36" t="s">
        <v>175</v>
      </c>
      <c r="P712" s="20">
        <v>1.25</v>
      </c>
    </row>
    <row r="713" spans="15:16" x14ac:dyDescent="0.25">
      <c r="O713" s="36" t="s">
        <v>260</v>
      </c>
      <c r="P713" s="20">
        <v>1.25</v>
      </c>
    </row>
    <row r="714" spans="15:16" x14ac:dyDescent="0.25">
      <c r="O714" s="36" t="s">
        <v>940</v>
      </c>
      <c r="P714" s="20">
        <v>1.25</v>
      </c>
    </row>
    <row r="715" spans="15:16" x14ac:dyDescent="0.25">
      <c r="O715" s="36" t="s">
        <v>300</v>
      </c>
      <c r="P715" s="20">
        <v>1.25</v>
      </c>
    </row>
    <row r="716" spans="15:16" x14ac:dyDescent="0.25">
      <c r="O716" s="36" t="s">
        <v>315</v>
      </c>
      <c r="P716" s="20">
        <v>1.25</v>
      </c>
    </row>
    <row r="717" spans="15:16" x14ac:dyDescent="0.25">
      <c r="O717" s="36" t="s">
        <v>188</v>
      </c>
      <c r="P717" s="20">
        <v>1.25</v>
      </c>
    </row>
    <row r="718" spans="15:16" x14ac:dyDescent="0.25">
      <c r="O718" s="36" t="s">
        <v>773</v>
      </c>
      <c r="P718" s="20">
        <v>1.25</v>
      </c>
    </row>
    <row r="719" spans="15:16" x14ac:dyDescent="0.25">
      <c r="O719" s="36" t="s">
        <v>938</v>
      </c>
      <c r="P719" s="20">
        <v>1.25</v>
      </c>
    </row>
    <row r="720" spans="15:16" x14ac:dyDescent="0.25">
      <c r="O720" s="36" t="s">
        <v>815</v>
      </c>
      <c r="P720" s="20">
        <v>1.25</v>
      </c>
    </row>
    <row r="721" spans="15:16" x14ac:dyDescent="0.25">
      <c r="O721" s="36" t="s">
        <v>486</v>
      </c>
      <c r="P721" s="20">
        <v>1.25</v>
      </c>
    </row>
    <row r="722" spans="15:16" x14ac:dyDescent="0.25">
      <c r="O722" s="36" t="s">
        <v>703</v>
      </c>
      <c r="P722" s="20">
        <v>1.25</v>
      </c>
    </row>
    <row r="723" spans="15:16" x14ac:dyDescent="0.25">
      <c r="O723" s="36" t="s">
        <v>914</v>
      </c>
      <c r="P723" s="20">
        <v>1.25</v>
      </c>
    </row>
    <row r="724" spans="15:16" x14ac:dyDescent="0.25">
      <c r="O724" s="36" t="s">
        <v>37</v>
      </c>
      <c r="P724" s="20">
        <v>1.25</v>
      </c>
    </row>
    <row r="725" spans="15:16" x14ac:dyDescent="0.25">
      <c r="O725" s="36" t="s">
        <v>730</v>
      </c>
      <c r="P725" s="20">
        <v>1.25</v>
      </c>
    </row>
    <row r="726" spans="15:16" x14ac:dyDescent="0.25">
      <c r="O726" s="36" t="s">
        <v>180</v>
      </c>
      <c r="P726" s="20">
        <v>1.25</v>
      </c>
    </row>
    <row r="727" spans="15:16" x14ac:dyDescent="0.25">
      <c r="O727" s="36" t="s">
        <v>761</v>
      </c>
      <c r="P727" s="20">
        <v>1.25</v>
      </c>
    </row>
    <row r="728" spans="15:16" x14ac:dyDescent="0.25">
      <c r="O728" s="36" t="s">
        <v>131</v>
      </c>
      <c r="P728" s="20">
        <v>0.86999999999999988</v>
      </c>
    </row>
    <row r="729" spans="15:16" x14ac:dyDescent="0.25">
      <c r="O729" s="36" t="s">
        <v>449</v>
      </c>
      <c r="P729" s="20">
        <v>0.85</v>
      </c>
    </row>
    <row r="730" spans="15:16" x14ac:dyDescent="0.25">
      <c r="O730" s="36" t="s">
        <v>31</v>
      </c>
      <c r="P730" s="20">
        <v>0.85</v>
      </c>
    </row>
    <row r="731" spans="15:16" x14ac:dyDescent="0.25">
      <c r="O731" s="36" t="s">
        <v>231</v>
      </c>
      <c r="P731" s="20">
        <v>0.85</v>
      </c>
    </row>
    <row r="732" spans="15:16" x14ac:dyDescent="0.25">
      <c r="O732" s="36" t="s">
        <v>706</v>
      </c>
      <c r="P732" s="20">
        <v>0.85</v>
      </c>
    </row>
    <row r="733" spans="15:16" x14ac:dyDescent="0.25">
      <c r="O733" s="36" t="s">
        <v>508</v>
      </c>
      <c r="P733" s="20">
        <v>0.85</v>
      </c>
    </row>
    <row r="734" spans="15:16" x14ac:dyDescent="0.25">
      <c r="O734" s="36" t="s">
        <v>410</v>
      </c>
      <c r="P734" s="20">
        <v>0.85</v>
      </c>
    </row>
    <row r="735" spans="15:16" x14ac:dyDescent="0.25">
      <c r="O735" s="36" t="s">
        <v>566</v>
      </c>
      <c r="P735" s="20">
        <v>0.85</v>
      </c>
    </row>
    <row r="736" spans="15:16" x14ac:dyDescent="0.25">
      <c r="O736" s="36" t="s">
        <v>780</v>
      </c>
      <c r="P736" s="20">
        <v>0.84</v>
      </c>
    </row>
    <row r="737" spans="15:16" x14ac:dyDescent="0.25">
      <c r="O737" s="36" t="s">
        <v>331</v>
      </c>
      <c r="P737" s="20">
        <v>0.42</v>
      </c>
    </row>
    <row r="738" spans="15:16" x14ac:dyDescent="0.25">
      <c r="O738" s="36" t="s">
        <v>691</v>
      </c>
      <c r="P738" s="20">
        <v>0.42</v>
      </c>
    </row>
    <row r="739" spans="15:16" x14ac:dyDescent="0.25">
      <c r="O739" s="36" t="s">
        <v>282</v>
      </c>
      <c r="P739" s="20">
        <v>0.21</v>
      </c>
    </row>
    <row r="740" spans="15:16" x14ac:dyDescent="0.25">
      <c r="O740" s="36" t="s">
        <v>362</v>
      </c>
      <c r="P740" s="20">
        <v>0</v>
      </c>
    </row>
    <row r="741" spans="15:16" x14ac:dyDescent="0.25">
      <c r="O741" s="36" t="s">
        <v>321</v>
      </c>
      <c r="P741" s="20">
        <v>0</v>
      </c>
    </row>
    <row r="742" spans="15:16" x14ac:dyDescent="0.25">
      <c r="O742" s="36" t="s">
        <v>828</v>
      </c>
      <c r="P742" s="20">
        <v>0</v>
      </c>
    </row>
    <row r="743" spans="15:16" x14ac:dyDescent="0.25">
      <c r="O743" s="36" t="s">
        <v>708</v>
      </c>
      <c r="P743" s="20">
        <v>0</v>
      </c>
    </row>
    <row r="744" spans="15:16" x14ac:dyDescent="0.25">
      <c r="O744" s="36" t="s">
        <v>1031</v>
      </c>
      <c r="P744" s="20">
        <v>24586.40000000002</v>
      </c>
    </row>
  </sheetData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preciousedem642@gmail.com</dc:creator>
  <cp:lastModifiedBy>preciousedem642@gmail.com</cp:lastModifiedBy>
  <dcterms:created xsi:type="dcterms:W3CDTF">2026-09-02T10:36:29Z</dcterms:created>
  <dcterms:modified xsi:type="dcterms:W3CDTF">2026-09-06T17:58:54Z</dcterms:modified>
</cp:coreProperties>
</file>